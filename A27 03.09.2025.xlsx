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444fd6825a314d/Документы/"/>
    </mc:Choice>
  </mc:AlternateContent>
  <xr:revisionPtr revIDLastSave="0" documentId="8_{D3FA6824-9955-4F1C-B492-46FD0D13572E}" xr6:coauthVersionLast="47" xr6:coauthVersionMax="47" xr10:uidLastSave="{00000000-0000-0000-0000-000000000000}"/>
  <bookViews>
    <workbookView xWindow="-108" yWindow="-108" windowWidth="23256" windowHeight="12456" tabRatio="675" activeTab="2" xr2:uid="{A286519F-C79E-4E7E-A492-D25B9F099858}"/>
  </bookViews>
  <sheets>
    <sheet name="IMRON SHERI" sheetId="14" r:id="rId1"/>
    <sheet name="A3 KUNLIK" sheetId="18" r:id="rId2"/>
    <sheet name="A3 BRO_SENTR" sheetId="19" r:id="rId3"/>
    <sheet name="A3 SENTABR" sheetId="20" r:id="rId4"/>
    <sheet name="A27 KUNLI" sheetId="17" r:id="rId5"/>
    <sheet name="A27 BRO_SENTR" sheetId="2" r:id="rId6"/>
    <sheet name="SENTABR 2025" sheetId="21" r:id="rId7"/>
    <sheet name="AVGUST 2025" sheetId="16" r:id="rId8"/>
    <sheet name="IYUL 2025" sheetId="15" r:id="rId9"/>
    <sheet name="IYUN 2025" sheetId="13" r:id="rId10"/>
    <sheet name="MAY 2025" sheetId="12" r:id="rId11"/>
    <sheet name="APREL 2025" sheetId="11" r:id="rId12"/>
    <sheet name="MART 2025" sheetId="10" r:id="rId13"/>
    <sheet name="FEVRAL 2025" sheetId="9" r:id="rId14"/>
    <sheet name="YANVAR 2025" sheetId="8" r:id="rId15"/>
    <sheet name="DEKABR 2024" sheetId="7" r:id="rId16"/>
    <sheet name="NOYABR" sheetId="4" r:id="rId17"/>
    <sheet name="Oktabr " sheetId="3" r:id="rId18"/>
  </sheets>
  <definedNames>
    <definedName name="_xlnm._FilterDatabase" localSheetId="4" hidden="1">'A27 KUNLI'!$A$1:$R$64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0" l="1"/>
  <c r="N9" i="17"/>
  <c r="P47" i="17"/>
  <c r="N8" i="17"/>
  <c r="L30" i="17"/>
  <c r="N7" i="17"/>
  <c r="L29" i="17"/>
  <c r="N6" i="17"/>
  <c r="N5" i="17"/>
  <c r="N4" i="17"/>
  <c r="L28" i="17"/>
  <c r="L27" i="17"/>
  <c r="L26" i="17"/>
  <c r="L25" i="17"/>
  <c r="L27" i="21"/>
  <c r="L124" i="2"/>
  <c r="L26" i="21"/>
  <c r="L25" i="21"/>
  <c r="L24" i="21"/>
  <c r="L23" i="21"/>
  <c r="N42" i="2"/>
  <c r="N43" i="2"/>
  <c r="L42" i="2"/>
  <c r="L121" i="2"/>
  <c r="L122" i="2"/>
  <c r="L123" i="2"/>
  <c r="L125" i="2"/>
  <c r="L126" i="2"/>
  <c r="L127" i="2"/>
  <c r="L128" i="2"/>
  <c r="L129" i="2"/>
  <c r="L130" i="2"/>
  <c r="N121" i="2"/>
  <c r="N122" i="2"/>
  <c r="N123" i="2"/>
  <c r="N124" i="2"/>
  <c r="N125" i="2"/>
  <c r="N126" i="2"/>
  <c r="N127" i="2"/>
  <c r="N128" i="2"/>
  <c r="N129" i="2"/>
  <c r="G74" i="21"/>
  <c r="D61" i="21"/>
  <c r="L58" i="21"/>
  <c r="N58" i="21"/>
  <c r="L21" i="21"/>
  <c r="L20" i="21"/>
  <c r="L19" i="21"/>
  <c r="L18" i="21"/>
  <c r="L22" i="21"/>
  <c r="L28" i="21"/>
  <c r="L29" i="21"/>
  <c r="L30" i="21"/>
  <c r="L31" i="21"/>
  <c r="L32" i="21"/>
  <c r="L33" i="21"/>
  <c r="L34" i="21"/>
  <c r="N28" i="21"/>
  <c r="N29" i="21"/>
  <c r="N30" i="21"/>
  <c r="N31" i="21"/>
  <c r="N32" i="21"/>
  <c r="N33" i="21"/>
  <c r="N34" i="21"/>
  <c r="L35" i="21"/>
  <c r="L36" i="21"/>
  <c r="L37" i="21"/>
  <c r="L38" i="21"/>
  <c r="L39" i="21"/>
  <c r="L40" i="21"/>
  <c r="N35" i="21"/>
  <c r="N36" i="21"/>
  <c r="N37" i="21"/>
  <c r="N38" i="21"/>
  <c r="N39" i="21"/>
  <c r="N40" i="21"/>
  <c r="L41" i="21"/>
  <c r="L42" i="21"/>
  <c r="L43" i="21"/>
  <c r="L44" i="21"/>
  <c r="L45" i="21"/>
  <c r="L46" i="21"/>
  <c r="N41" i="21"/>
  <c r="N42" i="21"/>
  <c r="N43" i="21"/>
  <c r="N44" i="21"/>
  <c r="N45" i="21"/>
  <c r="N46" i="21"/>
  <c r="L47" i="21"/>
  <c r="L48" i="21"/>
  <c r="N47" i="21"/>
  <c r="N48" i="21"/>
  <c r="L49" i="21"/>
  <c r="L50" i="21"/>
  <c r="N49" i="21"/>
  <c r="N50" i="21"/>
  <c r="L17" i="21"/>
  <c r="L16" i="21"/>
  <c r="L15" i="21"/>
  <c r="L14" i="21"/>
  <c r="L13" i="21"/>
  <c r="L12" i="21"/>
  <c r="L11" i="21"/>
  <c r="L10" i="21"/>
  <c r="L9" i="21"/>
  <c r="L8" i="21"/>
  <c r="L7" i="21"/>
  <c r="L119" i="2"/>
  <c r="L120" i="2"/>
  <c r="L131" i="2"/>
  <c r="L132" i="2"/>
  <c r="L133" i="2"/>
  <c r="L134" i="2"/>
  <c r="L135" i="2"/>
  <c r="N119" i="2"/>
  <c r="N120" i="2"/>
  <c r="N130" i="2"/>
  <c r="N131" i="2"/>
  <c r="N132" i="2"/>
  <c r="N133" i="2"/>
  <c r="N134" i="2"/>
  <c r="J112" i="19"/>
  <c r="L6" i="21"/>
  <c r="L5" i="21"/>
  <c r="N113" i="2"/>
  <c r="L4" i="21"/>
  <c r="L3" i="21"/>
  <c r="L2" i="21"/>
  <c r="N11" i="2"/>
  <c r="N12" i="2"/>
  <c r="L11" i="2"/>
  <c r="L2" i="20"/>
  <c r="L112" i="2"/>
  <c r="L114" i="2"/>
  <c r="L178" i="2"/>
  <c r="L115" i="2"/>
  <c r="L116" i="2"/>
  <c r="L117" i="2"/>
  <c r="L179" i="2"/>
  <c r="L118" i="2"/>
  <c r="L136" i="2"/>
  <c r="N112" i="2"/>
  <c r="N114" i="2"/>
  <c r="N178" i="2"/>
  <c r="N115" i="2"/>
  <c r="N116" i="2"/>
  <c r="N117" i="2"/>
  <c r="N179" i="2"/>
  <c r="N118" i="2"/>
  <c r="L28" i="19"/>
  <c r="N28" i="19" s="1"/>
  <c r="L29" i="19"/>
  <c r="N29" i="19" s="1"/>
  <c r="L18" i="19"/>
  <c r="N18" i="19" s="1"/>
  <c r="L19" i="19"/>
  <c r="N19" i="19" s="1"/>
  <c r="L20" i="19"/>
  <c r="N20" i="19" s="1"/>
  <c r="L21" i="19"/>
  <c r="N21" i="19" s="1"/>
  <c r="L22" i="19"/>
  <c r="N22" i="19" s="1"/>
  <c r="L23" i="19"/>
  <c r="N23" i="19" s="1"/>
  <c r="L24" i="19"/>
  <c r="N24" i="19" s="1"/>
  <c r="N102" i="19"/>
  <c r="G101" i="19"/>
  <c r="N51" i="21"/>
  <c r="N52" i="21"/>
  <c r="N53" i="21"/>
  <c r="N54" i="21"/>
  <c r="N55" i="21"/>
  <c r="N56" i="21"/>
  <c r="L51" i="21"/>
  <c r="L52" i="21"/>
  <c r="L53" i="21"/>
  <c r="L54" i="21"/>
  <c r="L55" i="21"/>
  <c r="N78" i="21"/>
  <c r="N76" i="21"/>
  <c r="M75" i="21"/>
  <c r="J75" i="21"/>
  <c r="N74" i="21"/>
  <c r="L74" i="21"/>
  <c r="N73" i="21"/>
  <c r="L73" i="21"/>
  <c r="N72" i="21"/>
  <c r="L72" i="21"/>
  <c r="N71" i="21"/>
  <c r="L71" i="21"/>
  <c r="N70" i="21"/>
  <c r="L70" i="21"/>
  <c r="N69" i="21"/>
  <c r="L69" i="21"/>
  <c r="N68" i="21"/>
  <c r="L68" i="21"/>
  <c r="N67" i="21"/>
  <c r="L67" i="21"/>
  <c r="N66" i="21"/>
  <c r="L66" i="21"/>
  <c r="N65" i="21"/>
  <c r="L65" i="21"/>
  <c r="N64" i="21"/>
  <c r="L64" i="21"/>
  <c r="N63" i="21"/>
  <c r="L63" i="21"/>
  <c r="N62" i="21"/>
  <c r="L62" i="21"/>
  <c r="N61" i="21"/>
  <c r="L61" i="21"/>
  <c r="N60" i="21"/>
  <c r="L60" i="21"/>
  <c r="N59" i="21"/>
  <c r="L59" i="21"/>
  <c r="N57" i="21"/>
  <c r="L57" i="21"/>
  <c r="L56" i="21"/>
  <c r="L201" i="16"/>
  <c r="L200" i="16"/>
  <c r="N58" i="2"/>
  <c r="L58" i="2"/>
  <c r="L199" i="16"/>
  <c r="L198" i="16"/>
  <c r="L196" i="16"/>
  <c r="L195" i="16"/>
  <c r="L194" i="16"/>
  <c r="L193" i="16"/>
  <c r="L192" i="16"/>
  <c r="L191" i="16"/>
  <c r="L190" i="16"/>
  <c r="L189" i="16"/>
  <c r="L188" i="16"/>
  <c r="L187" i="16"/>
  <c r="L186" i="16"/>
  <c r="L185" i="16"/>
  <c r="L184" i="16"/>
  <c r="L183" i="16"/>
  <c r="L107" i="2"/>
  <c r="L108" i="2"/>
  <c r="L109" i="2"/>
  <c r="L110" i="2"/>
  <c r="L111" i="2"/>
  <c r="N107" i="2"/>
  <c r="N108" i="2"/>
  <c r="N109" i="2"/>
  <c r="N110" i="2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N100" i="19"/>
  <c r="P47" i="18"/>
  <c r="E63" i="18"/>
  <c r="C62" i="18"/>
  <c r="D64" i="18" s="1"/>
  <c r="E63" i="17"/>
  <c r="L182" i="16"/>
  <c r="L181" i="16"/>
  <c r="L180" i="16"/>
  <c r="L178" i="16"/>
  <c r="L173" i="16"/>
  <c r="L172" i="16"/>
  <c r="L171" i="16"/>
  <c r="L170" i="16"/>
  <c r="N101" i="19"/>
  <c r="N41" i="20"/>
  <c r="M41" i="20"/>
  <c r="J41" i="20"/>
  <c r="G40" i="20"/>
  <c r="D27" i="20"/>
  <c r="N72" i="19"/>
  <c r="N73" i="19"/>
  <c r="N74" i="19"/>
  <c r="N97" i="19"/>
  <c r="N99" i="19"/>
  <c r="L26" i="19"/>
  <c r="N26" i="19" s="1"/>
  <c r="L10" i="19"/>
  <c r="N10" i="19" s="1"/>
  <c r="L8" i="19"/>
  <c r="N8" i="19" s="1"/>
  <c r="L5" i="19"/>
  <c r="N5" i="19" s="1"/>
  <c r="L6" i="19"/>
  <c r="N6" i="19" s="1"/>
  <c r="L3" i="19"/>
  <c r="N3" i="19" s="1"/>
  <c r="L4" i="19"/>
  <c r="N4" i="19" s="1"/>
  <c r="L7" i="19"/>
  <c r="N7" i="19" s="1"/>
  <c r="L9" i="19"/>
  <c r="N9" i="19" s="1"/>
  <c r="L25" i="19"/>
  <c r="N25" i="19" s="1"/>
  <c r="L27" i="19"/>
  <c r="N27" i="19" s="1"/>
  <c r="L30" i="19"/>
  <c r="N30" i="19" s="1"/>
  <c r="L31" i="19"/>
  <c r="N31" i="19" s="1"/>
  <c r="L75" i="19"/>
  <c r="N75" i="19" s="1"/>
  <c r="L76" i="19"/>
  <c r="N76" i="19" s="1"/>
  <c r="L77" i="19"/>
  <c r="N77" i="19" s="1"/>
  <c r="L78" i="19"/>
  <c r="N78" i="19" s="1"/>
  <c r="L79" i="19"/>
  <c r="N79" i="19" s="1"/>
  <c r="L80" i="19"/>
  <c r="N80" i="19" s="1"/>
  <c r="L81" i="19"/>
  <c r="N81" i="19" s="1"/>
  <c r="L82" i="19"/>
  <c r="N82" i="19" s="1"/>
  <c r="L83" i="19"/>
  <c r="N83" i="19" s="1"/>
  <c r="L84" i="19"/>
  <c r="N84" i="19" s="1"/>
  <c r="L85" i="19"/>
  <c r="N85" i="19" s="1"/>
  <c r="L86" i="19"/>
  <c r="N86" i="19" s="1"/>
  <c r="L87" i="19"/>
  <c r="N87" i="19" s="1"/>
  <c r="L88" i="19"/>
  <c r="N88" i="19" s="1"/>
  <c r="L89" i="19"/>
  <c r="N89" i="19" s="1"/>
  <c r="L90" i="19"/>
  <c r="N90" i="19" s="1"/>
  <c r="L91" i="19"/>
  <c r="N91" i="19" s="1"/>
  <c r="L92" i="19"/>
  <c r="N92" i="19" s="1"/>
  <c r="L93" i="19"/>
  <c r="N93" i="19" s="1"/>
  <c r="L94" i="19"/>
  <c r="N94" i="19" s="1"/>
  <c r="L95" i="19"/>
  <c r="N95" i="19" s="1"/>
  <c r="L96" i="19"/>
  <c r="N96" i="19" s="1"/>
  <c r="L36" i="19"/>
  <c r="N36" i="19" s="1"/>
  <c r="L37" i="19"/>
  <c r="N37" i="19" s="1"/>
  <c r="L38" i="19"/>
  <c r="N38" i="19" s="1"/>
  <c r="L39" i="19"/>
  <c r="N39" i="19" s="1"/>
  <c r="L40" i="19"/>
  <c r="N40" i="19" s="1"/>
  <c r="L41" i="19"/>
  <c r="N41" i="19" s="1"/>
  <c r="L42" i="19"/>
  <c r="N42" i="19" s="1"/>
  <c r="L43" i="19"/>
  <c r="N43" i="19" s="1"/>
  <c r="L44" i="19"/>
  <c r="N44" i="19" s="1"/>
  <c r="L45" i="19"/>
  <c r="N45" i="19" s="1"/>
  <c r="L46" i="19"/>
  <c r="N46" i="19" s="1"/>
  <c r="L47" i="19"/>
  <c r="N47" i="19" s="1"/>
  <c r="L48" i="19"/>
  <c r="N48" i="19" s="1"/>
  <c r="L49" i="19"/>
  <c r="N49" i="19" s="1"/>
  <c r="L50" i="19"/>
  <c r="N50" i="19" s="1"/>
  <c r="L51" i="19"/>
  <c r="N51" i="19" s="1"/>
  <c r="L52" i="19"/>
  <c r="N52" i="19" s="1"/>
  <c r="L53" i="19"/>
  <c r="N53" i="19" s="1"/>
  <c r="L54" i="19"/>
  <c r="N54" i="19" s="1"/>
  <c r="L55" i="19"/>
  <c r="N55" i="19" s="1"/>
  <c r="L56" i="19"/>
  <c r="N56" i="19" s="1"/>
  <c r="L57" i="19"/>
  <c r="N57" i="19" s="1"/>
  <c r="L58" i="19"/>
  <c r="N58" i="19" s="1"/>
  <c r="L59" i="19"/>
  <c r="N59" i="19" s="1"/>
  <c r="L60" i="19"/>
  <c r="N60" i="19" s="1"/>
  <c r="L61" i="19"/>
  <c r="N61" i="19" s="1"/>
  <c r="L62" i="19"/>
  <c r="N62" i="19" s="1"/>
  <c r="L63" i="19"/>
  <c r="N63" i="19" s="1"/>
  <c r="L64" i="19"/>
  <c r="N64" i="19" s="1"/>
  <c r="L65" i="19"/>
  <c r="N65" i="19" s="1"/>
  <c r="L66" i="19"/>
  <c r="N66" i="19" s="1"/>
  <c r="L67" i="19"/>
  <c r="N67" i="19" s="1"/>
  <c r="L68" i="19"/>
  <c r="N68" i="19" s="1"/>
  <c r="L69" i="19"/>
  <c r="N69" i="19" s="1"/>
  <c r="L70" i="19"/>
  <c r="N70" i="19" s="1"/>
  <c r="L71" i="19"/>
  <c r="N71" i="19" s="1"/>
  <c r="L35" i="19"/>
  <c r="N35" i="19" s="1"/>
  <c r="I97" i="19"/>
  <c r="I72" i="19"/>
  <c r="N25" i="14"/>
  <c r="N26" i="14"/>
  <c r="N27" i="14"/>
  <c r="N28" i="14"/>
  <c r="P25" i="14"/>
  <c r="P26" i="14"/>
  <c r="L169" i="16"/>
  <c r="L168" i="16"/>
  <c r="L167" i="16"/>
  <c r="L166" i="16"/>
  <c r="L165" i="16"/>
  <c r="L164" i="16"/>
  <c r="L163" i="16"/>
  <c r="L162" i="16"/>
  <c r="L103" i="2"/>
  <c r="N103" i="2"/>
  <c r="L161" i="16"/>
  <c r="L160" i="16"/>
  <c r="L159" i="16"/>
  <c r="L158" i="16"/>
  <c r="L202" i="16"/>
  <c r="N202" i="16"/>
  <c r="L156" i="16"/>
  <c r="L155" i="16"/>
  <c r="N82" i="2"/>
  <c r="L157" i="16"/>
  <c r="N157" i="16"/>
  <c r="N179" i="16"/>
  <c r="L104" i="2"/>
  <c r="L176" i="2"/>
  <c r="L105" i="2"/>
  <c r="L106" i="2"/>
  <c r="L177" i="2"/>
  <c r="N104" i="2"/>
  <c r="N176" i="2"/>
  <c r="N105" i="2"/>
  <c r="N106" i="2"/>
  <c r="N177" i="2"/>
  <c r="L137" i="2"/>
  <c r="L138" i="2"/>
  <c r="N111" i="2"/>
  <c r="N135" i="2"/>
  <c r="N136" i="2"/>
  <c r="N137" i="2"/>
  <c r="L154" i="16"/>
  <c r="L153" i="16"/>
  <c r="L152" i="16"/>
  <c r="L151" i="16"/>
  <c r="L150" i="16"/>
  <c r="L149" i="16"/>
  <c r="L148" i="16"/>
  <c r="L197" i="16"/>
  <c r="L203" i="16"/>
  <c r="N203" i="16"/>
  <c r="N99" i="2"/>
  <c r="L99" i="2"/>
  <c r="L100" i="2"/>
  <c r="L101" i="2"/>
  <c r="L102" i="2"/>
  <c r="N100" i="2"/>
  <c r="N101" i="2"/>
  <c r="N102" i="2"/>
  <c r="L228" i="2"/>
  <c r="L147" i="16"/>
  <c r="L146" i="16"/>
  <c r="L145" i="16"/>
  <c r="L144" i="16"/>
  <c r="L143" i="16"/>
  <c r="L142" i="16"/>
  <c r="L141" i="16"/>
  <c r="L138" i="16"/>
  <c r="L140" i="16"/>
  <c r="L139" i="16"/>
  <c r="L137" i="16"/>
  <c r="L136" i="16"/>
  <c r="L135" i="16"/>
  <c r="L95" i="2"/>
  <c r="L96" i="2"/>
  <c r="L97" i="2"/>
  <c r="L98" i="2"/>
  <c r="N95" i="2"/>
  <c r="N96" i="2"/>
  <c r="N97" i="2"/>
  <c r="N98" i="2"/>
  <c r="L90" i="2"/>
  <c r="L91" i="2"/>
  <c r="L92" i="2"/>
  <c r="L93" i="2"/>
  <c r="N90" i="2"/>
  <c r="N91" i="2"/>
  <c r="N92" i="2"/>
  <c r="L134" i="16"/>
  <c r="N8" i="14"/>
  <c r="N9" i="14"/>
  <c r="N10" i="14"/>
  <c r="N11" i="14"/>
  <c r="N12" i="14"/>
  <c r="P8" i="14"/>
  <c r="P9" i="14"/>
  <c r="P10" i="14"/>
  <c r="P11" i="14"/>
  <c r="P12" i="14"/>
  <c r="P107" i="14"/>
  <c r="P108" i="14"/>
  <c r="P109" i="14"/>
  <c r="P110" i="14"/>
  <c r="P111" i="14"/>
  <c r="P112" i="14"/>
  <c r="P113" i="14"/>
  <c r="L130" i="16"/>
  <c r="L129" i="16"/>
  <c r="N21" i="14"/>
  <c r="L128" i="16"/>
  <c r="L119" i="16"/>
  <c r="L120" i="16"/>
  <c r="N41" i="2"/>
  <c r="L41" i="2"/>
  <c r="N65" i="2"/>
  <c r="N172" i="2"/>
  <c r="L65" i="2"/>
  <c r="L127" i="16"/>
  <c r="L126" i="16"/>
  <c r="L125" i="16"/>
  <c r="L124" i="16"/>
  <c r="L123" i="16"/>
  <c r="L122" i="16"/>
  <c r="L121" i="16"/>
  <c r="L84" i="2"/>
  <c r="L85" i="2"/>
  <c r="N84" i="2"/>
  <c r="N88" i="2"/>
  <c r="L88" i="2"/>
  <c r="L118" i="16"/>
  <c r="L87" i="2"/>
  <c r="L89" i="2"/>
  <c r="L94" i="2"/>
  <c r="N87" i="2"/>
  <c r="N89" i="2"/>
  <c r="N93" i="2"/>
  <c r="N94" i="2"/>
  <c r="L115" i="16"/>
  <c r="L114" i="16"/>
  <c r="L113" i="16"/>
  <c r="L112" i="16"/>
  <c r="L111" i="16"/>
  <c r="L110" i="16"/>
  <c r="L109" i="16"/>
  <c r="L75" i="21" l="1"/>
  <c r="N75" i="21"/>
  <c r="L41" i="20"/>
  <c r="L98" i="19"/>
  <c r="K100" i="19" s="1"/>
  <c r="L82" i="2"/>
  <c r="L174" i="2"/>
  <c r="N174" i="2"/>
  <c r="L83" i="2"/>
  <c r="L175" i="2"/>
  <c r="N83" i="2"/>
  <c r="L108" i="16"/>
  <c r="L107" i="16"/>
  <c r="L106" i="16"/>
  <c r="L105" i="16"/>
  <c r="L104" i="16"/>
  <c r="L103" i="16"/>
  <c r="L86" i="2"/>
  <c r="N175" i="2"/>
  <c r="N85" i="2"/>
  <c r="L98" i="16"/>
  <c r="L97" i="16"/>
  <c r="L96" i="16"/>
  <c r="L95" i="16"/>
  <c r="L77" i="2"/>
  <c r="L78" i="2"/>
  <c r="L79" i="2"/>
  <c r="L80" i="2"/>
  <c r="L81" i="2"/>
  <c r="N77" i="2"/>
  <c r="N78" i="2"/>
  <c r="N79" i="2"/>
  <c r="N80" i="2"/>
  <c r="N81" i="2"/>
  <c r="N86" i="2"/>
  <c r="L94" i="16"/>
  <c r="L93" i="16"/>
  <c r="L92" i="16"/>
  <c r="L91" i="16"/>
  <c r="L90" i="16"/>
  <c r="L87" i="16"/>
  <c r="N3" i="2"/>
  <c r="L3" i="2"/>
  <c r="L89" i="16"/>
  <c r="L84" i="16"/>
  <c r="L88" i="16"/>
  <c r="L86" i="16"/>
  <c r="N5" i="14"/>
  <c r="N6" i="14"/>
  <c r="N7" i="14"/>
  <c r="N13" i="14"/>
  <c r="N14" i="14"/>
  <c r="P5" i="14"/>
  <c r="P6" i="14"/>
  <c r="P7" i="14"/>
  <c r="P13" i="14"/>
  <c r="L71" i="2"/>
  <c r="L72" i="2"/>
  <c r="L173" i="2"/>
  <c r="L73" i="2"/>
  <c r="L74" i="2"/>
  <c r="L75" i="2"/>
  <c r="N71" i="2"/>
  <c r="N72" i="2"/>
  <c r="N173" i="2"/>
  <c r="N73" i="2"/>
  <c r="N74" i="2"/>
  <c r="N245" i="2"/>
  <c r="L85" i="16"/>
  <c r="L83" i="16"/>
  <c r="L82" i="16"/>
  <c r="L81" i="16"/>
  <c r="L80" i="16"/>
  <c r="L79" i="16"/>
  <c r="L77" i="16"/>
  <c r="L76" i="16"/>
  <c r="L74" i="16"/>
  <c r="L73" i="16"/>
  <c r="L75" i="16"/>
  <c r="L78" i="16"/>
  <c r="N78" i="16"/>
  <c r="L72" i="16"/>
  <c r="L71" i="16"/>
  <c r="L69" i="16"/>
  <c r="L76" i="2"/>
  <c r="N75" i="2"/>
  <c r="N76" i="2"/>
  <c r="L68" i="16"/>
  <c r="L67" i="16"/>
  <c r="L66" i="16"/>
  <c r="L65" i="16"/>
  <c r="L64" i="16"/>
  <c r="L70" i="16"/>
  <c r="L70" i="2"/>
  <c r="N70" i="2"/>
  <c r="L62" i="16"/>
  <c r="L61" i="16"/>
  <c r="L54" i="16"/>
  <c r="L53" i="16"/>
  <c r="L52" i="16"/>
  <c r="D211" i="16"/>
  <c r="L210" i="16"/>
  <c r="N210" i="16"/>
  <c r="L51" i="16"/>
  <c r="L50" i="16"/>
  <c r="L49" i="16"/>
  <c r="L48" i="16"/>
  <c r="L47" i="16"/>
  <c r="L46" i="16"/>
  <c r="L45" i="16"/>
  <c r="L44" i="16"/>
  <c r="L43" i="16"/>
  <c r="L42" i="16"/>
  <c r="L67" i="2"/>
  <c r="L68" i="2"/>
  <c r="L69" i="2"/>
  <c r="L139" i="2"/>
  <c r="L140" i="2"/>
  <c r="N67" i="2"/>
  <c r="N68" i="2"/>
  <c r="N69" i="2"/>
  <c r="L40" i="16"/>
  <c r="L41" i="16"/>
  <c r="N41" i="16"/>
  <c r="L38" i="16"/>
  <c r="N37" i="2"/>
  <c r="N38" i="2"/>
  <c r="L37" i="2"/>
  <c r="L37" i="16"/>
  <c r="L36" i="16"/>
  <c r="C62" i="17"/>
  <c r="L34" i="16"/>
  <c r="L33" i="16"/>
  <c r="L32" i="16"/>
  <c r="L31" i="16"/>
  <c r="L30" i="16"/>
  <c r="L29" i="16"/>
  <c r="L18" i="16"/>
  <c r="N16" i="2"/>
  <c r="L16" i="2"/>
  <c r="N204" i="16"/>
  <c r="N205" i="16"/>
  <c r="N206" i="16"/>
  <c r="N207" i="16"/>
  <c r="N208" i="16"/>
  <c r="N209" i="16"/>
  <c r="N211" i="16"/>
  <c r="N212" i="16"/>
  <c r="N213" i="16"/>
  <c r="N214" i="16"/>
  <c r="N215" i="16"/>
  <c r="N216" i="16"/>
  <c r="N217" i="16"/>
  <c r="N218" i="16"/>
  <c r="N219" i="16"/>
  <c r="N220" i="16"/>
  <c r="N221" i="16"/>
  <c r="N222" i="16"/>
  <c r="N223" i="16"/>
  <c r="N224" i="16"/>
  <c r="L35" i="16"/>
  <c r="L39" i="16"/>
  <c r="L28" i="16"/>
  <c r="L24" i="16"/>
  <c r="L172" i="2"/>
  <c r="L66" i="2"/>
  <c r="N66" i="2"/>
  <c r="N62" i="2"/>
  <c r="L62" i="2"/>
  <c r="N64" i="2"/>
  <c r="L64" i="2"/>
  <c r="N63" i="2"/>
  <c r="L63" i="2"/>
  <c r="N138" i="2"/>
  <c r="L23" i="16"/>
  <c r="L22" i="16"/>
  <c r="L20" i="16"/>
  <c r="L19" i="16"/>
  <c r="L17" i="16"/>
  <c r="L16" i="16"/>
  <c r="L15" i="16"/>
  <c r="L14" i="16"/>
  <c r="L13" i="16"/>
  <c r="L10" i="16"/>
  <c r="L9" i="16"/>
  <c r="L61" i="2"/>
  <c r="N61" i="2"/>
  <c r="L8" i="16"/>
  <c r="L7" i="16"/>
  <c r="L6" i="16"/>
  <c r="L5" i="16"/>
  <c r="L4" i="16"/>
  <c r="L3" i="16"/>
  <c r="L2" i="16"/>
  <c r="G224" i="16"/>
  <c r="L11" i="16"/>
  <c r="L12" i="16"/>
  <c r="L21" i="16"/>
  <c r="L25" i="16"/>
  <c r="L26" i="16"/>
  <c r="L27" i="16"/>
  <c r="N228" i="16"/>
  <c r="N226" i="16"/>
  <c r="M225" i="16"/>
  <c r="J225" i="16"/>
  <c r="L224" i="16"/>
  <c r="L223" i="16"/>
  <c r="L222" i="16"/>
  <c r="L221" i="16"/>
  <c r="L220" i="16"/>
  <c r="L219" i="16"/>
  <c r="L218" i="16"/>
  <c r="L217" i="16"/>
  <c r="L216" i="16"/>
  <c r="L215" i="16"/>
  <c r="L214" i="16"/>
  <c r="L213" i="16"/>
  <c r="L212" i="16"/>
  <c r="L211" i="16"/>
  <c r="L209" i="16"/>
  <c r="L208" i="16"/>
  <c r="L207" i="16"/>
  <c r="L206" i="16"/>
  <c r="L205" i="16"/>
  <c r="L204" i="16"/>
  <c r="L213" i="15"/>
  <c r="N213" i="15"/>
  <c r="L4" i="2"/>
  <c r="L5" i="2"/>
  <c r="L7" i="2"/>
  <c r="L8" i="2"/>
  <c r="L145" i="2"/>
  <c r="L144" i="2"/>
  <c r="L9" i="2"/>
  <c r="L10" i="2"/>
  <c r="L12" i="2"/>
  <c r="L13" i="2"/>
  <c r="L14" i="2"/>
  <c r="L15" i="2"/>
  <c r="L17" i="2"/>
  <c r="L18" i="2"/>
  <c r="L19" i="2"/>
  <c r="L160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158" i="2"/>
  <c r="L33" i="2"/>
  <c r="L34" i="2"/>
  <c r="L35" i="2"/>
  <c r="L36" i="2"/>
  <c r="L38" i="2"/>
  <c r="L39" i="2"/>
  <c r="L40" i="2"/>
  <c r="L43" i="2"/>
  <c r="L44" i="2"/>
  <c r="L45" i="2"/>
  <c r="L46" i="2"/>
  <c r="L47" i="2"/>
  <c r="L48" i="2"/>
  <c r="L163" i="2"/>
  <c r="L49" i="2"/>
  <c r="L50" i="2"/>
  <c r="L51" i="2"/>
  <c r="L52" i="2"/>
  <c r="L53" i="2"/>
  <c r="L54" i="2"/>
  <c r="L55" i="2"/>
  <c r="L56" i="2"/>
  <c r="L57" i="2"/>
  <c r="L166" i="2"/>
  <c r="L59" i="2"/>
  <c r="L60" i="2"/>
  <c r="L6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9" i="2"/>
  <c r="L161" i="2"/>
  <c r="L162" i="2"/>
  <c r="L164" i="2"/>
  <c r="L165" i="2"/>
  <c r="L180" i="2"/>
  <c r="L181" i="2"/>
  <c r="L182" i="2"/>
  <c r="L183" i="2"/>
  <c r="L184" i="2"/>
  <c r="L185" i="2"/>
  <c r="L186" i="2"/>
  <c r="L187" i="2"/>
  <c r="L188" i="2"/>
  <c r="L189" i="2"/>
  <c r="L212" i="15"/>
  <c r="N212" i="15"/>
  <c r="L216" i="15"/>
  <c r="N216" i="15"/>
  <c r="L195" i="15"/>
  <c r="L193" i="15"/>
  <c r="L192" i="15"/>
  <c r="L186" i="15"/>
  <c r="L190" i="15"/>
  <c r="L187" i="15"/>
  <c r="N60" i="2"/>
  <c r="L188" i="15"/>
  <c r="L189" i="15"/>
  <c r="L191" i="15"/>
  <c r="N189" i="15"/>
  <c r="L194" i="15"/>
  <c r="L185" i="15"/>
  <c r="L184" i="15"/>
  <c r="L181" i="15"/>
  <c r="L182" i="15"/>
  <c r="L183" i="15"/>
  <c r="L180" i="15"/>
  <c r="L179" i="15"/>
  <c r="L178" i="15"/>
  <c r="L177" i="15"/>
  <c r="L176" i="15"/>
  <c r="L175" i="15"/>
  <c r="L173" i="15"/>
  <c r="L172" i="15"/>
  <c r="L167" i="15"/>
  <c r="N3" i="14"/>
  <c r="N4" i="14"/>
  <c r="N15" i="14"/>
  <c r="N16" i="14"/>
  <c r="N17" i="14"/>
  <c r="N18" i="14"/>
  <c r="N19" i="14"/>
  <c r="P3" i="14"/>
  <c r="P4" i="14"/>
  <c r="N57" i="2"/>
  <c r="N166" i="2"/>
  <c r="N59" i="2"/>
  <c r="L171" i="15"/>
  <c r="L170" i="15"/>
  <c r="L169" i="15"/>
  <c r="L168" i="15"/>
  <c r="L165" i="15"/>
  <c r="L163" i="15"/>
  <c r="L162" i="15"/>
  <c r="L161" i="15"/>
  <c r="L166" i="15"/>
  <c r="N164" i="15"/>
  <c r="L174" i="15"/>
  <c r="N174" i="15"/>
  <c r="L160" i="15"/>
  <c r="L159" i="15"/>
  <c r="P14" i="14"/>
  <c r="N56" i="2"/>
  <c r="N7" i="2"/>
  <c r="N8" i="2"/>
  <c r="N145" i="2"/>
  <c r="N144" i="2"/>
  <c r="N9" i="2"/>
  <c r="N10" i="2"/>
  <c r="N13" i="2"/>
  <c r="N14" i="2"/>
  <c r="N15" i="2"/>
  <c r="N17" i="2"/>
  <c r="N18" i="2"/>
  <c r="N19" i="2"/>
  <c r="N160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158" i="2"/>
  <c r="N33" i="2"/>
  <c r="N34" i="2"/>
  <c r="N35" i="2"/>
  <c r="N36" i="2"/>
  <c r="N39" i="2"/>
  <c r="N40" i="2"/>
  <c r="N44" i="2"/>
  <c r="N45" i="2"/>
  <c r="N46" i="2"/>
  <c r="N47" i="2"/>
  <c r="N48" i="2"/>
  <c r="N163" i="2"/>
  <c r="N49" i="2"/>
  <c r="N50" i="2"/>
  <c r="N51" i="2"/>
  <c r="N52" i="2"/>
  <c r="N53" i="2"/>
  <c r="N54" i="2"/>
  <c r="N55" i="2"/>
  <c r="N139" i="2"/>
  <c r="N140" i="2"/>
  <c r="N6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9" i="2"/>
  <c r="N161" i="2"/>
  <c r="N162" i="2"/>
  <c r="N164" i="2"/>
  <c r="N165" i="2"/>
  <c r="N180" i="2"/>
  <c r="N181" i="2"/>
  <c r="N182" i="2"/>
  <c r="N183" i="2"/>
  <c r="N184" i="2"/>
  <c r="N185" i="2"/>
  <c r="N186" i="2"/>
  <c r="N187" i="2"/>
  <c r="N188" i="2"/>
  <c r="N189" i="2"/>
  <c r="L155" i="15"/>
  <c r="L154" i="15"/>
  <c r="L83" i="15"/>
  <c r="L151" i="15"/>
  <c r="L150" i="15"/>
  <c r="L156" i="15"/>
  <c r="L157" i="15"/>
  <c r="L158" i="15"/>
  <c r="L149" i="15"/>
  <c r="L148" i="15"/>
  <c r="L147" i="15"/>
  <c r="L146" i="15"/>
  <c r="L144" i="15"/>
  <c r="L143" i="15"/>
  <c r="L142" i="15"/>
  <c r="N24" i="14"/>
  <c r="N29" i="14"/>
  <c r="P24" i="14"/>
  <c r="P27" i="14"/>
  <c r="L139" i="15"/>
  <c r="L138" i="15"/>
  <c r="L137" i="15"/>
  <c r="L140" i="15"/>
  <c r="L141" i="15"/>
  <c r="L145" i="15"/>
  <c r="N145" i="15"/>
  <c r="L134" i="15"/>
  <c r="L133" i="15"/>
  <c r="L132" i="15"/>
  <c r="L128" i="15"/>
  <c r="L127" i="15"/>
  <c r="L126" i="15"/>
  <c r="L125" i="15"/>
  <c r="L124" i="15"/>
  <c r="L123" i="15"/>
  <c r="L122" i="15"/>
  <c r="L121" i="15"/>
  <c r="L129" i="15"/>
  <c r="L130" i="15"/>
  <c r="L131" i="15"/>
  <c r="L120" i="15"/>
  <c r="L119" i="15"/>
  <c r="L118" i="15"/>
  <c r="L117" i="15"/>
  <c r="L211" i="2"/>
  <c r="L212" i="2"/>
  <c r="L213" i="2"/>
  <c r="L214" i="2"/>
  <c r="L215" i="2"/>
  <c r="L216" i="2"/>
  <c r="L116" i="15"/>
  <c r="N2" i="14"/>
  <c r="N20" i="14"/>
  <c r="P2" i="14"/>
  <c r="P15" i="14"/>
  <c r="P16" i="14"/>
  <c r="L91" i="15"/>
  <c r="L113" i="15"/>
  <c r="L112" i="15"/>
  <c r="L99" i="15"/>
  <c r="L114" i="15"/>
  <c r="L115" i="15"/>
  <c r="L135" i="15"/>
  <c r="L136" i="15"/>
  <c r="L111" i="15"/>
  <c r="L110" i="15"/>
  <c r="L109" i="15"/>
  <c r="L107" i="15"/>
  <c r="L106" i="15"/>
  <c r="L105" i="15"/>
  <c r="L104" i="15"/>
  <c r="L103" i="15"/>
  <c r="K116" i="14"/>
  <c r="L116" i="14"/>
  <c r="O116" i="14"/>
  <c r="L102" i="15"/>
  <c r="L100" i="15"/>
  <c r="L101" i="15"/>
  <c r="L108" i="15"/>
  <c r="N108" i="15"/>
  <c r="L98" i="15"/>
  <c r="L97" i="15"/>
  <c r="L96" i="15"/>
  <c r="L95" i="15"/>
  <c r="L94" i="15"/>
  <c r="L92" i="15"/>
  <c r="L90" i="15"/>
  <c r="L89" i="15"/>
  <c r="L88" i="15"/>
  <c r="L86" i="15"/>
  <c r="L87" i="15"/>
  <c r="L93" i="15"/>
  <c r="N87" i="15"/>
  <c r="L85" i="15"/>
  <c r="L82" i="15"/>
  <c r="L81" i="15"/>
  <c r="L80" i="15"/>
  <c r="L199" i="2"/>
  <c r="L200" i="2"/>
  <c r="L201" i="2"/>
  <c r="L202" i="2"/>
  <c r="L79" i="15"/>
  <c r="L78" i="15"/>
  <c r="L77" i="15"/>
  <c r="L76" i="15"/>
  <c r="L141" i="2"/>
  <c r="L75" i="15"/>
  <c r="L74" i="15"/>
  <c r="L84" i="15"/>
  <c r="L73" i="15"/>
  <c r="L72" i="15"/>
  <c r="L71" i="15"/>
  <c r="L70" i="15"/>
  <c r="L69" i="15"/>
  <c r="L68" i="15"/>
  <c r="L67" i="15"/>
  <c r="L66" i="15"/>
  <c r="L65" i="15"/>
  <c r="L62" i="15"/>
  <c r="L61" i="15"/>
  <c r="L60" i="15"/>
  <c r="L59" i="15"/>
  <c r="N59" i="15"/>
  <c r="L63" i="15"/>
  <c r="L64" i="15"/>
  <c r="L58" i="15"/>
  <c r="L57" i="15"/>
  <c r="L56" i="15"/>
  <c r="L54" i="15"/>
  <c r="L53" i="15"/>
  <c r="L52" i="15"/>
  <c r="L51" i="15"/>
  <c r="L55" i="15"/>
  <c r="L50" i="15"/>
  <c r="L49" i="15"/>
  <c r="L48" i="15"/>
  <c r="L47" i="15"/>
  <c r="L46" i="15"/>
  <c r="L44" i="15"/>
  <c r="L41" i="15"/>
  <c r="L39" i="15"/>
  <c r="L37" i="15"/>
  <c r="L38" i="15"/>
  <c r="L40" i="15"/>
  <c r="L42" i="15"/>
  <c r="L43" i="15"/>
  <c r="L45" i="15"/>
  <c r="N40" i="15"/>
  <c r="L36" i="15"/>
  <c r="L35" i="15"/>
  <c r="L34" i="15"/>
  <c r="L33" i="15"/>
  <c r="L31" i="15"/>
  <c r="L30" i="15"/>
  <c r="L29" i="15"/>
  <c r="L28" i="15"/>
  <c r="L27" i="15"/>
  <c r="L26" i="15"/>
  <c r="L25" i="15"/>
  <c r="L32" i="15"/>
  <c r="N32" i="15"/>
  <c r="L23" i="15"/>
  <c r="L22" i="15"/>
  <c r="L21" i="15"/>
  <c r="L14" i="15"/>
  <c r="L20" i="15"/>
  <c r="L19" i="15"/>
  <c r="L18" i="15"/>
  <c r="L17" i="15"/>
  <c r="L16" i="15"/>
  <c r="L24" i="15"/>
  <c r="L15" i="15"/>
  <c r="L13" i="15"/>
  <c r="L2" i="2"/>
  <c r="N2" i="2"/>
  <c r="N98" i="19" l="1"/>
  <c r="D64" i="17"/>
  <c r="N225" i="16"/>
  <c r="L225" i="16"/>
  <c r="L11" i="15"/>
  <c r="L10" i="15"/>
  <c r="L12" i="15"/>
  <c r="L7" i="15"/>
  <c r="L8" i="15" l="1"/>
  <c r="L9" i="15"/>
  <c r="L6" i="15"/>
  <c r="L5" i="15"/>
  <c r="L4" i="15"/>
  <c r="L3" i="15"/>
  <c r="L2" i="15"/>
  <c r="N221" i="15" l="1"/>
  <c r="N219" i="15"/>
  <c r="M218" i="15"/>
  <c r="J218" i="15"/>
  <c r="N217" i="15"/>
  <c r="L217" i="15"/>
  <c r="G217" i="15"/>
  <c r="N215" i="15"/>
  <c r="L215" i="15"/>
  <c r="N214" i="15"/>
  <c r="L214" i="15"/>
  <c r="N211" i="15"/>
  <c r="L211" i="15"/>
  <c r="N210" i="15"/>
  <c r="L210" i="15"/>
  <c r="N209" i="15"/>
  <c r="L209" i="15"/>
  <c r="N208" i="15"/>
  <c r="L208" i="15"/>
  <c r="N207" i="15"/>
  <c r="L207" i="15"/>
  <c r="N206" i="15"/>
  <c r="L206" i="15"/>
  <c r="N205" i="15"/>
  <c r="L205" i="15"/>
  <c r="N204" i="15"/>
  <c r="L204" i="15"/>
  <c r="N203" i="15"/>
  <c r="L203" i="15"/>
  <c r="N202" i="15"/>
  <c r="L202" i="15"/>
  <c r="N201" i="15"/>
  <c r="L201" i="15"/>
  <c r="N200" i="15"/>
  <c r="L200" i="15"/>
  <c r="N199" i="15"/>
  <c r="L199" i="15"/>
  <c r="N198" i="15"/>
  <c r="L198" i="15"/>
  <c r="N197" i="15"/>
  <c r="L197" i="15"/>
  <c r="L196" i="15"/>
  <c r="L229" i="2"/>
  <c r="L187" i="13"/>
  <c r="L186" i="13"/>
  <c r="N22" i="14"/>
  <c r="N23" i="14"/>
  <c r="L142" i="2"/>
  <c r="L143" i="2"/>
  <c r="L190" i="2"/>
  <c r="L191" i="2"/>
  <c r="L192" i="2"/>
  <c r="L193" i="2"/>
  <c r="L194" i="2"/>
  <c r="L195" i="2"/>
  <c r="L196" i="2"/>
  <c r="L197" i="2"/>
  <c r="L198" i="2"/>
  <c r="L203" i="2"/>
  <c r="L204" i="2"/>
  <c r="L205" i="2"/>
  <c r="L206" i="2"/>
  <c r="L207" i="2"/>
  <c r="L208" i="2"/>
  <c r="L209" i="2"/>
  <c r="L210" i="2"/>
  <c r="L218" i="2"/>
  <c r="L219" i="2"/>
  <c r="L220" i="2"/>
  <c r="L221" i="2"/>
  <c r="L222" i="2"/>
  <c r="L223" i="2"/>
  <c r="L224" i="2"/>
  <c r="L225" i="2"/>
  <c r="L226" i="2"/>
  <c r="L227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188" i="13"/>
  <c r="L189" i="13"/>
  <c r="L190" i="13"/>
  <c r="L191" i="13"/>
  <c r="N189" i="13"/>
  <c r="N190" i="13"/>
  <c r="N191" i="13"/>
  <c r="L185" i="13"/>
  <c r="L184" i="13"/>
  <c r="L183" i="13"/>
  <c r="L182" i="13"/>
  <c r="L181" i="13"/>
  <c r="L178" i="13"/>
  <c r="K31" i="14"/>
  <c r="G30" i="14" s="1"/>
  <c r="G31" i="14" s="1"/>
  <c r="L31" i="14"/>
  <c r="L177" i="13"/>
  <c r="L176" i="13"/>
  <c r="L243" i="2" l="1"/>
  <c r="N218" i="15"/>
  <c r="L218" i="15"/>
  <c r="L179" i="13"/>
  <c r="L180" i="13"/>
  <c r="L175" i="13"/>
  <c r="L173" i="13"/>
  <c r="L172" i="13"/>
  <c r="L169" i="13"/>
  <c r="L168" i="13"/>
  <c r="N5" i="2" l="1"/>
  <c r="L170" i="13"/>
  <c r="L171" i="13"/>
  <c r="L192" i="13"/>
  <c r="N192" i="13"/>
  <c r="L167" i="13"/>
  <c r="L166" i="13"/>
  <c r="L165" i="13"/>
  <c r="L164" i="13"/>
  <c r="L163" i="13"/>
  <c r="L162" i="13"/>
  <c r="L160" i="13"/>
  <c r="L158" i="13"/>
  <c r="L159" i="13" l="1"/>
  <c r="L157" i="13"/>
  <c r="L156" i="13"/>
  <c r="L154" i="13"/>
  <c r="L153" i="13"/>
  <c r="L152" i="13"/>
  <c r="L155" i="13" l="1"/>
  <c r="L161" i="13"/>
  <c r="L151" i="13"/>
  <c r="L149" i="13"/>
  <c r="L148" i="13"/>
  <c r="L147" i="13"/>
  <c r="L146" i="13"/>
  <c r="L144" i="13"/>
  <c r="L142" i="13" l="1"/>
  <c r="L141" i="13"/>
  <c r="L140" i="13"/>
  <c r="P115" i="14"/>
  <c r="P114" i="14"/>
  <c r="L143" i="13"/>
  <c r="L145" i="13"/>
  <c r="L150" i="13"/>
  <c r="L139" i="13"/>
  <c r="L138" i="13"/>
  <c r="L137" i="13"/>
  <c r="L136" i="13"/>
  <c r="L135" i="13"/>
  <c r="L134" i="13"/>
  <c r="L133" i="13"/>
  <c r="N30" i="14"/>
  <c r="P17" i="14"/>
  <c r="P18" i="14"/>
  <c r="P19" i="14"/>
  <c r="P20" i="14"/>
  <c r="P21" i="14"/>
  <c r="P22" i="14"/>
  <c r="P23" i="14"/>
  <c r="P28" i="14"/>
  <c r="P29" i="14"/>
  <c r="P30" i="14"/>
  <c r="P116" i="14" l="1"/>
  <c r="N31" i="14"/>
  <c r="L132" i="13"/>
  <c r="N132" i="13"/>
  <c r="L131" i="13"/>
  <c r="L130" i="13"/>
  <c r="L129" i="13"/>
  <c r="L128" i="13"/>
  <c r="L127" i="13"/>
  <c r="L126" i="13"/>
  <c r="L125" i="13"/>
  <c r="L124" i="13" l="1"/>
  <c r="L123" i="13"/>
  <c r="L122" i="13"/>
  <c r="L121" i="13"/>
  <c r="L120" i="13"/>
  <c r="L119" i="13"/>
  <c r="L118" i="13"/>
  <c r="L117" i="13"/>
  <c r="L116" i="13"/>
  <c r="L115" i="13" l="1"/>
  <c r="L114" i="13"/>
  <c r="L113" i="13"/>
  <c r="L112" i="13"/>
  <c r="L111" i="13"/>
  <c r="L110" i="13" l="1"/>
  <c r="L109" i="13"/>
  <c r="L108" i="13"/>
  <c r="L106" i="13"/>
  <c r="L105" i="13"/>
  <c r="L107" i="13"/>
  <c r="L104" i="13" l="1"/>
  <c r="L103" i="13"/>
  <c r="L193" i="13"/>
  <c r="N193" i="13"/>
  <c r="L102" i="13"/>
  <c r="L101" i="13"/>
  <c r="L100" i="13"/>
  <c r="L99" i="13"/>
  <c r="L98" i="13"/>
  <c r="L97" i="13"/>
  <c r="N194" i="13"/>
  <c r="L96" i="13"/>
  <c r="L95" i="13"/>
  <c r="L94" i="13"/>
  <c r="L93" i="13"/>
  <c r="L92" i="13"/>
  <c r="L91" i="13"/>
  <c r="L90" i="13"/>
  <c r="L88" i="13" l="1"/>
  <c r="L87" i="13"/>
  <c r="L86" i="13"/>
  <c r="L85" i="13"/>
  <c r="L84" i="13"/>
  <c r="L83" i="13"/>
  <c r="L82" i="13"/>
  <c r="L81" i="13"/>
  <c r="L80" i="13" l="1"/>
  <c r="L79" i="13"/>
  <c r="L78" i="13"/>
  <c r="L77" i="13"/>
  <c r="L76" i="13"/>
  <c r="L75" i="13"/>
  <c r="L74" i="13"/>
  <c r="L73" i="13"/>
  <c r="L72" i="13" l="1"/>
  <c r="L71" i="13"/>
  <c r="L70" i="13"/>
  <c r="L69" i="13" l="1"/>
  <c r="L68" i="13"/>
  <c r="L67" i="13"/>
  <c r="L66" i="13"/>
  <c r="L65" i="13"/>
  <c r="L64" i="13"/>
  <c r="L63" i="13"/>
  <c r="L62" i="13"/>
  <c r="L61" i="13"/>
  <c r="L60" i="13"/>
  <c r="L58" i="13"/>
  <c r="L59" i="13" l="1"/>
  <c r="N59" i="13"/>
  <c r="L57" i="13"/>
  <c r="L55" i="13"/>
  <c r="L54" i="13"/>
  <c r="L53" i="13" l="1"/>
  <c r="L32" i="13"/>
  <c r="L52" i="13" l="1"/>
  <c r="L51" i="13"/>
  <c r="L50" i="13"/>
  <c r="L49" i="13"/>
  <c r="L48" i="13"/>
  <c r="L47" i="13" l="1"/>
  <c r="L46" i="13"/>
  <c r="L45" i="13"/>
  <c r="L44" i="13"/>
  <c r="L56" i="13"/>
  <c r="N44" i="13"/>
  <c r="N56" i="13"/>
  <c r="L43" i="13"/>
  <c r="L42" i="13"/>
  <c r="L41" i="13"/>
  <c r="L40" i="13"/>
  <c r="L39" i="13" l="1"/>
  <c r="L38" i="13"/>
  <c r="L37" i="13"/>
  <c r="L36" i="13"/>
  <c r="L35" i="13"/>
  <c r="L34" i="13"/>
  <c r="L33" i="13"/>
  <c r="L31" i="13"/>
  <c r="L30" i="13" l="1"/>
  <c r="L29" i="13"/>
  <c r="L28" i="13"/>
  <c r="L26" i="13"/>
  <c r="L27" i="13" l="1"/>
  <c r="N27" i="13"/>
  <c r="L25" i="13"/>
  <c r="L24" i="13"/>
  <c r="L19" i="13"/>
  <c r="L23" i="13"/>
  <c r="L22" i="13"/>
  <c r="L21" i="13"/>
  <c r="L20" i="13"/>
  <c r="L18" i="13" l="1"/>
  <c r="L17" i="13"/>
  <c r="L16" i="13"/>
  <c r="L15" i="13"/>
  <c r="L14" i="13"/>
  <c r="L13" i="13"/>
  <c r="L12" i="13"/>
  <c r="L11" i="13"/>
  <c r="N195" i="13" l="1"/>
  <c r="N196" i="13"/>
  <c r="N197" i="13"/>
  <c r="N198" i="13"/>
  <c r="N199" i="13"/>
  <c r="N200" i="13"/>
  <c r="N201" i="13"/>
  <c r="N202" i="13"/>
  <c r="N203" i="13"/>
  <c r="L194" i="13"/>
  <c r="L195" i="13"/>
  <c r="L196" i="13"/>
  <c r="L197" i="13"/>
  <c r="L198" i="13"/>
  <c r="L199" i="13"/>
  <c r="L200" i="13"/>
  <c r="L201" i="13"/>
  <c r="L202" i="13"/>
  <c r="L203" i="13"/>
  <c r="L204" i="13"/>
  <c r="L89" i="13"/>
  <c r="N89" i="13"/>
  <c r="L10" i="13"/>
  <c r="L9" i="13"/>
  <c r="L8" i="13"/>
  <c r="L7" i="13"/>
  <c r="L6" i="13"/>
  <c r="L5" i="13"/>
  <c r="L4" i="13"/>
  <c r="L3" i="13"/>
  <c r="L2" i="13"/>
  <c r="N219" i="13"/>
  <c r="N218" i="13"/>
  <c r="N217" i="13"/>
  <c r="M216" i="13"/>
  <c r="J216" i="13"/>
  <c r="N215" i="13"/>
  <c r="L215" i="13"/>
  <c r="G215" i="13"/>
  <c r="N214" i="13"/>
  <c r="L214" i="13"/>
  <c r="N213" i="13"/>
  <c r="L213" i="13"/>
  <c r="N212" i="13"/>
  <c r="L212" i="13"/>
  <c r="N211" i="13"/>
  <c r="L211" i="13"/>
  <c r="N210" i="13"/>
  <c r="L210" i="13"/>
  <c r="N209" i="13"/>
  <c r="L209" i="13"/>
  <c r="N208" i="13"/>
  <c r="L208" i="13"/>
  <c r="N207" i="13"/>
  <c r="L207" i="13"/>
  <c r="N206" i="13"/>
  <c r="L206" i="13"/>
  <c r="N205" i="13"/>
  <c r="L205" i="13"/>
  <c r="N204" i="13"/>
  <c r="L216" i="13" l="1"/>
  <c r="N216" i="13"/>
  <c r="L202" i="12"/>
  <c r="L201" i="12"/>
  <c r="L200" i="12"/>
  <c r="L199" i="12"/>
  <c r="L198" i="12"/>
  <c r="L197" i="12"/>
  <c r="L196" i="12" l="1"/>
  <c r="L203" i="12"/>
  <c r="N196" i="12"/>
  <c r="N203" i="12"/>
  <c r="L195" i="12"/>
  <c r="L194" i="12"/>
  <c r="L193" i="12"/>
  <c r="L192" i="12"/>
  <c r="L191" i="12"/>
  <c r="L190" i="12"/>
  <c r="L189" i="12"/>
  <c r="L188" i="12" l="1"/>
  <c r="L187" i="12"/>
  <c r="L186" i="12"/>
  <c r="L185" i="12" l="1"/>
  <c r="L183" i="12" l="1"/>
  <c r="L181" i="12"/>
  <c r="L182" i="12"/>
  <c r="L184" i="12"/>
  <c r="N182" i="12"/>
  <c r="N184" i="12"/>
  <c r="L204" i="12"/>
  <c r="L205" i="12"/>
  <c r="L206" i="12"/>
  <c r="N204" i="12"/>
  <c r="N205" i="12"/>
  <c r="N206" i="12"/>
  <c r="L180" i="12"/>
  <c r="L179" i="12"/>
  <c r="L178" i="12"/>
  <c r="L177" i="12"/>
  <c r="L176" i="12"/>
  <c r="L175" i="12"/>
  <c r="L174" i="12"/>
  <c r="L173" i="12"/>
  <c r="L172" i="12" l="1"/>
  <c r="N172" i="12"/>
  <c r="L171" i="12"/>
  <c r="L170" i="12"/>
  <c r="L169" i="12"/>
  <c r="L168" i="12"/>
  <c r="L167" i="12"/>
  <c r="L166" i="12"/>
  <c r="L165" i="12"/>
  <c r="L164" i="12"/>
  <c r="L163" i="12"/>
  <c r="L162" i="12"/>
  <c r="L160" i="12" l="1"/>
  <c r="L159" i="12"/>
  <c r="L158" i="12"/>
  <c r="L157" i="12"/>
  <c r="L161" i="12"/>
  <c r="N161" i="12"/>
  <c r="L156" i="12" l="1"/>
  <c r="L155" i="12"/>
  <c r="L154" i="12"/>
  <c r="N210" i="12" l="1"/>
  <c r="N211" i="12"/>
  <c r="N212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L153" i="12"/>
  <c r="L151" i="12"/>
  <c r="L150" i="12"/>
  <c r="L149" i="12"/>
  <c r="L141" i="12"/>
  <c r="L148" i="12"/>
  <c r="L147" i="12" l="1"/>
  <c r="L146" i="12"/>
  <c r="L145" i="12"/>
  <c r="N4" i="2"/>
  <c r="L144" i="12"/>
  <c r="L143" i="12"/>
  <c r="L142" i="12"/>
  <c r="L140" i="12"/>
  <c r="L139" i="12"/>
  <c r="L138" i="12"/>
  <c r="L137" i="12"/>
  <c r="L136" i="12"/>
  <c r="L135" i="12" l="1"/>
  <c r="L134" i="12"/>
  <c r="I217" i="2" l="1"/>
  <c r="I242" i="2"/>
  <c r="L133" i="12"/>
  <c r="L93" i="12"/>
  <c r="L132" i="12"/>
  <c r="L97" i="12" l="1"/>
  <c r="L86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6" i="12"/>
  <c r="L55" i="12"/>
  <c r="L54" i="12"/>
  <c r="L53" i="12"/>
  <c r="L52" i="12"/>
  <c r="L51" i="12"/>
  <c r="L50" i="12"/>
  <c r="L49" i="12"/>
  <c r="L48" i="12"/>
  <c r="L47" i="12"/>
  <c r="L57" i="12"/>
  <c r="L46" i="12"/>
  <c r="L45" i="12"/>
  <c r="L44" i="12"/>
  <c r="L43" i="12"/>
  <c r="L42" i="12"/>
  <c r="L41" i="12"/>
  <c r="L40" i="12"/>
  <c r="L39" i="12"/>
  <c r="L38" i="12"/>
  <c r="L36" i="12"/>
  <c r="L35" i="12"/>
  <c r="L34" i="12"/>
  <c r="L33" i="12"/>
  <c r="L31" i="12" l="1"/>
  <c r="L14" i="12"/>
  <c r="L30" i="12"/>
  <c r="L26" i="12"/>
  <c r="L29" i="12"/>
  <c r="L28" i="12"/>
  <c r="L27" i="12"/>
  <c r="L25" i="12"/>
  <c r="L24" i="12"/>
  <c r="L23" i="12"/>
  <c r="L22" i="12" l="1"/>
  <c r="L21" i="12"/>
  <c r="L20" i="12"/>
  <c r="L19" i="12"/>
  <c r="L18" i="12"/>
  <c r="L17" i="12"/>
  <c r="L16" i="12"/>
  <c r="L15" i="12"/>
  <c r="L13" i="12"/>
  <c r="L12" i="12"/>
  <c r="L11" i="12"/>
  <c r="L10" i="12"/>
  <c r="L8" i="12"/>
  <c r="L7" i="12"/>
  <c r="L9" i="12"/>
  <c r="N9" i="12"/>
  <c r="L32" i="12"/>
  <c r="N32" i="12"/>
  <c r="L6" i="12"/>
  <c r="L5" i="12"/>
  <c r="L4" i="12"/>
  <c r="L3" i="12"/>
  <c r="L2" i="12"/>
  <c r="N233" i="12"/>
  <c r="N232" i="12"/>
  <c r="N231" i="12"/>
  <c r="M230" i="12"/>
  <c r="J230" i="12"/>
  <c r="L229" i="12"/>
  <c r="G229" i="12"/>
  <c r="L228" i="12"/>
  <c r="L227" i="12"/>
  <c r="L226" i="12"/>
  <c r="L225" i="12"/>
  <c r="L224" i="12"/>
  <c r="L223" i="12"/>
  <c r="L222" i="12"/>
  <c r="L221" i="12"/>
  <c r="L220" i="12"/>
  <c r="L219" i="12"/>
  <c r="L218" i="12"/>
  <c r="L217" i="12"/>
  <c r="L216" i="12"/>
  <c r="L215" i="12"/>
  <c r="L212" i="12"/>
  <c r="L211" i="12"/>
  <c r="L210" i="12"/>
  <c r="N209" i="12"/>
  <c r="L209" i="12"/>
  <c r="N208" i="12"/>
  <c r="L208" i="12"/>
  <c r="N207" i="12"/>
  <c r="L207" i="12"/>
  <c r="N230" i="12" l="1"/>
  <c r="L230" i="12"/>
  <c r="K191" i="11"/>
  <c r="K190" i="11"/>
  <c r="K189" i="11"/>
  <c r="K188" i="11"/>
  <c r="K187" i="11"/>
  <c r="K185" i="11" l="1"/>
  <c r="K180" i="11"/>
  <c r="K183" i="11"/>
  <c r="K182" i="11"/>
  <c r="K181" i="11" l="1"/>
  <c r="K179" i="11"/>
  <c r="K178" i="11"/>
  <c r="K177" i="11"/>
  <c r="K176" i="11"/>
  <c r="K175" i="11"/>
  <c r="K174" i="11"/>
  <c r="K173" i="11"/>
  <c r="K184" i="11"/>
  <c r="M184" i="11"/>
  <c r="K172" i="11" l="1"/>
  <c r="K171" i="11"/>
  <c r="K170" i="11"/>
  <c r="K192" i="11"/>
  <c r="M192" i="11"/>
  <c r="K169" i="11"/>
  <c r="K168" i="11"/>
  <c r="K167" i="11"/>
  <c r="K166" i="11" l="1"/>
  <c r="K165" i="11"/>
  <c r="K164" i="11"/>
  <c r="K163" i="11" l="1"/>
  <c r="K162" i="11"/>
  <c r="K161" i="11" l="1"/>
  <c r="K160" i="11"/>
  <c r="K159" i="11"/>
  <c r="K158" i="11"/>
  <c r="K157" i="11"/>
  <c r="K156" i="11"/>
  <c r="K155" i="11"/>
  <c r="K154" i="11"/>
  <c r="K153" i="11"/>
  <c r="K152" i="11"/>
  <c r="K151" i="11"/>
  <c r="K150" i="11"/>
  <c r="K149" i="11"/>
  <c r="K148" i="11"/>
  <c r="K147" i="11"/>
  <c r="K146" i="11"/>
  <c r="K145" i="11"/>
  <c r="K144" i="11"/>
  <c r="K143" i="11"/>
  <c r="K142" i="11"/>
  <c r="K141" i="11" l="1"/>
  <c r="K129" i="11"/>
  <c r="M140" i="11"/>
  <c r="K34" i="11"/>
  <c r="K139" i="11"/>
  <c r="K138" i="11"/>
  <c r="K137" i="11"/>
  <c r="K136" i="11"/>
  <c r="K135" i="11"/>
  <c r="K134" i="11"/>
  <c r="K133" i="11"/>
  <c r="K132" i="11"/>
  <c r="K131" i="11"/>
  <c r="K130" i="11" l="1"/>
  <c r="K128" i="11"/>
  <c r="K127" i="11"/>
  <c r="K126" i="11"/>
  <c r="K125" i="11"/>
  <c r="K124" i="11"/>
  <c r="K123" i="11"/>
  <c r="K122" i="11"/>
  <c r="K121" i="11"/>
  <c r="K120" i="11" l="1"/>
  <c r="K119" i="11" l="1"/>
  <c r="K118" i="11"/>
  <c r="K117" i="11"/>
  <c r="K116" i="11"/>
  <c r="K115" i="11"/>
  <c r="K114" i="11"/>
  <c r="K113" i="11"/>
  <c r="K112" i="11"/>
  <c r="K111" i="11"/>
  <c r="K110" i="11"/>
  <c r="K109" i="11"/>
  <c r="K108" i="11"/>
  <c r="K107" i="11"/>
  <c r="K105" i="11" l="1"/>
  <c r="K106" i="11"/>
  <c r="K102" i="11" l="1"/>
  <c r="K101" i="11"/>
  <c r="K104" i="11"/>
  <c r="K103" i="11"/>
  <c r="K100" i="11" l="1"/>
  <c r="K99" i="11" l="1"/>
  <c r="K98" i="11" l="1"/>
  <c r="K97" i="11"/>
  <c r="K96" i="11"/>
  <c r="K95" i="11"/>
  <c r="K94" i="11"/>
  <c r="K93" i="11"/>
  <c r="K193" i="11"/>
  <c r="K194" i="11"/>
  <c r="M193" i="11"/>
  <c r="M194" i="11"/>
  <c r="K92" i="11"/>
  <c r="K90" i="11" l="1"/>
  <c r="K88" i="11"/>
  <c r="K87" i="11"/>
  <c r="K86" i="11"/>
  <c r="K85" i="11"/>
  <c r="K84" i="11"/>
  <c r="K83" i="11"/>
  <c r="K82" i="11"/>
  <c r="K81" i="11"/>
  <c r="K80" i="11"/>
  <c r="K79" i="11"/>
  <c r="K78" i="11"/>
  <c r="K77" i="11"/>
  <c r="K76" i="11" l="1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4" i="11" l="1"/>
  <c r="K53" i="11"/>
  <c r="K52" i="11"/>
  <c r="K51" i="11"/>
  <c r="K50" i="11"/>
  <c r="K49" i="11"/>
  <c r="K48" i="11"/>
  <c r="K47" i="11"/>
  <c r="K46" i="11" l="1"/>
  <c r="K45" i="11"/>
  <c r="K44" i="11"/>
  <c r="K43" i="11"/>
  <c r="K42" i="11"/>
  <c r="K41" i="11" l="1"/>
  <c r="K40" i="11"/>
  <c r="K39" i="11"/>
  <c r="K38" i="11"/>
  <c r="K37" i="11"/>
  <c r="K36" i="11"/>
  <c r="K35" i="11"/>
  <c r="K33" i="11"/>
  <c r="M89" i="11" l="1"/>
  <c r="K91" i="11"/>
  <c r="M91" i="11"/>
  <c r="K31" i="11"/>
  <c r="K30" i="11"/>
  <c r="K29" i="11"/>
  <c r="K28" i="11"/>
  <c r="K27" i="11"/>
  <c r="K26" i="11"/>
  <c r="K25" i="11"/>
  <c r="K24" i="11"/>
  <c r="K23" i="11"/>
  <c r="K22" i="11"/>
  <c r="K21" i="11"/>
  <c r="K201" i="11" l="1"/>
  <c r="M201" i="11"/>
  <c r="K20" i="11"/>
  <c r="K19" i="11"/>
  <c r="K18" i="11"/>
  <c r="K17" i="11"/>
  <c r="K16" i="11" l="1"/>
  <c r="K15" i="11"/>
  <c r="K14" i="11"/>
  <c r="K12" i="11"/>
  <c r="K13" i="11"/>
  <c r="K11" i="11"/>
  <c r="K10" i="11"/>
  <c r="K9" i="11"/>
  <c r="K8" i="11"/>
  <c r="K7" i="11"/>
  <c r="K195" i="11" l="1"/>
  <c r="M195" i="11"/>
  <c r="K196" i="11"/>
  <c r="M196" i="11"/>
  <c r="K2" i="11"/>
  <c r="M2" i="11" s="1"/>
  <c r="K3" i="11"/>
  <c r="M3" i="11" s="1"/>
  <c r="K4" i="11"/>
  <c r="M4" i="11" s="1"/>
  <c r="K5" i="11"/>
  <c r="M5" i="11" s="1"/>
  <c r="K6" i="11"/>
  <c r="M6" i="11" s="1"/>
  <c r="K197" i="11"/>
  <c r="M197" i="11" s="1"/>
  <c r="K198" i="11"/>
  <c r="M198" i="11" s="1"/>
  <c r="K199" i="11"/>
  <c r="M199" i="11" s="1"/>
  <c r="K200" i="11"/>
  <c r="M200" i="11" s="1"/>
  <c r="K202" i="11"/>
  <c r="M202" i="11" s="1"/>
  <c r="K203" i="11"/>
  <c r="M203" i="11" s="1"/>
  <c r="K204" i="11"/>
  <c r="M204" i="11" s="1"/>
  <c r="K205" i="11"/>
  <c r="M205" i="11" s="1"/>
  <c r="K206" i="11"/>
  <c r="M206" i="11" s="1"/>
  <c r="K207" i="11"/>
  <c r="M207" i="11" s="1"/>
  <c r="K208" i="11"/>
  <c r="M208" i="11" s="1"/>
  <c r="K209" i="11"/>
  <c r="M209" i="11" s="1"/>
  <c r="K210" i="11"/>
  <c r="M210" i="11" s="1"/>
  <c r="K211" i="11"/>
  <c r="M211" i="11" s="1"/>
  <c r="K212" i="11"/>
  <c r="M212" i="11" s="1"/>
  <c r="K213" i="11"/>
  <c r="M213" i="11" s="1"/>
  <c r="K214" i="11"/>
  <c r="M214" i="11" s="1"/>
  <c r="K215" i="11"/>
  <c r="M215" i="11" s="1"/>
  <c r="F215" i="11"/>
  <c r="M216" i="11" l="1"/>
  <c r="K216" i="11"/>
  <c r="L80" i="10" l="1"/>
  <c r="L98" i="10"/>
  <c r="L115" i="10" l="1"/>
  <c r="L128" i="8" l="1"/>
  <c r="L124" i="8"/>
  <c r="L116" i="10"/>
  <c r="M219" i="11" l="1"/>
  <c r="M218" i="11"/>
  <c r="M217" i="11"/>
  <c r="L216" i="11"/>
  <c r="I216" i="11"/>
  <c r="L99" i="9" l="1"/>
  <c r="L140" i="10"/>
  <c r="L139" i="10"/>
  <c r="L138" i="10"/>
  <c r="K137" i="10"/>
  <c r="I137" i="10"/>
  <c r="L136" i="10"/>
  <c r="L135" i="10"/>
  <c r="L134" i="10"/>
  <c r="L133" i="10"/>
  <c r="L132" i="10"/>
  <c r="L131" i="10"/>
  <c r="L130" i="10"/>
  <c r="L129" i="10"/>
  <c r="L128" i="10"/>
  <c r="L127" i="10"/>
  <c r="L126" i="10"/>
  <c r="L125" i="10"/>
  <c r="L124" i="10"/>
  <c r="L123" i="10"/>
  <c r="L122" i="10"/>
  <c r="L121" i="10"/>
  <c r="L120" i="10"/>
  <c r="L119" i="10"/>
  <c r="L118" i="10"/>
  <c r="L117" i="10"/>
  <c r="L19" i="9"/>
  <c r="L22" i="9"/>
  <c r="L100" i="9"/>
  <c r="L101" i="9"/>
  <c r="L103" i="9"/>
  <c r="L123" i="9"/>
  <c r="L122" i="9"/>
  <c r="L121" i="9"/>
  <c r="K120" i="9"/>
  <c r="I120" i="9"/>
  <c r="L119" i="9"/>
  <c r="L118" i="9"/>
  <c r="L117" i="9"/>
  <c r="L116" i="9"/>
  <c r="L115" i="9"/>
  <c r="L114" i="9"/>
  <c r="L113" i="9"/>
  <c r="L112" i="9"/>
  <c r="L111" i="9"/>
  <c r="L110" i="9"/>
  <c r="L109" i="9"/>
  <c r="L108" i="9"/>
  <c r="L107" i="9"/>
  <c r="L106" i="9"/>
  <c r="L105" i="9"/>
  <c r="L104" i="9"/>
  <c r="L102" i="9"/>
  <c r="L137" i="10" l="1"/>
  <c r="L120" i="9"/>
  <c r="L105" i="8"/>
  <c r="L106" i="8" l="1"/>
  <c r="L72" i="8"/>
  <c r="L78" i="8"/>
  <c r="L79" i="8"/>
  <c r="L54" i="8"/>
  <c r="L45" i="8"/>
  <c r="L36" i="8"/>
  <c r="L38" i="8"/>
  <c r="L141" i="8"/>
  <c r="L142" i="8"/>
  <c r="L140" i="8"/>
  <c r="K139" i="8"/>
  <c r="I139" i="8"/>
  <c r="L138" i="8"/>
  <c r="L137" i="8"/>
  <c r="L136" i="8"/>
  <c r="L135" i="8"/>
  <c r="L134" i="8"/>
  <c r="L133" i="8"/>
  <c r="L132" i="8"/>
  <c r="L131" i="8"/>
  <c r="L130" i="8"/>
  <c r="L129" i="8"/>
  <c r="L127" i="8"/>
  <c r="L126" i="8"/>
  <c r="L125" i="8"/>
  <c r="L123" i="8"/>
  <c r="L122" i="8"/>
  <c r="L121" i="8"/>
  <c r="K169" i="7"/>
  <c r="I169" i="7"/>
  <c r="H169" i="7"/>
  <c r="L168" i="4"/>
  <c r="L134" i="4"/>
  <c r="L135" i="4"/>
  <c r="L132" i="4"/>
  <c r="L133" i="4"/>
  <c r="L140" i="4"/>
  <c r="L141" i="4"/>
  <c r="L111" i="4"/>
  <c r="L116" i="4"/>
  <c r="L123" i="4"/>
  <c r="L98" i="4"/>
  <c r="L88" i="4"/>
  <c r="L89" i="4"/>
  <c r="L30" i="4"/>
  <c r="L169" i="7"/>
  <c r="L154" i="3"/>
  <c r="L167" i="3" s="1"/>
  <c r="L155" i="3"/>
  <c r="H167" i="3"/>
  <c r="I167" i="3"/>
  <c r="L139" i="3"/>
  <c r="H195" i="4"/>
  <c r="I195" i="4"/>
  <c r="K195" i="4"/>
  <c r="K167" i="3"/>
  <c r="L195" i="4" l="1"/>
  <c r="L139" i="8"/>
</calcChain>
</file>

<file path=xl/sharedStrings.xml><?xml version="1.0" encoding="utf-8"?>
<sst xmlns="http://schemas.openxmlformats.org/spreadsheetml/2006/main" count="11089" uniqueCount="1791">
  <si>
    <t>BREND</t>
  </si>
  <si>
    <t>RANGI</t>
  </si>
  <si>
    <t xml:space="preserve"> MADEL</t>
  </si>
  <si>
    <t>KAROBKA</t>
  </si>
  <si>
    <t>IMEI</t>
  </si>
  <si>
    <t xml:space="preserve">AYBI </t>
  </si>
  <si>
    <t>OLINGAN SANA</t>
  </si>
  <si>
    <t>OLINGAN NARXI $</t>
  </si>
  <si>
    <t>RASXOD</t>
  </si>
  <si>
    <t>SOTILGAN NARXI</t>
  </si>
  <si>
    <t>SOTILGAN SANA</t>
  </si>
  <si>
    <t>FOYDA</t>
  </si>
  <si>
    <t>Tel Egasini Nomeri</t>
  </si>
  <si>
    <t xml:space="preserve">Samsung </t>
  </si>
  <si>
    <t>S22 Ultra 256gb</t>
  </si>
  <si>
    <t>YOQ</t>
  </si>
  <si>
    <t xml:space="preserve">IPHONE </t>
  </si>
  <si>
    <t>11 PRO 256GB</t>
  </si>
  <si>
    <t>OQ</t>
  </si>
  <si>
    <t>Jamol A25</t>
  </si>
  <si>
    <t xml:space="preserve">Burgundy </t>
  </si>
  <si>
    <t>QORA</t>
  </si>
  <si>
    <t>BOR</t>
  </si>
  <si>
    <t xml:space="preserve">15 PRO LL/A  MAX 256GB </t>
  </si>
  <si>
    <t xml:space="preserve">ILHOM MOYKA </t>
  </si>
  <si>
    <t>15 MAX 256GB</t>
  </si>
  <si>
    <t>NATURAL TITANIUM</t>
  </si>
  <si>
    <t xml:space="preserve">OYNA QIRILGAN </t>
  </si>
  <si>
    <t>RAHMATILA 333774444</t>
  </si>
  <si>
    <t>TURKIYACHI ASAD</t>
  </si>
  <si>
    <t>15 MAX 512GB</t>
  </si>
  <si>
    <t>ASQARAKA A41</t>
  </si>
  <si>
    <t>15 PRO 128GB</t>
  </si>
  <si>
    <t>AXROR  916704111</t>
  </si>
  <si>
    <t>14 MAX 256GB</t>
  </si>
  <si>
    <t>PURPLE</t>
  </si>
  <si>
    <t>NARIMONAKA A27</t>
  </si>
  <si>
    <t>NIGORA 909222721</t>
  </si>
  <si>
    <t>TELEGRAMDA KOPIYA BOR</t>
  </si>
  <si>
    <t>14 MAX 128GB</t>
  </si>
  <si>
    <t xml:space="preserve">14 MAX LL/A 128GB </t>
  </si>
  <si>
    <t>AMINJON 200005920</t>
  </si>
  <si>
    <t xml:space="preserve">14 MAX 512GB </t>
  </si>
  <si>
    <t xml:space="preserve">KRIWKA ALISHKAN </t>
  </si>
  <si>
    <t>SARDOR  883549904</t>
  </si>
  <si>
    <t>GOLD</t>
  </si>
  <si>
    <t>ARGINAL EKRAN TAQILGAN</t>
  </si>
  <si>
    <t>EZOZA SAMARQAN DARVAZA</t>
  </si>
  <si>
    <t>KAMERA SHISHA ALISHKAN</t>
  </si>
  <si>
    <t>TOXA</t>
  </si>
  <si>
    <t>0.5 KAMERA ALIWKAN</t>
  </si>
  <si>
    <t>S23 ULTRA 256GB</t>
  </si>
  <si>
    <t>FAAZLIDIN OKA 996770000</t>
  </si>
  <si>
    <t>NODIRA 951724826  881997949</t>
  </si>
  <si>
    <t xml:space="preserve">NOTE 10 PLUS </t>
  </si>
  <si>
    <t>OYNA ALISHKAN, CHENCH</t>
  </si>
  <si>
    <t>EMIR OKA 339999998</t>
  </si>
  <si>
    <t xml:space="preserve">NOTE 20 </t>
  </si>
  <si>
    <t>BRONZA</t>
  </si>
  <si>
    <t xml:space="preserve">XIOMI </t>
  </si>
  <si>
    <t>MI MIX 2</t>
  </si>
  <si>
    <t>BATAREY ALIWKAN</t>
  </si>
  <si>
    <t xml:space="preserve">13 MAX 256GB </t>
  </si>
  <si>
    <t>3X KAMERA DOGI BOR</t>
  </si>
  <si>
    <t xml:space="preserve">A22 BRAT </t>
  </si>
  <si>
    <t>KOK</t>
  </si>
  <si>
    <t>EKRAN ALIWKAN</t>
  </si>
  <si>
    <t>SHOHNUR 950022444</t>
  </si>
  <si>
    <t xml:space="preserve">13 MAX 128GB </t>
  </si>
  <si>
    <t>978817300  998841018</t>
  </si>
  <si>
    <t>JOHONGIR 200040209</t>
  </si>
  <si>
    <t>SALOX ORTO</t>
  </si>
  <si>
    <t>ASL YUSUF TANISHI  909244655</t>
  </si>
  <si>
    <t>TOHIR 901011243</t>
  </si>
  <si>
    <t xml:space="preserve">14 PRO 128GB </t>
  </si>
  <si>
    <t>SUNNAT MARKAB</t>
  </si>
  <si>
    <t>RAHMATILA UKA A29</t>
  </si>
  <si>
    <t xml:space="preserve">14 PRO 256GB </t>
  </si>
  <si>
    <t>DOSTONAKA 970332419</t>
  </si>
  <si>
    <t>GULYAMOV MUZAP</t>
  </si>
  <si>
    <t>DOSTONAKA UMS</t>
  </si>
  <si>
    <t>13 PRO 128GB</t>
  </si>
  <si>
    <t>OLIMJON TELEFON OPKELADIGAN 936004777</t>
  </si>
  <si>
    <t xml:space="preserve">13 PRO 256GB </t>
  </si>
  <si>
    <t>HAYOTBEK 944098777</t>
  </si>
  <si>
    <t xml:space="preserve">NODIRAKA SAMSUNG </t>
  </si>
  <si>
    <t xml:space="preserve">TURKIYACHI </t>
  </si>
  <si>
    <t>AHMADJON OKA NAMANGAN</t>
  </si>
  <si>
    <t>13 128GB</t>
  </si>
  <si>
    <t>PINK</t>
  </si>
  <si>
    <t>TURKIYACHI</t>
  </si>
  <si>
    <t>SAID AHMAD 930875107</t>
  </si>
  <si>
    <t xml:space="preserve">12 128GB </t>
  </si>
  <si>
    <t>FIALETVIY</t>
  </si>
  <si>
    <t>KRIWKA , EKRAN DOGI BOR</t>
  </si>
  <si>
    <t>HONDAMIR ORTOGI</t>
  </si>
  <si>
    <t>11 PRO 64GB</t>
  </si>
  <si>
    <t xml:space="preserve">GREEN </t>
  </si>
  <si>
    <t xml:space="preserve">OYNA ALIWKAN </t>
  </si>
  <si>
    <t>GOZAL 336605711</t>
  </si>
  <si>
    <t>A29</t>
  </si>
  <si>
    <t>11 MAX 256GB</t>
  </si>
  <si>
    <t>11 MAX  64GB</t>
  </si>
  <si>
    <t>KRIWKA, OYNA ALIWKAN</t>
  </si>
  <si>
    <t>12 MAX 128GB</t>
  </si>
  <si>
    <t>ABDUBAKR MAHALA 946130062</t>
  </si>
  <si>
    <t>11 64GB</t>
  </si>
  <si>
    <t>MENTOL</t>
  </si>
  <si>
    <t>A29 ORQA TARAB</t>
  </si>
  <si>
    <t>XS 64GB</t>
  </si>
  <si>
    <t>AZIZBE  937001911</t>
  </si>
  <si>
    <t>13 MINI 128GB</t>
  </si>
  <si>
    <t>TEMUR 886748222</t>
  </si>
  <si>
    <t>OYNA SINGAN</t>
  </si>
  <si>
    <t xml:space="preserve">MIJIGO KLENT YOWRO BOLA </t>
  </si>
  <si>
    <t>S21 256GB</t>
  </si>
  <si>
    <t>S21 PLUS 256</t>
  </si>
  <si>
    <t>S22 256GB</t>
  </si>
  <si>
    <t>SULTON 952285588</t>
  </si>
  <si>
    <t>S22 PLUS 256GB</t>
  </si>
  <si>
    <t xml:space="preserve">S23 PLUS 256GB </t>
  </si>
  <si>
    <t>S21 ULTRA 256GB</t>
  </si>
  <si>
    <t>KAREACHI OPA</t>
  </si>
  <si>
    <t>SERIY</t>
  </si>
  <si>
    <t>NOTE 20 ULTRA 256GB</t>
  </si>
  <si>
    <t xml:space="preserve">S20 ULTRA 256GB </t>
  </si>
  <si>
    <t>MUTAL</t>
  </si>
  <si>
    <t>INOMJON 938624767</t>
  </si>
  <si>
    <t>15 PRO 256GB</t>
  </si>
  <si>
    <t>13 MAX 256GB</t>
  </si>
  <si>
    <t>ASROR 970162299</t>
  </si>
  <si>
    <t>12.092024</t>
  </si>
  <si>
    <t>12 64GB</t>
  </si>
  <si>
    <t xml:space="preserve">12 64gb </t>
  </si>
  <si>
    <t>PLATA QOYILDI</t>
  </si>
  <si>
    <t>J5 DORON</t>
  </si>
  <si>
    <t>ATHAMAKA</t>
  </si>
  <si>
    <t>SHOHRUX 915044440</t>
  </si>
  <si>
    <t xml:space="preserve">SENSIR ALIWKAN </t>
  </si>
  <si>
    <t>BEGZOD BR</t>
  </si>
  <si>
    <t>KRIWKA, BATAREY</t>
  </si>
  <si>
    <t>AKMAL UKA</t>
  </si>
  <si>
    <t>REDMI</t>
  </si>
  <si>
    <t xml:space="preserve">NOTE 13 PRO 256GB </t>
  </si>
  <si>
    <t>SODAT KENAAYI 910145212</t>
  </si>
  <si>
    <t>KRIWKA SINGAN</t>
  </si>
  <si>
    <t xml:space="preserve">AKMAL UMS </t>
  </si>
  <si>
    <t>JOVOH KAREA</t>
  </si>
  <si>
    <t xml:space="preserve">12 PRO 128GB </t>
  </si>
  <si>
    <t xml:space="preserve">11 64GB </t>
  </si>
  <si>
    <t>AZIZ 973312827</t>
  </si>
  <si>
    <t>7 32GB</t>
  </si>
  <si>
    <t>15 MAX LL/A 256GB</t>
  </si>
  <si>
    <t>SARDORAKAM ORTOLARI RASUL</t>
  </si>
  <si>
    <t>BEGZOD A24 933887120</t>
  </si>
  <si>
    <t>SHAHRIYOR 947965555</t>
  </si>
  <si>
    <t>A25 JAMOL</t>
  </si>
  <si>
    <t>12 PRO 256GB</t>
  </si>
  <si>
    <t>ILYOS 505005383</t>
  </si>
  <si>
    <t>13 MAX 1TB</t>
  </si>
  <si>
    <t>16 PRO 256GB</t>
  </si>
  <si>
    <t xml:space="preserve">XONOR </t>
  </si>
  <si>
    <t>X9 128GB</t>
  </si>
  <si>
    <t xml:space="preserve">A29 ABDULAZIZ </t>
  </si>
  <si>
    <t>MUZAB</t>
  </si>
  <si>
    <t>XS MAX 64GB</t>
  </si>
  <si>
    <t xml:space="preserve">NOTE 10 256GB </t>
  </si>
  <si>
    <t>EKRANDA DOGI BOR</t>
  </si>
  <si>
    <t xml:space="preserve">SARDORAKAM AYNILARI </t>
  </si>
  <si>
    <t>HOJAKAM JIYANLARI SARU BOLA</t>
  </si>
  <si>
    <t>EKRAN , KRIWKA ALIWKAN</t>
  </si>
  <si>
    <t>DOSTON 338028090</t>
  </si>
  <si>
    <t>ABDUFATTAX 998338303</t>
  </si>
  <si>
    <t>X 64GB</t>
  </si>
  <si>
    <t xml:space="preserve">EKRAN, KRIWKA </t>
  </si>
  <si>
    <t>SAMANDAR 885007577</t>
  </si>
  <si>
    <t xml:space="preserve">NOTE 11 </t>
  </si>
  <si>
    <t xml:space="preserve">AKMAL 880393885  TELEGRAMDA </t>
  </si>
  <si>
    <t>11 PRO 512GB</t>
  </si>
  <si>
    <t>uxa remont</t>
  </si>
  <si>
    <t>A2 IBROHIM 991183333</t>
  </si>
  <si>
    <t>EKRAN DOGI BOR</t>
  </si>
  <si>
    <t>A41 ASQARAKA</t>
  </si>
  <si>
    <t>MUZAFAR 333202444</t>
  </si>
  <si>
    <t xml:space="preserve">996442233 AZAM ISKAN OKASI </t>
  </si>
  <si>
    <t>A19 MOBI ARENA</t>
  </si>
  <si>
    <t>KAMIWOK</t>
  </si>
  <si>
    <t xml:space="preserve">QIZIL </t>
  </si>
  <si>
    <t>YUSUF TANIWI MAXSIT</t>
  </si>
  <si>
    <t>14 MAX LL/A 256GB</t>
  </si>
  <si>
    <t>935715175 ATHAM</t>
  </si>
  <si>
    <t>A27 SARDORAAKA</t>
  </si>
  <si>
    <t>12 64gb</t>
  </si>
  <si>
    <t>505533557 LAYLO</t>
  </si>
  <si>
    <t>15 MAX LL/A 512GB</t>
  </si>
  <si>
    <t>951505753  996070041</t>
  </si>
  <si>
    <t>885988222  SHOHRUH</t>
  </si>
  <si>
    <t>A53 128GB</t>
  </si>
  <si>
    <t>903517261  MIRKAMOL</t>
  </si>
  <si>
    <t>A28 FOZIL</t>
  </si>
  <si>
    <t>881997949  AZAM</t>
  </si>
  <si>
    <t>939569966 FAHRIDIN ZAFAR ORTOGI</t>
  </si>
  <si>
    <t>15 PRO 512GB</t>
  </si>
  <si>
    <t>EKRAN, KRIWKA</t>
  </si>
  <si>
    <t>941119161 LUIZA</t>
  </si>
  <si>
    <t>939070606 XUSRAF</t>
  </si>
  <si>
    <t>MURODAKAM ORTOLARI ABDULLOH</t>
  </si>
  <si>
    <t xml:space="preserve">WATCH </t>
  </si>
  <si>
    <t>9/45M</t>
  </si>
  <si>
    <t>MAHSITAKA</t>
  </si>
  <si>
    <t>A28 MIRABZAL UKASI</t>
  </si>
  <si>
    <t>OLDIN MUZABDAN OLINGAN QAYTARIB SOTVOLINDI</t>
  </si>
  <si>
    <t>937059401  BEHRUZ</t>
  </si>
  <si>
    <t>935918554 MIRJALOL</t>
  </si>
  <si>
    <t>S2O PLUS 256GB</t>
  </si>
  <si>
    <t>FARHOD KAREA</t>
  </si>
  <si>
    <t>NOTE 20 256GB</t>
  </si>
  <si>
    <t>HAMELON</t>
  </si>
  <si>
    <t xml:space="preserve">A04 </t>
  </si>
  <si>
    <t>930516356 NURMUHAMMAD</t>
  </si>
  <si>
    <t>939419977 ULUGBEK</t>
  </si>
  <si>
    <t>BEZ FACE</t>
  </si>
  <si>
    <t>971001819 JASUR</t>
  </si>
  <si>
    <t>935339676 DILMUROD</t>
  </si>
  <si>
    <t>KOMRONAKA</t>
  </si>
  <si>
    <t>BIZADAN QARZ</t>
  </si>
  <si>
    <t>ASAD</t>
  </si>
  <si>
    <t>PRO MAX ABDULLOKA</t>
  </si>
  <si>
    <t>YUSUF ORTOGI ORIF</t>
  </si>
  <si>
    <t>HINDLA</t>
  </si>
  <si>
    <t xml:space="preserve">A15 </t>
  </si>
  <si>
    <t>A24 ODIL</t>
  </si>
  <si>
    <t>ABDURAHMON QARIMDOW</t>
  </si>
  <si>
    <t xml:space="preserve">OYNA ALWKAN </t>
  </si>
  <si>
    <t xml:space="preserve">ASAD </t>
  </si>
  <si>
    <t xml:space="preserve">ARENDA NARIMONAKA </t>
  </si>
  <si>
    <t>A33 ALIWAKA</t>
  </si>
  <si>
    <t xml:space="preserve">1 OYDA YECHILGAN </t>
  </si>
  <si>
    <t>PUL</t>
  </si>
  <si>
    <t xml:space="preserve">JOVOKAM MOSHINA </t>
  </si>
  <si>
    <t>11 128GB</t>
  </si>
  <si>
    <t>JALOL UKA ORTOGI</t>
  </si>
  <si>
    <t>MURODAKAM TANISHLARI</t>
  </si>
  <si>
    <t>ORIFJONOV ORTOGI</t>
  </si>
  <si>
    <t>770084832 RUHSHONA 991013208 ASLIDIN</t>
  </si>
  <si>
    <t>AURA</t>
  </si>
  <si>
    <t>955400315 MALIKA TURKIYA</t>
  </si>
  <si>
    <t xml:space="preserve">SARDORAKAM TANIWLARI </t>
  </si>
  <si>
    <t>A20 64GB</t>
  </si>
  <si>
    <t>OYNA, BATAREY ALIWKAN</t>
  </si>
  <si>
    <t>X 256GB</t>
  </si>
  <si>
    <t>EKRAN, BATAREY, KRIWKA</t>
  </si>
  <si>
    <t>970707756 FAYOZA</t>
  </si>
  <si>
    <t xml:space="preserve">JOVOKA UY </t>
  </si>
  <si>
    <t>TEMURAKA J1</t>
  </si>
  <si>
    <t>S24 ULTRA 256GB</t>
  </si>
  <si>
    <t>998912119 981272119 SHOHRUHAKA OPER</t>
  </si>
  <si>
    <t xml:space="preserve">DESERT </t>
  </si>
  <si>
    <t>903702022 MIRJALOL</t>
  </si>
  <si>
    <t>12 MINI 64GB</t>
  </si>
  <si>
    <t>957775717 331112107  ZAFAR</t>
  </si>
  <si>
    <t>937080011 BEGZOD OKA</t>
  </si>
  <si>
    <t>OZIMIZDAN OGAN</t>
  </si>
  <si>
    <t>977304024 ROZMAT OKA</t>
  </si>
  <si>
    <t>948853205 JOVOHIR</t>
  </si>
  <si>
    <t>7 PLUS 32GB</t>
  </si>
  <si>
    <t>ISLOM SINFDOSHI SHOHRUX</t>
  </si>
  <si>
    <t>11 MAX 64GB</t>
  </si>
  <si>
    <t>958676563 MOHIRA</t>
  </si>
  <si>
    <t>993153143 ANNA</t>
  </si>
  <si>
    <t>900442223 ABROR</t>
  </si>
  <si>
    <t>330304000 ASROR</t>
  </si>
  <si>
    <t>S22 ULTRA 512GB</t>
  </si>
  <si>
    <t>956454595 OYBEK</t>
  </si>
  <si>
    <t>KOMILAKA A28</t>
  </si>
  <si>
    <t>jovoka islom</t>
  </si>
  <si>
    <t>NOTE 10 PLUS 256GB</t>
  </si>
  <si>
    <t>KRIWKA, CHENCH</t>
  </si>
  <si>
    <t>991257333 JAVLON</t>
  </si>
  <si>
    <t xml:space="preserve">997339606 TOHIR </t>
  </si>
  <si>
    <t>912788777 JASUR</t>
  </si>
  <si>
    <t>MARKAB NURIKA</t>
  </si>
  <si>
    <t>CHENCH</t>
  </si>
  <si>
    <t>936151998 ABBOS</t>
  </si>
  <si>
    <t xml:space="preserve">KRIWKA, KAMERA </t>
  </si>
  <si>
    <t xml:space="preserve">901090050 DILNOZA </t>
  </si>
  <si>
    <t>EKRAN ALIWKAN, BATARE</t>
  </si>
  <si>
    <t xml:space="preserve">NODIRAKAM SHOGIRTLARI </t>
  </si>
  <si>
    <t>HALIL KLENTI</t>
  </si>
  <si>
    <t xml:space="preserve">501114311 SARVAR KAREALI OLDIDA KELADIGAN BRATAN </t>
  </si>
  <si>
    <t>YASHIL</t>
  </si>
  <si>
    <t>919522278 AZIZ</t>
  </si>
  <si>
    <t xml:space="preserve">PAKET </t>
  </si>
  <si>
    <t>917123929 RAMISH</t>
  </si>
  <si>
    <t>939070606 HUSRAF</t>
  </si>
  <si>
    <t xml:space="preserve">BRONZA </t>
  </si>
  <si>
    <t>971567003 SHOHRUZ</t>
  </si>
  <si>
    <t>ULUGAKA IPECHILI</t>
  </si>
  <si>
    <t>7 PLUS 128GB</t>
  </si>
  <si>
    <t>978050050 IBROHIM</t>
  </si>
  <si>
    <t xml:space="preserve">ZAZOR  </t>
  </si>
  <si>
    <t>S21 ULTRA 128GB</t>
  </si>
  <si>
    <t>984446264 UMID</t>
  </si>
  <si>
    <t>14 128GB</t>
  </si>
  <si>
    <t>900450022 ZAKIR</t>
  </si>
  <si>
    <t>999272617 OSIYO</t>
  </si>
  <si>
    <t>770774349 ABDULBOSIT ISFANDIYOR JOVOKAM TANISHLARI</t>
  </si>
  <si>
    <t>915069777 XUSAN</t>
  </si>
  <si>
    <t>991129412 JALOLIDDIN</t>
  </si>
  <si>
    <t xml:space="preserve">KRIWKA, ALIWKAN </t>
  </si>
  <si>
    <t>AZAMAT A YUSUF ORTOGI</t>
  </si>
  <si>
    <t>JOVOKAM OZLARINIKI</t>
  </si>
  <si>
    <t>13 MAX 128GB</t>
  </si>
  <si>
    <t>336661713 909857613 AGATA</t>
  </si>
  <si>
    <t xml:space="preserve">VERIZON </t>
  </si>
  <si>
    <t>881330298 XASANBOY</t>
  </si>
  <si>
    <t>6 44</t>
  </si>
  <si>
    <t>FARUXAKAM ORTOLARI</t>
  </si>
  <si>
    <t>JALOLIDDIN</t>
  </si>
  <si>
    <t>12 128GB</t>
  </si>
  <si>
    <t>909157065 ISMOIL</t>
  </si>
  <si>
    <t>940150630 AXROYIL</t>
  </si>
  <si>
    <t xml:space="preserve">JOVOKAM </t>
  </si>
  <si>
    <t xml:space="preserve">IMEI </t>
  </si>
  <si>
    <t xml:space="preserve">SAMASUNG </t>
  </si>
  <si>
    <t xml:space="preserve">S24 ULTRA 256GB </t>
  </si>
  <si>
    <t>998998377 MUHAMMAD AYUB YUSUF QOWNISI</t>
  </si>
  <si>
    <t>15 128GB</t>
  </si>
  <si>
    <t>ILGOR OKA</t>
  </si>
  <si>
    <t xml:space="preserve">INFINIKS </t>
  </si>
  <si>
    <t xml:space="preserve">SMART 8 </t>
  </si>
  <si>
    <t>SHAXRI NURINI MAHALASI</t>
  </si>
  <si>
    <t>974946173 IXTIYOR ORIFJONOV ORTOGI</t>
  </si>
  <si>
    <t>S21 FE 128GB</t>
  </si>
  <si>
    <t xml:space="preserve">997919131 SANJAR </t>
  </si>
  <si>
    <t>ABDURAHMONAKA MAHALLA</t>
  </si>
  <si>
    <t>EKRAN, KRIWKA, SPICHKA</t>
  </si>
  <si>
    <t>EKRAN, FACE</t>
  </si>
  <si>
    <t>999028889 MIRABOS A27 BEGZOD TANIWI</t>
  </si>
  <si>
    <t xml:space="preserve">S20 ULTRA </t>
  </si>
  <si>
    <t>935621112 NABIJON</t>
  </si>
  <si>
    <t xml:space="preserve">EKRAN, KAMERA </t>
  </si>
  <si>
    <t>946225533 FARHOD</t>
  </si>
  <si>
    <t xml:space="preserve">KRIWKA SINGAN </t>
  </si>
  <si>
    <t xml:space="preserve">945015474 BOBUR </t>
  </si>
  <si>
    <t>917027000 ALI</t>
  </si>
  <si>
    <t>S6 EDCHE 64GB</t>
  </si>
  <si>
    <t>A30 KOMIL</t>
  </si>
  <si>
    <t xml:space="preserve">EKRAN, KAMERA, ICHI REMONT BOGAN </t>
  </si>
  <si>
    <t>881330298 HASANAKA</t>
  </si>
  <si>
    <t>13 PRO 256GB</t>
  </si>
  <si>
    <t>948841111 FARHOD</t>
  </si>
  <si>
    <t>971558888 NURIDIN BEGZOD A27 TANISHI</t>
  </si>
  <si>
    <t>MAHMUD JOVOKAM ORTOLARI</t>
  </si>
  <si>
    <t>EKRAN SHLIFT REMONT BOGAN</t>
  </si>
  <si>
    <t>A27 YUSUF UKA</t>
  </si>
  <si>
    <t>882344141 TOLQIN</t>
  </si>
  <si>
    <t xml:space="preserve">JOVOKAM  MOSHINA </t>
  </si>
  <si>
    <t>S20 PLUS 128GB</t>
  </si>
  <si>
    <t>89209964254 WATSAPP VIKTOR</t>
  </si>
  <si>
    <t>12 MINI 256GB</t>
  </si>
  <si>
    <t>MUROD TANIWI A17 BILOL</t>
  </si>
  <si>
    <t>950046611 JALOLIDDIN</t>
  </si>
  <si>
    <t>MISHA</t>
  </si>
  <si>
    <t>OYNA ALIWKAN, 0.5 KAMERA</t>
  </si>
  <si>
    <t>KOMRON ALGO</t>
  </si>
  <si>
    <t>880096616 OTABEK</t>
  </si>
  <si>
    <t>14 MAX LL/ A128GB</t>
  </si>
  <si>
    <t>OYBAKA A27 YOQIBAKAMDAN OLINGAN</t>
  </si>
  <si>
    <t>931428000 DILSHODAKA</t>
  </si>
  <si>
    <t xml:space="preserve">S23 256GB </t>
  </si>
  <si>
    <t>200044035 971988988 VALID</t>
  </si>
  <si>
    <t>12 MAX 256GB</t>
  </si>
  <si>
    <t>BEHRUZ 404</t>
  </si>
  <si>
    <t>13 LITE 256GB</t>
  </si>
  <si>
    <t>MOKRIY</t>
  </si>
  <si>
    <t xml:space="preserve">EKRAN, FACE </t>
  </si>
  <si>
    <t>881021166 ABBOSXON</t>
  </si>
  <si>
    <t>SENSIR TAHMIN</t>
  </si>
  <si>
    <t>770707118  ROMESH</t>
  </si>
  <si>
    <t>14 MAX LL/A 128GB</t>
  </si>
  <si>
    <t>NODIRAKA ZAPCHAS</t>
  </si>
  <si>
    <t>KAMERA 2.5 KAMERA DOGI BOR</t>
  </si>
  <si>
    <t>946231709 NODIRJON</t>
  </si>
  <si>
    <t>S21 PLUS 256GB</t>
  </si>
  <si>
    <t xml:space="preserve">14 MAX ZIYON </t>
  </si>
  <si>
    <t>946636768 AYUBHON 946530311 MIRHON YOQIBAKAM JIYANLARI</t>
  </si>
  <si>
    <t>1.500</t>
  </si>
  <si>
    <t xml:space="preserve">13C 256GB </t>
  </si>
  <si>
    <t>947861513 SAFIYA</t>
  </si>
  <si>
    <t>FOZILBE UKA A28</t>
  </si>
  <si>
    <t>934042044 ABDUVALI</t>
  </si>
  <si>
    <t xml:space="preserve">901176101 MARUFJON </t>
  </si>
  <si>
    <t>NOTE 13 128GB</t>
  </si>
  <si>
    <t>500772234 MIRZABEK</t>
  </si>
  <si>
    <t xml:space="preserve">X 256GB </t>
  </si>
  <si>
    <t xml:space="preserve">997291656 JAVOHIR </t>
  </si>
  <si>
    <t>MUSTAFONI UKASI</t>
  </si>
  <si>
    <t>507743577 AZIZ</t>
  </si>
  <si>
    <t xml:space="preserve">9/45MM </t>
  </si>
  <si>
    <t>946287868 NODIR</t>
  </si>
  <si>
    <t xml:space="preserve">KRIWKA QIRILGAN </t>
  </si>
  <si>
    <t xml:space="preserve">GASTINSA MUSLIMAPA </t>
  </si>
  <si>
    <t xml:space="preserve">MI 10 256GB </t>
  </si>
  <si>
    <t xml:space="preserve">XS 64GB </t>
  </si>
  <si>
    <t>977096659 ABDURASHID</t>
  </si>
  <si>
    <t>958883909 IBROHIM</t>
  </si>
  <si>
    <t xml:space="preserve">12 64GB </t>
  </si>
  <si>
    <t>991652444 ROZIGUL</t>
  </si>
  <si>
    <t xml:space="preserve">15 128GB </t>
  </si>
  <si>
    <t>914285959 HUMOYUN</t>
  </si>
  <si>
    <t xml:space="preserve">EKRAN </t>
  </si>
  <si>
    <t xml:space="preserve">909590066 ALISHERAKA </t>
  </si>
  <si>
    <t xml:space="preserve">9/45 MM </t>
  </si>
  <si>
    <t>948888859 AZIZ</t>
  </si>
  <si>
    <t>KOMRONAKAM ORTOLARI</t>
  </si>
  <si>
    <t>YUSUF OKASI</t>
  </si>
  <si>
    <t xml:space="preserve">10/42 M </t>
  </si>
  <si>
    <t>16 PRO 128GB</t>
  </si>
  <si>
    <t>HUSAIN A29</t>
  </si>
  <si>
    <t xml:space="preserve">330965333 BRATAN </t>
  </si>
  <si>
    <t>A35 128GB</t>
  </si>
  <si>
    <t xml:space="preserve">MOSHINA ARENDAGA </t>
  </si>
  <si>
    <t xml:space="preserve">MOSHINA BOSHIGA </t>
  </si>
  <si>
    <t xml:space="preserve">BLUE </t>
  </si>
  <si>
    <t>TURKIYACHI OLIMJON</t>
  </si>
  <si>
    <t>ISMOILAKA A29 VARIANT</t>
  </si>
  <si>
    <t xml:space="preserve">S24 256GB </t>
  </si>
  <si>
    <t>985000589 994171234 MUZAFAR</t>
  </si>
  <si>
    <t>337500560 SHOKAT</t>
  </si>
  <si>
    <t>OYNA ALIWKAN</t>
  </si>
  <si>
    <t xml:space="preserve">900884484 TIMUR </t>
  </si>
  <si>
    <t>A12 32GB</t>
  </si>
  <si>
    <t>MUHAMMAD A29 OKA</t>
  </si>
  <si>
    <t xml:space="preserve">A70 128GB </t>
  </si>
  <si>
    <t>977450813 RIFAT</t>
  </si>
  <si>
    <t xml:space="preserve">947410404 TURSUNOY </t>
  </si>
  <si>
    <t>8/45M</t>
  </si>
  <si>
    <t>771782828 SAYFULLO</t>
  </si>
  <si>
    <t xml:space="preserve">SARDORAKAM TANIWLARI JAMOLIDIN 977478788 </t>
  </si>
  <si>
    <t>998743303 NAZRULLOH HALIL A29 TANISHI</t>
  </si>
  <si>
    <t>330906690 ABROR</t>
  </si>
  <si>
    <t>TURKIYACHI IBROHIM</t>
  </si>
  <si>
    <t xml:space="preserve">16 PRO 256GB </t>
  </si>
  <si>
    <t xml:space="preserve">NOTE 20 ULTRA 256GB </t>
  </si>
  <si>
    <t xml:space="preserve">978464949 ROVSHAN </t>
  </si>
  <si>
    <t>ZAZOR</t>
  </si>
  <si>
    <t xml:space="preserve">AZAMAT A YUSUF </t>
  </si>
  <si>
    <t xml:space="preserve">12 PRO 256GB </t>
  </si>
  <si>
    <t>908690514 JAFAR</t>
  </si>
  <si>
    <t xml:space="preserve">903332298 ELDOR </t>
  </si>
  <si>
    <t>330012888 DAVRON</t>
  </si>
  <si>
    <t xml:space="preserve">11 128GB </t>
  </si>
  <si>
    <t>998997337 FAHRIDINAKA SARDORAKAM TANISHLARI</t>
  </si>
  <si>
    <t>983101035 ABROR</t>
  </si>
  <si>
    <t xml:space="preserve">S21 ULTRA 256GB </t>
  </si>
  <si>
    <t xml:space="preserve">YUZBI, BLOK KNOBKA </t>
  </si>
  <si>
    <t xml:space="preserve">919602626 XURSHID </t>
  </si>
  <si>
    <t xml:space="preserve">993111888 BEGZOD YUSUF TANISHI </t>
  </si>
  <si>
    <t xml:space="preserve">Z FLIP 6 512GB </t>
  </si>
  <si>
    <t>GREY</t>
  </si>
  <si>
    <t xml:space="preserve">11 LITE 128GB </t>
  </si>
  <si>
    <t>944684804 MIRZABEK TEL EGASI 996164503 OGABEK ORTOGI</t>
  </si>
  <si>
    <t>992214924 SHAXZOD</t>
  </si>
  <si>
    <t xml:space="preserve">15 PRO MAX 256GB </t>
  </si>
  <si>
    <t xml:space="preserve">ATHAMAKA OPALARI </t>
  </si>
  <si>
    <t xml:space="preserve">A23 128GB </t>
  </si>
  <si>
    <t>S23 ULTRA 256</t>
  </si>
  <si>
    <t xml:space="preserve">15 256GB </t>
  </si>
  <si>
    <t>SARDORAKA A27</t>
  </si>
  <si>
    <t>ABDURAHMON UKA TIW DOHTR</t>
  </si>
  <si>
    <t xml:space="preserve">JOVOH KAREA </t>
  </si>
  <si>
    <t xml:space="preserve">LATATRON </t>
  </si>
  <si>
    <t xml:space="preserve">990599555 KERIM </t>
  </si>
  <si>
    <t>UMAR OQW</t>
  </si>
  <si>
    <t>MAFTUNA_222</t>
  </si>
  <si>
    <t xml:space="preserve">SE 64GB </t>
  </si>
  <si>
    <t xml:space="preserve">OYNA, KRIWKA </t>
  </si>
  <si>
    <t>ILHOM A19 BOST TANISHI</t>
  </si>
  <si>
    <t>A29 RAHMATILLA</t>
  </si>
  <si>
    <t>908245202 MUHAMMADALI ZAFAR TANIWI</t>
  </si>
  <si>
    <t xml:space="preserve">S24 ULTRA 512GB </t>
  </si>
  <si>
    <t>999991385 BILOL</t>
  </si>
  <si>
    <t xml:space="preserve">11 PRO MAX 64GB </t>
  </si>
  <si>
    <t>909562701 SHOHJAHON</t>
  </si>
  <si>
    <t xml:space="preserve">NOTE 12 PRO </t>
  </si>
  <si>
    <t xml:space="preserve">XS MAX 256GB </t>
  </si>
  <si>
    <t>940082300 JOVLON</t>
  </si>
  <si>
    <t xml:space="preserve">8/45 MM </t>
  </si>
  <si>
    <t>ULUGAKA PUBG</t>
  </si>
  <si>
    <t xml:space="preserve">15 PRO </t>
  </si>
  <si>
    <t>991017733 AZIM MURODAKAM TANISHLARI</t>
  </si>
  <si>
    <t xml:space="preserve">14 128GB </t>
  </si>
  <si>
    <t>ATHAMAKA A29 TANIWLARI</t>
  </si>
  <si>
    <t>935148998 ZAFAR MUZAFAR AKAMI JIYANLARI</t>
  </si>
  <si>
    <t>946715512 MIKOYIL</t>
  </si>
  <si>
    <t xml:space="preserve">13 128GB </t>
  </si>
  <si>
    <t xml:space="preserve">909834848 BAGIKAMI TANIWLARI </t>
  </si>
  <si>
    <t>SHAX XORAZM MUHAMMAD ORTOGI</t>
  </si>
  <si>
    <t xml:space="preserve">ZIYON </t>
  </si>
  <si>
    <t xml:space="preserve">BIZA QARZMIZ  </t>
  </si>
  <si>
    <t>937008003 ABDURAHIM</t>
  </si>
  <si>
    <t xml:space="preserve">S23 ULTRA 256GB </t>
  </si>
  <si>
    <t>958880025 DOVRON</t>
  </si>
  <si>
    <t>HONDAMIR</t>
  </si>
  <si>
    <t>RAHMATILLA A29</t>
  </si>
  <si>
    <t>AZIZ NOUT TANIWI NODIR</t>
  </si>
  <si>
    <t xml:space="preserve">903179101 SAIDAKA </t>
  </si>
  <si>
    <t xml:space="preserve">MUHAMMAD AKASI SINFDOSHI </t>
  </si>
  <si>
    <t>HALIL A29 ZEBO TANIWI</t>
  </si>
  <si>
    <t xml:space="preserve">OCHILGAN </t>
  </si>
  <si>
    <t xml:space="preserve">ZAFAR TANIWI SAIDAKBAR </t>
  </si>
  <si>
    <t xml:space="preserve">JOVOKA  ISLOM </t>
  </si>
  <si>
    <t>S22 ULTRA 256GB</t>
  </si>
  <si>
    <t xml:space="preserve">13C 128GB </t>
  </si>
  <si>
    <t>SUNNAT CHIMBOY</t>
  </si>
  <si>
    <t>ORIF YUSUF ORTOGI</t>
  </si>
  <si>
    <t>948638383 FAYZULLOH</t>
  </si>
  <si>
    <t xml:space="preserve">15 MAX 512GB </t>
  </si>
  <si>
    <t>6475075786 SHAZAD</t>
  </si>
  <si>
    <t xml:space="preserve">A51 64GB </t>
  </si>
  <si>
    <t xml:space="preserve">946699406 MUHAMMADQODIR </t>
  </si>
  <si>
    <t xml:space="preserve">JOVOKA NOMER </t>
  </si>
  <si>
    <t>XS 256GB</t>
  </si>
  <si>
    <t xml:space="preserve">901120153 XURMAT </t>
  </si>
  <si>
    <t xml:space="preserve">KRIWKA ALISHKAN, BATAREY, ZARATKA </t>
  </si>
  <si>
    <t xml:space="preserve">977445515 ZAHRO YUSUF TOLKASI </t>
  </si>
  <si>
    <t>NOTE 10 PRO 128GB</t>
  </si>
  <si>
    <t xml:space="preserve">AMIR OKA </t>
  </si>
  <si>
    <t>KOMRONAKAM TELEFONLARI</t>
  </si>
  <si>
    <t xml:space="preserve">501027845 ATHAMAKA </t>
  </si>
  <si>
    <t xml:space="preserve">EKRAN, BATAREY </t>
  </si>
  <si>
    <t>772773710 SAIDKAMOL</t>
  </si>
  <si>
    <t xml:space="preserve">SARIQ </t>
  </si>
  <si>
    <t xml:space="preserve">16 128GB </t>
  </si>
  <si>
    <t>770466656 MIRJALOL</t>
  </si>
  <si>
    <t xml:space="preserve">NOTE 12 PRO PLUS 5G 256GB </t>
  </si>
  <si>
    <t xml:space="preserve">A30 CHAP TARAB </t>
  </si>
  <si>
    <t xml:space="preserve">MAWKA AUKSION </t>
  </si>
  <si>
    <t xml:space="preserve">A23 64GB </t>
  </si>
  <si>
    <t>900086455 MUHAMMAD ALI</t>
  </si>
  <si>
    <t xml:space="preserve">11 MAX 64GB </t>
  </si>
  <si>
    <t>MOHI</t>
  </si>
  <si>
    <t xml:space="preserve">A51 128GB </t>
  </si>
  <si>
    <t>995590404 AHROR</t>
  </si>
  <si>
    <t xml:space="preserve">JOVOKA  UY </t>
  </si>
  <si>
    <t>HALIL A29</t>
  </si>
  <si>
    <t>MAXSAT</t>
  </si>
  <si>
    <t>951171201 FARXOD</t>
  </si>
  <si>
    <t xml:space="preserve">UMIDA KENAYI </t>
  </si>
  <si>
    <t xml:space="preserve">KRIWKA ALISHKAN, PLATA REMONT </t>
  </si>
  <si>
    <t>992170700 JASUR</t>
  </si>
  <si>
    <t xml:space="preserve">11 PRO 64GB </t>
  </si>
  <si>
    <t>IZZAT</t>
  </si>
  <si>
    <t xml:space="preserve">DIOR TUNING </t>
  </si>
  <si>
    <t xml:space="preserve">USMON JIYAN </t>
  </si>
  <si>
    <t>KRIWKA ALIWKAN</t>
  </si>
  <si>
    <t>JAMSHID</t>
  </si>
  <si>
    <t>771866036 ODIL ZAFAR ORTOGI</t>
  </si>
  <si>
    <t xml:space="preserve">946842002 LAZIZ KAOMRONAKA JIYANLARI </t>
  </si>
  <si>
    <t xml:space="preserve">979676244 MUHAMMADNAZAR 975135525 SHERZOD </t>
  </si>
  <si>
    <t xml:space="preserve">S10 5G </t>
  </si>
  <si>
    <t>973003361 ALEKSANDR</t>
  </si>
  <si>
    <t xml:space="preserve">S22 ULTRA 256GB </t>
  </si>
  <si>
    <t xml:space="preserve">ZELYONIY </t>
  </si>
  <si>
    <t xml:space="preserve">S22 ULTRA 512GB </t>
  </si>
  <si>
    <t xml:space="preserve">S23 ULTRA 512GB </t>
  </si>
  <si>
    <t xml:space="preserve">S9 PLUS 64GB </t>
  </si>
  <si>
    <t>KLENT JOVOHIR ATIRCHI</t>
  </si>
  <si>
    <t>NOTE 20</t>
  </si>
  <si>
    <t>EKRAN KETKAN</t>
  </si>
  <si>
    <t xml:space="preserve">EKRAN, ALIWKAN </t>
  </si>
  <si>
    <t xml:space="preserve">AFRUZ OLDINGI OY </t>
  </si>
  <si>
    <t xml:space="preserve">AFRUZ OYLIK </t>
  </si>
  <si>
    <t xml:space="preserve">VIZITKA </t>
  </si>
  <si>
    <t xml:space="preserve">JOVOKA MOSHINA ARENDA </t>
  </si>
  <si>
    <t>946233384 AZAMAT RAHMATILLA A29 AKASI</t>
  </si>
  <si>
    <t>908509798 990082616 DAVRO AZIZBEK</t>
  </si>
  <si>
    <t xml:space="preserve">903573232 ILHOM </t>
  </si>
  <si>
    <t>933779253 ABDULLOH YUSUF ORTOGI</t>
  </si>
  <si>
    <t xml:space="preserve">7 128GB </t>
  </si>
  <si>
    <t>911253067 JASUR</t>
  </si>
  <si>
    <t>903175607 BEGZOD</t>
  </si>
  <si>
    <t>DESERT</t>
  </si>
  <si>
    <t xml:space="preserve">A41 64GB </t>
  </si>
  <si>
    <t xml:space="preserve">12 PRO 512GB </t>
  </si>
  <si>
    <t xml:space="preserve">KORPUS </t>
  </si>
  <si>
    <t>770014644 MIKOIL ZAFAR TANIWI</t>
  </si>
  <si>
    <t>996755107700 MIRKOMIL</t>
  </si>
  <si>
    <t xml:space="preserve">SENSIR </t>
  </si>
  <si>
    <t>ISLOM TUNING</t>
  </si>
  <si>
    <t xml:space="preserve">998092199 SAMANDAR </t>
  </si>
  <si>
    <t xml:space="preserve">990978109 KOMRON </t>
  </si>
  <si>
    <t>330751005 ABULAIZ</t>
  </si>
  <si>
    <t xml:space="preserve">949480006 SHAXZOD </t>
  </si>
  <si>
    <t xml:space="preserve">12 LITE 128GB </t>
  </si>
  <si>
    <t xml:space="preserve">888061965 MAHBURAT OPA </t>
  </si>
  <si>
    <t xml:space="preserve">KAMERA, KRIWKA </t>
  </si>
  <si>
    <t xml:space="preserve">7 PLUS 128GB </t>
  </si>
  <si>
    <t xml:space="preserve">887112334 SHAHZOD </t>
  </si>
  <si>
    <t xml:space="preserve">12 MAX 256GB </t>
  </si>
  <si>
    <t xml:space="preserve">771521212 GOFUR B11 UKA </t>
  </si>
  <si>
    <t xml:space="preserve">A52 128GB </t>
  </si>
  <si>
    <t>940484105 ELBE</t>
  </si>
  <si>
    <t xml:space="preserve">VIVO </t>
  </si>
  <si>
    <t xml:space="preserve">Y20 64GB </t>
  </si>
  <si>
    <t>ZULFIRA</t>
  </si>
  <si>
    <t>943642930 JOLON</t>
  </si>
  <si>
    <t>903313929 YAN</t>
  </si>
  <si>
    <t xml:space="preserve">ZARATKA JOYI REMONT </t>
  </si>
  <si>
    <t>937012715 SHOXRUX</t>
  </si>
  <si>
    <t xml:space="preserve">330444433 AZIZ YANGOBOD TANISH </t>
  </si>
  <si>
    <t xml:space="preserve">AURA </t>
  </si>
  <si>
    <t xml:space="preserve">333393009 AZIMJON </t>
  </si>
  <si>
    <t xml:space="preserve">YELLOW </t>
  </si>
  <si>
    <t>988000228 SARVAR BEGZOD ORTOGI A27</t>
  </si>
  <si>
    <t>KOMRON TUNING</t>
  </si>
  <si>
    <t xml:space="preserve">998000775 BAHTIYORKA </t>
  </si>
  <si>
    <t>MATLUBA ASAD TANIWI</t>
  </si>
  <si>
    <t xml:space="preserve">8 64GB </t>
  </si>
  <si>
    <t>937105501 SAID</t>
  </si>
  <si>
    <t xml:space="preserve">16 PRO 128GB </t>
  </si>
  <si>
    <t>JOHON ORTO</t>
  </si>
  <si>
    <t>10.122024</t>
  </si>
  <si>
    <t>946261647 MUTAL UKASI JAMSHID</t>
  </si>
  <si>
    <t xml:space="preserve">KOMRONAKAM TANIWLARI </t>
  </si>
  <si>
    <t>903160065 FARANGIZ</t>
  </si>
  <si>
    <t>915919494 JALOLIDIN</t>
  </si>
  <si>
    <t>910140025 QUVONCH</t>
  </si>
  <si>
    <t>910173778 ANTON</t>
  </si>
  <si>
    <t>947861513 SAFIA</t>
  </si>
  <si>
    <t xml:space="preserve">970338944 DIYORBEK OZIMIZDAN OGAN </t>
  </si>
  <si>
    <t xml:space="preserve">505730694 ILGOR </t>
  </si>
  <si>
    <t xml:space="preserve">S22 ULTRA 128GB </t>
  </si>
  <si>
    <t>SARVAR KLENT</t>
  </si>
  <si>
    <t xml:space="preserve">A26 ABDURAHMONAKA </t>
  </si>
  <si>
    <t>KAMERA ALIWKAN</t>
  </si>
  <si>
    <t>13 MAX 1TRB</t>
  </si>
  <si>
    <t>TURK BRATAN</t>
  </si>
  <si>
    <t xml:space="preserve">14 MAX LL/A 256GB </t>
  </si>
  <si>
    <t>DIYOR AVTO TUNING</t>
  </si>
  <si>
    <t xml:space="preserve">NOTE 11 128GB </t>
  </si>
  <si>
    <t>909036920 ILYA</t>
  </si>
  <si>
    <t xml:space="preserve">11 MAX 256GB </t>
  </si>
  <si>
    <t>909118880 ISLOM</t>
  </si>
  <si>
    <t>face, ekran, batarey</t>
  </si>
  <si>
    <t>ABDUMALIKA NABIV</t>
  </si>
  <si>
    <t>MURODAKAM TANIWLARI MAC BRO</t>
  </si>
  <si>
    <t>ZAFAR TANIWI ABDUFATTOX</t>
  </si>
  <si>
    <t>909424882 NIGORA</t>
  </si>
  <si>
    <t xml:space="preserve">KAREALI KENAYI </t>
  </si>
  <si>
    <t>946156810 BOTIR</t>
  </si>
  <si>
    <t>881321114 ABDULAZIZ</t>
  </si>
  <si>
    <t xml:space="preserve">S22 PLUS 256GB </t>
  </si>
  <si>
    <t xml:space="preserve">S24 PLUS 512GB </t>
  </si>
  <si>
    <t xml:space="preserve">335903300 SANJARAKA </t>
  </si>
  <si>
    <t xml:space="preserve">16 MAX 512GB </t>
  </si>
  <si>
    <t xml:space="preserve">12 MINI 256GB </t>
  </si>
  <si>
    <t>949371710 NAVRUZA</t>
  </si>
  <si>
    <t>UMARAKA TILLO</t>
  </si>
  <si>
    <t>887552685 OGABEK</t>
  </si>
  <si>
    <t>IMRON TANIWI</t>
  </si>
  <si>
    <t xml:space="preserve">12.9 DYUM </t>
  </si>
  <si>
    <t>MACBRODIGI BOLLANI TANIWI</t>
  </si>
  <si>
    <t>PAD</t>
  </si>
  <si>
    <t>909059600 SHERZOD</t>
  </si>
  <si>
    <t>997267776 ZIYODILLA</t>
  </si>
  <si>
    <t xml:space="preserve">909047409 DONIYORAKA </t>
  </si>
  <si>
    <t xml:space="preserve">Z FLIP 4 256GB </t>
  </si>
  <si>
    <t>998637167 FAYZULLAKA</t>
  </si>
  <si>
    <t>999620202 SUNNAT AKA</t>
  </si>
  <si>
    <t xml:space="preserve">908116676 MADINA </t>
  </si>
  <si>
    <t xml:space="preserve">12 MINI 64GB </t>
  </si>
  <si>
    <t>976619004 LAZIZBE</t>
  </si>
  <si>
    <t>ZIYODILLA</t>
  </si>
  <si>
    <t xml:space="preserve">13 256GB </t>
  </si>
  <si>
    <t xml:space="preserve">949789595 JOVOHIR </t>
  </si>
  <si>
    <t>957737720 ELYOR TASHQARIDI PECHKACHI BOLANI TANIWI</t>
  </si>
  <si>
    <t xml:space="preserve">909966116 NODIRA OPA </t>
  </si>
  <si>
    <t>8/45 MM</t>
  </si>
  <si>
    <t xml:space="preserve">12 256GB </t>
  </si>
  <si>
    <t>909200041 DILFUZA</t>
  </si>
  <si>
    <t>950354934 HUSANBOY @XUSANBOY2111</t>
  </si>
  <si>
    <t>IMRON A27</t>
  </si>
  <si>
    <t xml:space="preserve">A12 </t>
  </si>
  <si>
    <t xml:space="preserve">XR 128GB </t>
  </si>
  <si>
    <t>888016661 SARDOR</t>
  </si>
  <si>
    <t xml:space="preserve">NOTE 11 PRO 128GB </t>
  </si>
  <si>
    <t xml:space="preserve">909099714 SHOXJAHON </t>
  </si>
  <si>
    <t>FOZILBE A28</t>
  </si>
  <si>
    <t xml:space="preserve">ILHOM A28 ALI ORTOGI </t>
  </si>
  <si>
    <t xml:space="preserve">958844550 JOHONGIR </t>
  </si>
  <si>
    <t xml:space="preserve">15 MAX 256GB </t>
  </si>
  <si>
    <t>909928408  932102888</t>
  </si>
  <si>
    <t xml:space="preserve">S24 PLUS 256GB </t>
  </si>
  <si>
    <t>958757017 FARANGIZAPA GASTINSA</t>
  </si>
  <si>
    <t xml:space="preserve">13 MINI 128GB </t>
  </si>
  <si>
    <t xml:space="preserve">946530311 MIRHOLAKA </t>
  </si>
  <si>
    <t xml:space="preserve">Z FLIP 5 256GB </t>
  </si>
  <si>
    <t xml:space="preserve">931040001 XADICHA </t>
  </si>
  <si>
    <t xml:space="preserve">940140034 XUAN YEVGENIY </t>
  </si>
  <si>
    <t>935793925 MIRLAZIZ</t>
  </si>
  <si>
    <t>ZEBO ASAD TANIWI</t>
  </si>
  <si>
    <t xml:space="preserve">13 MAX 512GB </t>
  </si>
  <si>
    <t>996957666 DAVRON</t>
  </si>
  <si>
    <t xml:space="preserve">908302510 TOXIR AKA ASAD TANISHI </t>
  </si>
  <si>
    <t xml:space="preserve">RAHMATILLA A29 </t>
  </si>
  <si>
    <t xml:space="preserve">900947973 MUHAMMAD ALI </t>
  </si>
  <si>
    <t>940082300 JOLON ATIRCHI</t>
  </si>
  <si>
    <t xml:space="preserve">OBITAKA </t>
  </si>
  <si>
    <t xml:space="preserve">ARENDA </t>
  </si>
  <si>
    <t>502211825 IZZAT</t>
  </si>
  <si>
    <t xml:space="preserve">S10 256GB </t>
  </si>
  <si>
    <t xml:space="preserve">935299257 XOJAKBAR OKA </t>
  </si>
  <si>
    <t>943610001 OKTAM OKA</t>
  </si>
  <si>
    <t xml:space="preserve">TAB S7 FE 64GB </t>
  </si>
  <si>
    <t xml:space="preserve">AYUBHON YOQIBAKAM JIYANLARI </t>
  </si>
  <si>
    <t xml:space="preserve">971531322 KAMRONBEK </t>
  </si>
  <si>
    <t xml:space="preserve">889602200  950339945  SHOXJAHON </t>
  </si>
  <si>
    <t>IMRON TANIWI J1</t>
  </si>
  <si>
    <t xml:space="preserve">JOVOKA ARENDA </t>
  </si>
  <si>
    <t xml:space="preserve">908103303 QUVONCHBEK </t>
  </si>
  <si>
    <t xml:space="preserve">970807002 SHAXBOZ MUHAMMAD A29 ORTOLARI </t>
  </si>
  <si>
    <t xml:space="preserve">946940000 AZIZ UKA </t>
  </si>
  <si>
    <t xml:space="preserve">POCO </t>
  </si>
  <si>
    <t xml:space="preserve">X6 PRO 512GB </t>
  </si>
  <si>
    <t xml:space="preserve">883064131 ISFANDIYOR </t>
  </si>
  <si>
    <t xml:space="preserve">HUAWEI </t>
  </si>
  <si>
    <t xml:space="preserve">NOVA 10 128GB </t>
  </si>
  <si>
    <t xml:space="preserve">991033335 331223333  ISMOIL </t>
  </si>
  <si>
    <t xml:space="preserve">JOVOKAM KLENT OPALARI </t>
  </si>
  <si>
    <t xml:space="preserve">976355330 SULTONBEK </t>
  </si>
  <si>
    <t xml:space="preserve">IMEI ZIYON </t>
  </si>
  <si>
    <t xml:space="preserve">930713940  938820822  ilhom </t>
  </si>
  <si>
    <t xml:space="preserve">A55 128GB </t>
  </si>
  <si>
    <t xml:space="preserve">333717009 ABDULAZIZ </t>
  </si>
  <si>
    <t xml:space="preserve">931537671 BAKMUROD </t>
  </si>
  <si>
    <t xml:space="preserve">A YUSUF USMON </t>
  </si>
  <si>
    <t xml:space="preserve">S20 128GB </t>
  </si>
  <si>
    <t xml:space="preserve">X 64GB </t>
  </si>
  <si>
    <t xml:space="preserve">ISOMIDINAKA USTA </t>
  </si>
  <si>
    <t xml:space="preserve">972562245 SHERZOD </t>
  </si>
  <si>
    <t xml:space="preserve">931865931 HUSANBOY ABDURAHMONAKA TANISHI </t>
  </si>
  <si>
    <t xml:space="preserve">AFRUZ TANIWI </t>
  </si>
  <si>
    <t xml:space="preserve">959009801 JOVOHIR </t>
  </si>
  <si>
    <t xml:space="preserve">MUATTAR OPA YUSUFI QOWNISI </t>
  </si>
  <si>
    <t xml:space="preserve">GALOFKA </t>
  </si>
  <si>
    <t xml:space="preserve">978664345  5 FEVRAL 120$ BERADI OMINAPA </t>
  </si>
  <si>
    <t xml:space="preserve">A51 </t>
  </si>
  <si>
    <t xml:space="preserve">S23 128GB </t>
  </si>
  <si>
    <t xml:space="preserve">981800079  ILHOMAKA </t>
  </si>
  <si>
    <t xml:space="preserve">331323213  993323326  AZIZJON </t>
  </si>
  <si>
    <t xml:space="preserve">ULTRA 2 </t>
  </si>
  <si>
    <t xml:space="preserve">ABDURAHMON TW DOXTR UKA </t>
  </si>
  <si>
    <t xml:space="preserve">998224070 ASADULLA </t>
  </si>
  <si>
    <t xml:space="preserve">HUSAIN UKA A29 </t>
  </si>
  <si>
    <t>338859141 AIDER</t>
  </si>
  <si>
    <t xml:space="preserve">BATAREY, EKRAN </t>
  </si>
  <si>
    <t xml:space="preserve">TOXADAN OLINDI </t>
  </si>
  <si>
    <t xml:space="preserve">JOHON ORTO OZIMIZDAN OGAN </t>
  </si>
  <si>
    <t xml:space="preserve">NOTE 11S 64GB </t>
  </si>
  <si>
    <t xml:space="preserve">950474718 JAMBUL </t>
  </si>
  <si>
    <t xml:space="preserve">909140007  983147007 KOMIL AKA </t>
  </si>
  <si>
    <t>MUHAMADAKA A29</t>
  </si>
  <si>
    <t>930439494 IZATILLA</t>
  </si>
  <si>
    <t xml:space="preserve">15MAX </t>
  </si>
  <si>
    <t xml:space="preserve">14 MAX 128GB </t>
  </si>
  <si>
    <t xml:space="preserve">16 MAX 256GB </t>
  </si>
  <si>
    <t xml:space="preserve">ZAFAR TANIWI SHUKUR </t>
  </si>
  <si>
    <t xml:space="preserve">TEMURAKA J1 </t>
  </si>
  <si>
    <t xml:space="preserve">997516431 RAVSHANAKA </t>
  </si>
  <si>
    <t xml:space="preserve">BOSITAKA FARANGIZAPAM ERLARI </t>
  </si>
  <si>
    <t xml:space="preserve">15 PRO 128GB </t>
  </si>
  <si>
    <t xml:space="preserve">909872224 MUNISA </t>
  </si>
  <si>
    <t xml:space="preserve">NOTE 20 ULTRA </t>
  </si>
  <si>
    <t>951205552 DIYORBEK</t>
  </si>
  <si>
    <t xml:space="preserve">930713940 ILHOM OZIMIZDAN OGAN </t>
  </si>
  <si>
    <t xml:space="preserve">JOVOKAM TANIWLARI </t>
  </si>
  <si>
    <t xml:space="preserve">13 PRO </t>
  </si>
  <si>
    <t xml:space="preserve">A52 </t>
  </si>
  <si>
    <t xml:space="preserve">507228760 MILANA </t>
  </si>
  <si>
    <t xml:space="preserve">915821142 MAHMUD </t>
  </si>
  <si>
    <t xml:space="preserve">14 PLUS 128GB </t>
  </si>
  <si>
    <t>330003838 BAHROM  KAROPKA 1 FEVRAL KELADI 40 BERVORIW KERE</t>
  </si>
  <si>
    <t xml:space="preserve">13 PRO 128GB </t>
  </si>
  <si>
    <t>990528852 AVAZBEK</t>
  </si>
  <si>
    <t xml:space="preserve">991381262  SAMANDAR </t>
  </si>
  <si>
    <t>DAVID NOUT LAGAN</t>
  </si>
  <si>
    <t>9/45MM</t>
  </si>
  <si>
    <t xml:space="preserve">MIDNIGHT </t>
  </si>
  <si>
    <t xml:space="preserve">946077636 MUHAMMADJON </t>
  </si>
  <si>
    <t>330470757 330073737 ABDULLO</t>
  </si>
  <si>
    <t xml:space="preserve">908810278 ASLBEK </t>
  </si>
  <si>
    <t xml:space="preserve">S22 128GB </t>
  </si>
  <si>
    <t>999987717 ABBOS</t>
  </si>
  <si>
    <t xml:space="preserve">774018381 PAK </t>
  </si>
  <si>
    <t>917791501 AZIZA</t>
  </si>
  <si>
    <t>944443236 KAMOL</t>
  </si>
  <si>
    <t>900057474 MUSRSAT</t>
  </si>
  <si>
    <t xml:space="preserve">940811100 ABBOS </t>
  </si>
  <si>
    <t xml:space="preserve">S23 FE 256GB </t>
  </si>
  <si>
    <t xml:space="preserve">992927608848 AKMAL TOJIKISTON </t>
  </si>
  <si>
    <t xml:space="preserve">970808895 ULUGBEK </t>
  </si>
  <si>
    <t xml:space="preserve">IMRON IPLUS </t>
  </si>
  <si>
    <t xml:space="preserve">A24 </t>
  </si>
  <si>
    <t xml:space="preserve">OYNA SINGAN </t>
  </si>
  <si>
    <t xml:space="preserve">909929662 KOMOLIDDIN </t>
  </si>
  <si>
    <t xml:space="preserve">7 45 </t>
  </si>
  <si>
    <t xml:space="preserve">ABDURAZO A27 </t>
  </si>
  <si>
    <t xml:space="preserve">8743975368 INDIA  885860786 SUFIAN </t>
  </si>
  <si>
    <t xml:space="preserve">977380010 JOVOHIR SARDORAKAM TANIWLARI </t>
  </si>
  <si>
    <t xml:space="preserve">FERUZAPA KAREYACHI </t>
  </si>
  <si>
    <t xml:space="preserve">950196660 DILAFRUZ </t>
  </si>
  <si>
    <t>FACE, KORPUS, EKRAN</t>
  </si>
  <si>
    <t xml:space="preserve">888290067 SANJAR </t>
  </si>
  <si>
    <t xml:space="preserve">A22 64GB </t>
  </si>
  <si>
    <t>995288045 RUSTAMAKA</t>
  </si>
  <si>
    <t xml:space="preserve">A13 32GB </t>
  </si>
  <si>
    <t>KAMERA OYNA</t>
  </si>
  <si>
    <t xml:space="preserve">NOTE 9S </t>
  </si>
  <si>
    <t>USB</t>
  </si>
  <si>
    <t>16 PRO</t>
  </si>
  <si>
    <t>997300990 ANVAR</t>
  </si>
  <si>
    <t xml:space="preserve">Z FOLD 4 256GB </t>
  </si>
  <si>
    <t>909244754 FARUX</t>
  </si>
  <si>
    <t xml:space="preserve">S20 256GB </t>
  </si>
  <si>
    <t xml:space="preserve">SERIY </t>
  </si>
  <si>
    <t xml:space="preserve">S20 FE 128GB </t>
  </si>
  <si>
    <t xml:space="preserve">KOMRONAKAM TANIWLARI ISOJONAKA </t>
  </si>
  <si>
    <t>NODIRAKA A28 SHOGIRTLARI</t>
  </si>
  <si>
    <t xml:space="preserve">PUWTI </t>
  </si>
  <si>
    <t xml:space="preserve">XR 64GB </t>
  </si>
  <si>
    <t xml:space="preserve">KORPUS, EKRAN, BATAREY </t>
  </si>
  <si>
    <t xml:space="preserve">ARTEM JOVOKA KLENT </t>
  </si>
  <si>
    <t xml:space="preserve">PLATA REMONT BOGAN </t>
  </si>
  <si>
    <t>915531016 DILSHOD</t>
  </si>
  <si>
    <t xml:space="preserve">12 MINI 128GB </t>
  </si>
  <si>
    <t xml:space="preserve">ABDULAZIZ TILACHI </t>
  </si>
  <si>
    <t>AZIZ AKA NOUT</t>
  </si>
  <si>
    <t>EKRAN ALIWKAN, batarey</t>
  </si>
  <si>
    <t xml:space="preserve">FARANGIZAPA OHANGARON </t>
  </si>
  <si>
    <t>JOVOKAM AKALARINI TANIWI 998446564</t>
  </si>
  <si>
    <t xml:space="preserve">500553866 DILYOR </t>
  </si>
  <si>
    <t xml:space="preserve">917770219 AZIZ </t>
  </si>
  <si>
    <t xml:space="preserve">770000018 TIKOM JASUR </t>
  </si>
  <si>
    <t xml:space="preserve">EKRAN, KORPUS, FACE </t>
  </si>
  <si>
    <t>AZIZ TANIWI NODR WKOLNIK</t>
  </si>
  <si>
    <t xml:space="preserve">XS MAX 64GB </t>
  </si>
  <si>
    <t xml:space="preserve">AHMADJON NAMANGAN </t>
  </si>
  <si>
    <t xml:space="preserve">958584488 JASUR </t>
  </si>
  <si>
    <t xml:space="preserve">909199898 SHAHZOD AZIZ NOUT OKASI </t>
  </si>
  <si>
    <t xml:space="preserve">A53 128GB </t>
  </si>
  <si>
    <t xml:space="preserve">JOVOKA XOLALARI </t>
  </si>
  <si>
    <t xml:space="preserve">FOLD 3 256GB </t>
  </si>
  <si>
    <t xml:space="preserve">917377727 ABBOS </t>
  </si>
  <si>
    <t>500555509 MUHAMADALI</t>
  </si>
  <si>
    <t xml:space="preserve">UXA ALIWKAN </t>
  </si>
  <si>
    <t>ZAFAR ORTOGI XOJI</t>
  </si>
  <si>
    <t>998885634 SADR</t>
  </si>
  <si>
    <t xml:space="preserve">S10 5G 256GB </t>
  </si>
  <si>
    <t xml:space="preserve">994314346 QAHRAMON AKA </t>
  </si>
  <si>
    <t>A28 ILHOM ORTOGI MUHAMMAD</t>
  </si>
  <si>
    <t xml:space="preserve">9/45M </t>
  </si>
  <si>
    <t>MALIKA BOHO SARIQ OYOGI KALTA 971653333</t>
  </si>
  <si>
    <t xml:space="preserve">912160303 SALOXIDIN </t>
  </si>
  <si>
    <t xml:space="preserve">917784466 BEHRUZ </t>
  </si>
  <si>
    <t>AZIZ NOUT TANIWI TEMUR 900067572</t>
  </si>
  <si>
    <t>AFRUZ QARIMDOWI SHOXRUZ</t>
  </si>
  <si>
    <t xml:space="preserve">908617212 OYBEK </t>
  </si>
  <si>
    <t>977771630 SHAHZODA</t>
  </si>
  <si>
    <t>939555900 NAVRUZ</t>
  </si>
  <si>
    <t xml:space="preserve">978722222 UMID MILLION </t>
  </si>
  <si>
    <t xml:space="preserve">Z FLIP 6 256GB </t>
  </si>
  <si>
    <t xml:space="preserve">A28 SHAHZOD OKA </t>
  </si>
  <si>
    <t xml:space="preserve">AZIZ NOUT TANIWI OPA OGLINIKI </t>
  </si>
  <si>
    <t xml:space="preserve">MAC BRO OTABEKA </t>
  </si>
  <si>
    <t xml:space="preserve">886806161 SALMON </t>
  </si>
  <si>
    <t xml:space="preserve">AYUSUF ILHOM QARIMDOWI </t>
  </si>
  <si>
    <t xml:space="preserve">8 PLUS 256GB </t>
  </si>
  <si>
    <t>AZIZ NOUT NATIWI ANDREY</t>
  </si>
  <si>
    <t xml:space="preserve">MUHITAKA CHIMBOY </t>
  </si>
  <si>
    <t xml:space="preserve">SHOMUROD JIYANI </t>
  </si>
  <si>
    <t xml:space="preserve">912010422 DONIYOR </t>
  </si>
  <si>
    <t xml:space="preserve">S20 PLUS 256GB </t>
  </si>
  <si>
    <t xml:space="preserve">BURGUNDEY </t>
  </si>
  <si>
    <t>ORANGE</t>
  </si>
  <si>
    <t xml:space="preserve">ABDURAHMON QARIMDOW </t>
  </si>
  <si>
    <t xml:space="preserve">AGZAMOV.SH AFRUZ TANIWI </t>
  </si>
  <si>
    <t xml:space="preserve">AFRUZ </t>
  </si>
  <si>
    <t>YUSUF TANIWI SEMZ BOLA</t>
  </si>
  <si>
    <t xml:space="preserve">ISLOM BRATIWKA TW DIXTR JOVO WOGIRTI </t>
  </si>
  <si>
    <t xml:space="preserve">996330066 JOLONAKAM TANIWLARI </t>
  </si>
  <si>
    <t xml:space="preserve">940383333 GOLIBAKA 977348222 MAXMUDJON </t>
  </si>
  <si>
    <t xml:space="preserve">MUSHTARIY OZIMIZDAN OGAN </t>
  </si>
  <si>
    <t xml:space="preserve">OISHA KENAYI OZIMIZDAN OGAN </t>
  </si>
  <si>
    <t xml:space="preserve">NOTE 13 </t>
  </si>
  <si>
    <t>MUNIRUM MAFTU</t>
  </si>
  <si>
    <t xml:space="preserve">EKRAN ALIWKAN </t>
  </si>
  <si>
    <t xml:space="preserve">KOMRONAKAM JIYANLARI </t>
  </si>
  <si>
    <t xml:space="preserve">NOTE 11 R 128GB </t>
  </si>
  <si>
    <t xml:space="preserve">9/45 M </t>
  </si>
  <si>
    <t xml:space="preserve">MUHAMMADADAKA A29 </t>
  </si>
  <si>
    <t xml:space="preserve">8 256GB </t>
  </si>
  <si>
    <t>08.03.20.25</t>
  </si>
  <si>
    <t xml:space="preserve">GOLD </t>
  </si>
  <si>
    <t>AFRUZ</t>
  </si>
  <si>
    <t xml:space="preserve">977579418 NODIR </t>
  </si>
  <si>
    <t xml:space="preserve">8 PLUS 128GB </t>
  </si>
  <si>
    <t xml:space="preserve">900113253 OTAJON AKA </t>
  </si>
  <si>
    <t xml:space="preserve">943431124 RASUL </t>
  </si>
  <si>
    <t xml:space="preserve">FOLD 1 </t>
  </si>
  <si>
    <t xml:space="preserve">EKRAN DOGI BOR </t>
  </si>
  <si>
    <t>SARDORAKA DOKON</t>
  </si>
  <si>
    <t>930727346 ALIL</t>
  </si>
  <si>
    <t xml:space="preserve">RANO VARIANT KLENT </t>
  </si>
  <si>
    <t xml:space="preserve">944067227 DILFUZA </t>
  </si>
  <si>
    <t xml:space="preserve">XS MAX 512GB </t>
  </si>
  <si>
    <t>883080497 OYBEK</t>
  </si>
  <si>
    <t xml:space="preserve">505090380 OZIMIZDAN OGAN </t>
  </si>
  <si>
    <t>901154699 JENYA</t>
  </si>
  <si>
    <t xml:space="preserve">958486464 SOVKAT B23 AZIZXOJADAN OGAN </t>
  </si>
  <si>
    <t>932643434 FAYZULLOH</t>
  </si>
  <si>
    <t xml:space="preserve">887564545 SHOHJAHON </t>
  </si>
  <si>
    <t xml:space="preserve">991028838 DILSHOD </t>
  </si>
  <si>
    <t>773370247 SITORA</t>
  </si>
  <si>
    <t xml:space="preserve">772937733 ARTUR </t>
  </si>
  <si>
    <t>901860255 AMIR</t>
  </si>
  <si>
    <t xml:space="preserve">YUSUF UKA </t>
  </si>
  <si>
    <t xml:space="preserve">SALOH ASAD ORTOGI </t>
  </si>
  <si>
    <t xml:space="preserve">NODIR OZIMIZDAN OGAN </t>
  </si>
  <si>
    <t>900000376 SHUKRULLA</t>
  </si>
  <si>
    <t xml:space="preserve">14 MAX 1TB </t>
  </si>
  <si>
    <t xml:space="preserve">770991771 ZEBO </t>
  </si>
  <si>
    <t xml:space="preserve">7/45 M </t>
  </si>
  <si>
    <t xml:space="preserve">KAMRON </t>
  </si>
  <si>
    <t xml:space="preserve">NOTE 14 PRO 512GB </t>
  </si>
  <si>
    <t xml:space="preserve">ASADI QARIMDOWI OBITAKA AKASI </t>
  </si>
  <si>
    <t xml:space="preserve">13 LITE 128GB </t>
  </si>
  <si>
    <t>945955355 AZIZA</t>
  </si>
  <si>
    <t xml:space="preserve">ZAFAR ORTOGI </t>
  </si>
  <si>
    <t xml:space="preserve">NOTE 11R </t>
  </si>
  <si>
    <t xml:space="preserve">CHENCH </t>
  </si>
  <si>
    <t xml:space="preserve">944005132 NURSULTON </t>
  </si>
  <si>
    <t xml:space="preserve">931537671 BEKMUROD AKA </t>
  </si>
  <si>
    <t xml:space="preserve">X3 128GB </t>
  </si>
  <si>
    <t xml:space="preserve">908574676 OTABEK </t>
  </si>
  <si>
    <t>50.</t>
  </si>
  <si>
    <t>0090.</t>
  </si>
  <si>
    <t>998811056 LAZIZ</t>
  </si>
  <si>
    <t xml:space="preserve">IBO UKA MAHALA </t>
  </si>
  <si>
    <t xml:space="preserve">16 PLUS </t>
  </si>
  <si>
    <t xml:space="preserve">AZIZI TANISHI MOTABARAPA </t>
  </si>
  <si>
    <t xml:space="preserve">KOMRONAKAM TANIWLARI BOTIR OPASI </t>
  </si>
  <si>
    <t>999060420 HABIBULLO</t>
  </si>
  <si>
    <t xml:space="preserve">950042722 ANVAR </t>
  </si>
  <si>
    <t xml:space="preserve">881603111 JOHONGIRAKA </t>
  </si>
  <si>
    <t xml:space="preserve">334444949 JORAVOY </t>
  </si>
  <si>
    <t xml:space="preserve">M3 PRO 64GB </t>
  </si>
  <si>
    <t xml:space="preserve">A27 ABDUHALILAKA JIYANLARI </t>
  </si>
  <si>
    <t xml:space="preserve">DILYA JOVOKAM TANIWLARI </t>
  </si>
  <si>
    <t xml:space="preserve">NOTE 13 256GB </t>
  </si>
  <si>
    <t xml:space="preserve">931341438 RUSLAN </t>
  </si>
  <si>
    <t xml:space="preserve">888760617 ZOIRJON </t>
  </si>
  <si>
    <t xml:space="preserve">REKLAMA </t>
  </si>
  <si>
    <t xml:space="preserve">MEBEL </t>
  </si>
  <si>
    <t xml:space="preserve">TELEFONLAGA RASXOD </t>
  </si>
  <si>
    <t>990787788 VOVA</t>
  </si>
  <si>
    <t xml:space="preserve">A14 </t>
  </si>
  <si>
    <t xml:space="preserve">933850435 MUNIS </t>
  </si>
  <si>
    <t xml:space="preserve">8/45M </t>
  </si>
  <si>
    <t xml:space="preserve">ZARATKA BOR </t>
  </si>
  <si>
    <t>MAXST</t>
  </si>
  <si>
    <t xml:space="preserve">970394050 MADINA </t>
  </si>
  <si>
    <t>?</t>
  </si>
  <si>
    <t>TELEFON RASXOD</t>
  </si>
  <si>
    <t>AFRUZ OYLIK</t>
  </si>
  <si>
    <t>109 TA NARSA SOTILGAN CHIQVOTI   6.272</t>
  </si>
  <si>
    <t>SUNNATAKA BOBUR QARIMDOSHI KULLER</t>
  </si>
  <si>
    <t xml:space="preserve">A32 64GB </t>
  </si>
  <si>
    <t>770072266 ASADULLO</t>
  </si>
  <si>
    <t>TAN NARXI</t>
  </si>
  <si>
    <t>SUMMA</t>
  </si>
  <si>
    <t xml:space="preserve">S20 FE </t>
  </si>
  <si>
    <t xml:space="preserve">TOJI KLENT </t>
  </si>
  <si>
    <t xml:space="preserve">S10 PLUS 128GB </t>
  </si>
  <si>
    <t>908138135 ADEL</t>
  </si>
  <si>
    <t xml:space="preserve">REALMI </t>
  </si>
  <si>
    <t>C11 32GB</t>
  </si>
  <si>
    <t>KLENT</t>
  </si>
  <si>
    <t>EKRAN, BATAREY</t>
  </si>
  <si>
    <t>917361999 BOBUR</t>
  </si>
  <si>
    <t>SAPFIR GOLD</t>
  </si>
  <si>
    <t xml:space="preserve">958030088 MUHAMADIYORAKA </t>
  </si>
  <si>
    <t>774143446 MEHRIDDIN</t>
  </si>
  <si>
    <t>933946455 AZIZ</t>
  </si>
  <si>
    <t xml:space="preserve">A03S 64GB </t>
  </si>
  <si>
    <t xml:space="preserve">ASAD TANIWI UMIDAKA </t>
  </si>
  <si>
    <t>LIZA KLENT</t>
  </si>
  <si>
    <t>NOTE 11 64GB</t>
  </si>
  <si>
    <t xml:space="preserve">CHENCH, KAMERA OYNA </t>
  </si>
  <si>
    <t>16 MAX 256GB</t>
  </si>
  <si>
    <t>S23 FE 256GB</t>
  </si>
  <si>
    <t>948842625 ZOHID</t>
  </si>
  <si>
    <t xml:space="preserve">16 PLUS 128GB </t>
  </si>
  <si>
    <t>DIYORAKA KLENT</t>
  </si>
  <si>
    <t>EKRAN, KAMERA 3X DOGI BOR</t>
  </si>
  <si>
    <t>UMAR A28 USTA</t>
  </si>
  <si>
    <t>934292112 ZAFAR ORTOGI</t>
  </si>
  <si>
    <t>930721001 FERUZAPA</t>
  </si>
  <si>
    <t xml:space="preserve">ABDULLA UKA DILSHOD SHASHLI OZIMIZDAN OLINGAN </t>
  </si>
  <si>
    <t>DILSHODAKA KLENT SAMARQAND DARVAZA</t>
  </si>
  <si>
    <t xml:space="preserve">11 64gb </t>
  </si>
  <si>
    <t>SHAXI</t>
  </si>
  <si>
    <t>A51 64GB</t>
  </si>
  <si>
    <t>A30S 64GB</t>
  </si>
  <si>
    <t>AIRPODS</t>
  </si>
  <si>
    <t>332865151 OQILBOY</t>
  </si>
  <si>
    <t>994433374 MUKARRAM</t>
  </si>
  <si>
    <t>991234562 HUSAN</t>
  </si>
  <si>
    <t>MI F5 PRO 512GB</t>
  </si>
  <si>
    <t xml:space="preserve">GUSTO </t>
  </si>
  <si>
    <t>901769758 MUROD</t>
  </si>
  <si>
    <t>889137744 USMON</t>
  </si>
  <si>
    <t>909220180 SAID</t>
  </si>
  <si>
    <t>977139900 JORABEK</t>
  </si>
  <si>
    <t>JOVOKAM AKALARINIKI</t>
  </si>
  <si>
    <t xml:space="preserve">IPAD </t>
  </si>
  <si>
    <t>LL/A</t>
  </si>
  <si>
    <t xml:space="preserve">991743329 ASLBEK </t>
  </si>
  <si>
    <t>AFRUZ, ZAFAR  ABETIGA</t>
  </si>
  <si>
    <t xml:space="preserve">JOVOH KAREA NOTORI YOZIB QOYGANIM </t>
  </si>
  <si>
    <t>ASAD OLDI</t>
  </si>
  <si>
    <t>JOVOKA OLDILA</t>
  </si>
  <si>
    <t>9 64GB</t>
  </si>
  <si>
    <t xml:space="preserve">MINI 2 16GB </t>
  </si>
  <si>
    <t>333777713 SAMID</t>
  </si>
  <si>
    <t>AIR 32GB</t>
  </si>
  <si>
    <t>916130110 HAMIDULIKA</t>
  </si>
  <si>
    <t xml:space="preserve">MAHSITAKA </t>
  </si>
  <si>
    <t>909551768 ABDURAHMON</t>
  </si>
  <si>
    <t>940122044 AKROM</t>
  </si>
  <si>
    <t>S23 ULTRA 512GB</t>
  </si>
  <si>
    <t>S21 128GB</t>
  </si>
  <si>
    <t>S10 128GB</t>
  </si>
  <si>
    <t>911292316 ZUHRIDIN</t>
  </si>
  <si>
    <t>887999606 KENAYI</t>
  </si>
  <si>
    <t>974630767 IBROHIM</t>
  </si>
  <si>
    <t>A55 128GB</t>
  </si>
  <si>
    <t>774143446 MEHRIDDIN AKA</t>
  </si>
  <si>
    <t>ERKAN ALIWKAN, KRIWKA</t>
  </si>
  <si>
    <t>941012726 DAVRON</t>
  </si>
  <si>
    <t>951500609 JAVOHIR</t>
  </si>
  <si>
    <t>950174888 902450001 AZIZ</t>
  </si>
  <si>
    <t>772877007 AYJAN</t>
  </si>
  <si>
    <t>MUHLISAPA VARIANT</t>
  </si>
  <si>
    <t>S23 PLUS 256GB</t>
  </si>
  <si>
    <t>930033233 335092626 RUSTAM</t>
  </si>
  <si>
    <t>KAMERA SHISHA, 0,5 KAMERA ALIWKAN</t>
  </si>
  <si>
    <t>ABDUMALIK UKA MAHALLA</t>
  </si>
  <si>
    <t>ABDUMALIKA DOKON</t>
  </si>
  <si>
    <t>AKBAR A27</t>
  </si>
  <si>
    <t>932519905 DILSHODAKA</t>
  </si>
  <si>
    <t>IBROHIM ASAD KUYOVI</t>
  </si>
  <si>
    <t>909776600 AZAM AKA SHAHZOD AKAM ORTOGI</t>
  </si>
  <si>
    <t>977776505 NIGORA</t>
  </si>
  <si>
    <t>941411141 AZIZ</t>
  </si>
  <si>
    <t>911338751 ABBOS</t>
  </si>
  <si>
    <t xml:space="preserve">GULI </t>
  </si>
  <si>
    <t xml:space="preserve">930788800 ASADBEK </t>
  </si>
  <si>
    <t>10/46M</t>
  </si>
  <si>
    <t>SAFIR GOLD</t>
  </si>
  <si>
    <t xml:space="preserve">BRAT KLENT </t>
  </si>
  <si>
    <t>HUSAIN JAGA ORTOGI</t>
  </si>
  <si>
    <t xml:space="preserve">971967227 HOJAKBAR </t>
  </si>
  <si>
    <t>ILHOM A YUSUF</t>
  </si>
  <si>
    <t>A11 32GB</t>
  </si>
  <si>
    <t>950830454 IZATILLA</t>
  </si>
  <si>
    <t xml:space="preserve">REDMI </t>
  </si>
  <si>
    <t>MI 9 SE 64GB</t>
  </si>
  <si>
    <t xml:space="preserve">KRIWKA </t>
  </si>
  <si>
    <t>999087160 SAIDAKBAR</t>
  </si>
  <si>
    <t>S20 PLUS 256GB</t>
  </si>
  <si>
    <t>S10 5G 256GB</t>
  </si>
  <si>
    <t>14 PRO 256GB</t>
  </si>
  <si>
    <t>16 128GB</t>
  </si>
  <si>
    <t>XR 128GB</t>
  </si>
  <si>
    <t>900918850 DARIA</t>
  </si>
  <si>
    <t>PRO 12.9 512GB</t>
  </si>
  <si>
    <t>970355737 YUNUSBEK</t>
  </si>
  <si>
    <t>14 MAX E-SIM 128GB</t>
  </si>
  <si>
    <t>JOVOKAM QARIMDOWLARI OSUDA</t>
  </si>
  <si>
    <t>SAYGE</t>
  </si>
  <si>
    <t>337034353 OTASH A14</t>
  </si>
  <si>
    <t>946322282 SADULLOH</t>
  </si>
  <si>
    <t>S24 PLUS 256GB</t>
  </si>
  <si>
    <t>937722313 ASILBEK</t>
  </si>
  <si>
    <t>EKRAN, 0.5 KAMERA ALIWKAN</t>
  </si>
  <si>
    <t>970082246 JAVLON RIXSIBOY UKALARI</t>
  </si>
  <si>
    <t>777373501 SAIDQOSIM</t>
  </si>
  <si>
    <t>885299393 MAFTUNA</t>
  </si>
  <si>
    <t>970909909 MUHAMMADAMIN YUSUF ORTOGI</t>
  </si>
  <si>
    <t xml:space="preserve">MUHAMMADAKA </t>
  </si>
  <si>
    <t>NOTE 12S 256GB</t>
  </si>
  <si>
    <t>AZIZBEK</t>
  </si>
  <si>
    <t>S23 PLUS 512GB</t>
  </si>
  <si>
    <t>8 64GB</t>
  </si>
  <si>
    <t>950195758 OYBEK</t>
  </si>
  <si>
    <t>HUSAIN ORTOGI ALW</t>
  </si>
  <si>
    <t xml:space="preserve">KOMILAKA A28 </t>
  </si>
  <si>
    <t>15 256GB</t>
  </si>
  <si>
    <t>S24 256GB</t>
  </si>
  <si>
    <t xml:space="preserve">JOVOKAM QARIMDOWLARI ZABI </t>
  </si>
  <si>
    <t>940070700 DILMUROD</t>
  </si>
  <si>
    <t>JOVO TW DOHTR</t>
  </si>
  <si>
    <t>991177443 ABDUMALIK</t>
  </si>
  <si>
    <t>S20 ULTRA 256GB</t>
  </si>
  <si>
    <t>10/46MM</t>
  </si>
  <si>
    <t>977443377 ERKIN</t>
  </si>
  <si>
    <t xml:space="preserve">BOTIRAKA MEDIA KOMRONAKAM JIYANLARI </t>
  </si>
  <si>
    <t>A8 MANSIR</t>
  </si>
  <si>
    <t>910175555 ABDULAZIZ JOVOKAM UKALASI</t>
  </si>
  <si>
    <t>A24 BEGZOD</t>
  </si>
  <si>
    <t>975983015 VITYA</t>
  </si>
  <si>
    <t>SILVER</t>
  </si>
  <si>
    <t xml:space="preserve">909012252 KOMILA </t>
  </si>
  <si>
    <t>14 PRO 128GB</t>
  </si>
  <si>
    <t>403 YEP QOYDIM</t>
  </si>
  <si>
    <t>98 YEP QOYDILA</t>
  </si>
  <si>
    <t>JOVOKA YECHTILA</t>
  </si>
  <si>
    <t>ASAD YECHTI</t>
  </si>
  <si>
    <t>SOTKAN BOLLA</t>
  </si>
  <si>
    <t xml:space="preserve">RANGI </t>
  </si>
  <si>
    <t>JOVOKA</t>
  </si>
  <si>
    <t>ZAFAR</t>
  </si>
  <si>
    <t xml:space="preserve">BOLLANI ABETIGA </t>
  </si>
  <si>
    <t>916997424 MISHTARI LAQABI PARI</t>
  </si>
  <si>
    <t>KABULOV SAMANDAR</t>
  </si>
  <si>
    <t>ZAZORCHILAGA</t>
  </si>
  <si>
    <t>WATCH</t>
  </si>
  <si>
    <t xml:space="preserve">MAHSTAKA </t>
  </si>
  <si>
    <t>907170117 BILOL A22 IBROHIM AKA KOCHA TARAF</t>
  </si>
  <si>
    <t>945676595 ILHOMBOY</t>
  </si>
  <si>
    <t xml:space="preserve">BOLLANI KUNLIGI </t>
  </si>
  <si>
    <t>931640401B BEGZOD</t>
  </si>
  <si>
    <t>16 PRO 512GB</t>
  </si>
  <si>
    <t>SARDORAKAM A27</t>
  </si>
  <si>
    <t>SAMANDAR KABULOV</t>
  </si>
  <si>
    <t>987009505  887007022 BOBOMUROD</t>
  </si>
  <si>
    <t>902870722 SHUKURULLOH</t>
  </si>
  <si>
    <t>978438418 SARDOR</t>
  </si>
  <si>
    <t xml:space="preserve">KAMERA OYNA SINGAN </t>
  </si>
  <si>
    <t>EKRAN ALIWKAN, KAMERA SHISHA ALIWKAN</t>
  </si>
  <si>
    <t>990189933 ASRORBE</t>
  </si>
  <si>
    <t>933944846 AHMAD</t>
  </si>
  <si>
    <t>A24 128GB</t>
  </si>
  <si>
    <t xml:space="preserve">JOY ARENDAGA </t>
  </si>
  <si>
    <t>TELEFONGA RASXOD</t>
  </si>
  <si>
    <t>947422115 BILOLXOJA</t>
  </si>
  <si>
    <t>945145551 DAVLATMIRZO</t>
  </si>
  <si>
    <t>S22 ULTRA 128GB</t>
  </si>
  <si>
    <t>906541999 NAVRUZBEK</t>
  </si>
  <si>
    <t>13 MINI 256GB</t>
  </si>
  <si>
    <t>JOHON</t>
  </si>
  <si>
    <t>ZAFAR AVANS</t>
  </si>
  <si>
    <t>OCHILGAN</t>
  </si>
  <si>
    <t>S9 PLUS 64GB</t>
  </si>
  <si>
    <t>941900234 KLENT MOLONAKA SAYGE</t>
  </si>
  <si>
    <t>9012307002 OTABEK</t>
  </si>
  <si>
    <t>KRIWKA,EKRAN</t>
  </si>
  <si>
    <t>933776676 BAXTIYORAKA</t>
  </si>
  <si>
    <t>975553055 ERKINJON</t>
  </si>
  <si>
    <t>A56 128GB</t>
  </si>
  <si>
    <t>944081102 BEKJON NARIMONAKAM TANIWLARI</t>
  </si>
  <si>
    <t>EKRAN BATAREY</t>
  </si>
  <si>
    <t>BOHOKA NOUT</t>
  </si>
  <si>
    <t>909883639 BAHTI SAYGE</t>
  </si>
  <si>
    <t>998990096 ASILBEK</t>
  </si>
  <si>
    <t xml:space="preserve">SE 2 </t>
  </si>
  <si>
    <t>997914118 IRODA</t>
  </si>
  <si>
    <t>DILZODBEK</t>
  </si>
  <si>
    <t>947565665 ABDURAHMON</t>
  </si>
  <si>
    <t>888332212 YAHYO</t>
  </si>
  <si>
    <t>TAB A8 32GB</t>
  </si>
  <si>
    <t>944042636 YAHYO ABDURAZO TANIWI</t>
  </si>
  <si>
    <t>990002228 SARDOR</t>
  </si>
  <si>
    <t>772686767 AZIZBEK</t>
  </si>
  <si>
    <t>998883000 ABDURAHMON 900001700 ABDURAHMON</t>
  </si>
  <si>
    <t>933789600 SARDOR</t>
  </si>
  <si>
    <t>930064728 SHOHAMID</t>
  </si>
  <si>
    <t>A13 64GB</t>
  </si>
  <si>
    <t>EKRAN, BATAREY, FACE</t>
  </si>
  <si>
    <t>942660102 ASROR</t>
  </si>
  <si>
    <t>6 PLUS 16GB</t>
  </si>
  <si>
    <t>974547774 IBROHIM</t>
  </si>
  <si>
    <t>977466524 IGR</t>
  </si>
  <si>
    <t>900002265 OTABEK</t>
  </si>
  <si>
    <t>916977789 ABDUSAMADAKA</t>
  </si>
  <si>
    <t>900420682 SHAHBOZ SAYGE</t>
  </si>
  <si>
    <t>943656444 ASILBEK</t>
  </si>
  <si>
    <t xml:space="preserve">KAMERA REMONT </t>
  </si>
  <si>
    <t>S25 PLUS 256GB</t>
  </si>
  <si>
    <t>15 PLUS 256GB</t>
  </si>
  <si>
    <t xml:space="preserve">FONI BOR </t>
  </si>
  <si>
    <t>8 PLUS 64GB</t>
  </si>
  <si>
    <t xml:space="preserve">MOLONAKA </t>
  </si>
  <si>
    <t>940212446 AZIZ</t>
  </si>
  <si>
    <t>ZAFAR ORTOGI</t>
  </si>
  <si>
    <t>A52 128GB</t>
  </si>
  <si>
    <t>949432404 MUHAMMADQODIR</t>
  </si>
  <si>
    <t>NARIMONAKAM ORTOLARI DONI</t>
  </si>
  <si>
    <t>JOLONAKAMDAN OLINDI</t>
  </si>
  <si>
    <t>KRIWKA ALIWKAN, BATAREYKA</t>
  </si>
  <si>
    <t>900140990 IZZAT</t>
  </si>
  <si>
    <t>947290720 AKROMJON</t>
  </si>
  <si>
    <t>13 PRO 512GB</t>
  </si>
  <si>
    <t>NOTE 12 PRO 256GB</t>
  </si>
  <si>
    <t>882140477 UMIDJON</t>
  </si>
  <si>
    <t>ABDURAZZODAN OLINGAN</t>
  </si>
  <si>
    <t>A03S 32GB</t>
  </si>
  <si>
    <t>919061911 GULI</t>
  </si>
  <si>
    <t>ZABIKA JOVOKAM QARIMDOWLARI</t>
  </si>
  <si>
    <t>11 LITE 128GB</t>
  </si>
  <si>
    <t>336861008 SARDOR</t>
  </si>
  <si>
    <t>A72 256GB</t>
  </si>
  <si>
    <t>90091612 DINA</t>
  </si>
  <si>
    <t>977288140 MIHAIL</t>
  </si>
  <si>
    <t>938044336 ABDUZAIM</t>
  </si>
  <si>
    <t>ASAD ORTOGI ABDULBOST</t>
  </si>
  <si>
    <t>335141514 JASUR</t>
  </si>
  <si>
    <t>A54 128GB</t>
  </si>
  <si>
    <t>949900319 MADINA</t>
  </si>
  <si>
    <t>AFRUZ TARAB</t>
  </si>
  <si>
    <t>Столбец1</t>
  </si>
  <si>
    <t>SONI</t>
  </si>
  <si>
    <t>USMON JIYAN</t>
  </si>
  <si>
    <t>911116977 IMOMBOY</t>
  </si>
  <si>
    <t>11 256GB</t>
  </si>
  <si>
    <t>994371737 SHERMIRZO</t>
  </si>
  <si>
    <t>10/42M</t>
  </si>
  <si>
    <t>331177700 MARIF</t>
  </si>
  <si>
    <t>974336667 ABROR</t>
  </si>
  <si>
    <t>A15 128GB</t>
  </si>
  <si>
    <t>940948402 YOLCHI</t>
  </si>
  <si>
    <t>997086158 YOQUB</t>
  </si>
  <si>
    <t>ABROR</t>
  </si>
  <si>
    <t>997013313 SROCHAKA OPTIM QOSHTUT</t>
  </si>
  <si>
    <t>EKRAN, KRIWKA, FACE, ICHI REMONT BOGAN</t>
  </si>
  <si>
    <t>953799292 HULKAR</t>
  </si>
  <si>
    <t>KAMERA SHISHA</t>
  </si>
  <si>
    <t>992009749 SHAXZOD</t>
  </si>
  <si>
    <t>949182221 ISLOM</t>
  </si>
  <si>
    <t>AZIZAKA ZAPCHAS</t>
  </si>
  <si>
    <t>A 15 ORQA TARAB</t>
  </si>
  <si>
    <t>EKRAN, KRIWKA, BATAREY</t>
  </si>
  <si>
    <t>A18 SARDOR</t>
  </si>
  <si>
    <t>KALONKA ALIWKAN</t>
  </si>
  <si>
    <t>SARDORAKAM A27 ORTOLARI SAIDMUROD KASAPRAF</t>
  </si>
  <si>
    <t>888600821 ISTAM</t>
  </si>
  <si>
    <t>SVET</t>
  </si>
  <si>
    <t>KOMRONOKAM TANIWLARI QASSOB BOLA</t>
  </si>
  <si>
    <t>939736503 SHAHBOZ</t>
  </si>
  <si>
    <t>SENSIR ALIWKAN</t>
  </si>
  <si>
    <t>DONIKA A41</t>
  </si>
  <si>
    <t>AZAMAT</t>
  </si>
  <si>
    <t>930019104 BEKSULTON</t>
  </si>
  <si>
    <t>S22 ULTRA</t>
  </si>
  <si>
    <t>NOTE 14 256GB</t>
  </si>
  <si>
    <t>KOMRONAKAMDAN OLINDI</t>
  </si>
  <si>
    <t>KRIWKA, KAMERA SHISHA</t>
  </si>
  <si>
    <t xml:space="preserve">NARIMONAKAM TANIWLARI </t>
  </si>
  <si>
    <t>TISH DOHTIR JOVOH</t>
  </si>
  <si>
    <t>933237055 XUSANBOY JALOLIDDIN MANI TANISHIM</t>
  </si>
  <si>
    <t>981211005 ATHAM J1 SAYGE</t>
  </si>
  <si>
    <t>994994909 BEHRUZ</t>
  </si>
  <si>
    <t>884362624 ISLOM</t>
  </si>
  <si>
    <t>A31 64GB</t>
  </si>
  <si>
    <t>YUSUF TANIWI A27</t>
  </si>
  <si>
    <t xml:space="preserve">RAUF JOVOKAM TANIWLARI </t>
  </si>
  <si>
    <t>771521212 GOFUR  SAYGE</t>
  </si>
  <si>
    <t>952343323 BEGZOD</t>
  </si>
  <si>
    <t>A28 KAMERACHI</t>
  </si>
  <si>
    <t>SARDORAKA ORTOLARI KASSAPRAV UKASI</t>
  </si>
  <si>
    <t>13C 256GB</t>
  </si>
  <si>
    <t>HOJAKA A27</t>
  </si>
  <si>
    <t>ISA AFRUZ ORTOGI</t>
  </si>
  <si>
    <t>OYBEKA OPTOM AKSESUAR</t>
  </si>
  <si>
    <t>FOZIL UKA A28</t>
  </si>
  <si>
    <t>13R 128GB</t>
  </si>
  <si>
    <t>901777477 OTABEK</t>
  </si>
  <si>
    <t xml:space="preserve">A22 ABDUQAYUM </t>
  </si>
  <si>
    <t>MASJITDIGI BOLLA</t>
  </si>
  <si>
    <t>MUZAPAKAM ORTOLARI NURBEK SINFDOW</t>
  </si>
  <si>
    <t>NODIRAKA A27 ZAPCHAS OPTIMCHILARIDAN OLINDI</t>
  </si>
  <si>
    <t>BOBURAKAM KOCHADI ORTOGI</t>
  </si>
  <si>
    <t>14 PLUS 128GB</t>
  </si>
  <si>
    <t>910174122 SABINA</t>
  </si>
  <si>
    <t>S23 FE 128GB</t>
  </si>
  <si>
    <t>931800608 NILUFAR</t>
  </si>
  <si>
    <t>ELSHOD UKA</t>
  </si>
  <si>
    <t>KUNLI BOLLAGA</t>
  </si>
  <si>
    <t>914520370 IBODULLA</t>
  </si>
  <si>
    <t>RUT, BATAREY</t>
  </si>
  <si>
    <t>EKRAN, FACE, BATREY</t>
  </si>
  <si>
    <t>SARDORAKAM TANIWLARI BEGZOD SOQOLLI</t>
  </si>
  <si>
    <t>SHAMI JOVOKAM ORTOLARI</t>
  </si>
  <si>
    <t>ISOKA PRAVA</t>
  </si>
  <si>
    <t>KOMRONAKA TANWLARI DILSHODAKA RAYGAZ</t>
  </si>
  <si>
    <t>XOJI TONER</t>
  </si>
  <si>
    <t>881807707 ABDUHALIL AKBARI TANIWI</t>
  </si>
  <si>
    <t>VAZRAT OLDINGI OY</t>
  </si>
  <si>
    <t>12 T 128GB</t>
  </si>
  <si>
    <t xml:space="preserve">SHAXZODAKA A27 TANIWLARI </t>
  </si>
  <si>
    <t>880345333 ZAMIRA</t>
  </si>
  <si>
    <t>912887778 AZIZBE   916130110 HAMIDULLOH</t>
  </si>
  <si>
    <t>949310131 ASLIDIN 948146565 ZULHUMOR</t>
  </si>
  <si>
    <t>945471520 BEHRUZ</t>
  </si>
  <si>
    <t>998967272 DAVRON</t>
  </si>
  <si>
    <t>BEZ IMEI DOSTON</t>
  </si>
  <si>
    <t>SARIQ</t>
  </si>
  <si>
    <t>10 64GB</t>
  </si>
  <si>
    <t>9A 32GB</t>
  </si>
  <si>
    <t>HURSHIDAKA A27</t>
  </si>
  <si>
    <t>SARDOR A28 TELEFONIDAN ZAZOR</t>
  </si>
  <si>
    <t>931446404 OLIMJON AVAZOV</t>
  </si>
  <si>
    <t>909005864 TIMUR</t>
  </si>
  <si>
    <t>SMM</t>
  </si>
  <si>
    <t>XS MAX 256GB</t>
  </si>
  <si>
    <t>YUSUF TANIWI</t>
  </si>
  <si>
    <t>VARIANTCHILA BERISHI KERE 1 OYLI</t>
  </si>
  <si>
    <t>HALIL OKA A29</t>
  </si>
  <si>
    <t xml:space="preserve">999797774 ZOKIR </t>
  </si>
  <si>
    <t>CHORSU VOHOB 84</t>
  </si>
  <si>
    <t>SARDOR OPASI</t>
  </si>
  <si>
    <t>KRIWKA YOPIWTIRILGAN</t>
  </si>
  <si>
    <t>998213535 KOMOLIDIN</t>
  </si>
  <si>
    <t>130.6.2025</t>
  </si>
  <si>
    <t>B41 VARIANT DONIKA OKA</t>
  </si>
  <si>
    <t>IMEI BILAN DOSTON</t>
  </si>
  <si>
    <t>911921171 SANJAR AKA</t>
  </si>
  <si>
    <t>ASAD DINARA TANIWI</t>
  </si>
  <si>
    <t>MIKRAFON REMONT BOGAN</t>
  </si>
  <si>
    <t>A32 64GB</t>
  </si>
  <si>
    <t>917766871 ARTEM</t>
  </si>
  <si>
    <t>992713131 AKMAL</t>
  </si>
  <si>
    <t>S20 FE 128GB</t>
  </si>
  <si>
    <t>997275646 NOZIMA</t>
  </si>
  <si>
    <t>SVET RASXOD</t>
  </si>
  <si>
    <t>A32 ONG TARABDAN OLINGAN</t>
  </si>
  <si>
    <t>S25 ULTRA 256GB</t>
  </si>
  <si>
    <t>934448800 SARDOR</t>
  </si>
  <si>
    <t>884117201  886772400</t>
  </si>
  <si>
    <t xml:space="preserve">946336763 JOVOHIR </t>
  </si>
  <si>
    <t>JOVOKAM QARIMDOWLARI MUZAFARAKA</t>
  </si>
  <si>
    <t xml:space="preserve">HALIL A29 </t>
  </si>
  <si>
    <t>A34 SHOXDAN OLINDI</t>
  </si>
  <si>
    <t>992444333 NODIR</t>
  </si>
  <si>
    <t>991555715 ASILBE</t>
  </si>
  <si>
    <t>900944141 ELDOR</t>
  </si>
  <si>
    <t>14 256GB</t>
  </si>
  <si>
    <t>941274505 ASLBEK</t>
  </si>
  <si>
    <t>4/44M</t>
  </si>
  <si>
    <t>A20 32GB</t>
  </si>
  <si>
    <t>EKRAN, BATAREY ALIWKAN</t>
  </si>
  <si>
    <t>ABDULLOHGA SOTKANIGA</t>
  </si>
  <si>
    <t>BONUS ZAFAR</t>
  </si>
  <si>
    <t>BAHROM, UMIDA BOXCHA MUZAPAKAM TANIWLARI</t>
  </si>
  <si>
    <t>933776676 AXTIYOR</t>
  </si>
  <si>
    <t>DOSTON KAREA</t>
  </si>
  <si>
    <t>12 PRO 128GB</t>
  </si>
  <si>
    <t>KAMERA SHISHA ALIWKAN</t>
  </si>
  <si>
    <t>ASAD QOSHDI</t>
  </si>
  <si>
    <t>IMRON QOSHDI</t>
  </si>
  <si>
    <t>KAMERA HIRA</t>
  </si>
  <si>
    <t>937161999 HUSAN</t>
  </si>
  <si>
    <t>946807777 A27 HOJAKAM TANIWLARI</t>
  </si>
  <si>
    <t>14 MAX LL/A  128GB</t>
  </si>
  <si>
    <t>A27 IPLUS</t>
  </si>
  <si>
    <t>SUNNAT LUSTRA</t>
  </si>
  <si>
    <t>IMRON BN SHERICHILI</t>
  </si>
  <si>
    <t xml:space="preserve">FOYDA </t>
  </si>
  <si>
    <t>ZARATKA SHLIFT, KORPUS 50/50</t>
  </si>
  <si>
    <t>770659080 SARDOR 900077801 AKASI HOJAKBAR</t>
  </si>
  <si>
    <t>MUZAPAKAM OKALARI</t>
  </si>
  <si>
    <t>JOLONAKA A27 TANIWLARI SEVAR SALON</t>
  </si>
  <si>
    <t>IPLUS</t>
  </si>
  <si>
    <t>GALICHKA</t>
  </si>
  <si>
    <t>SE 64GB</t>
  </si>
  <si>
    <t>HOJI TANIWI TANIROFKA</t>
  </si>
  <si>
    <t>990853222 AZIZ</t>
  </si>
  <si>
    <t>770659999 QAHRAMON TANIWI USMON TURK</t>
  </si>
  <si>
    <t>ICHI OCHILGAN HICHQATI ALIWMAGAN TEKWIRILGAN</t>
  </si>
  <si>
    <t>OZIMIZDAN OLINGAN</t>
  </si>
  <si>
    <t>A28 BEZ IMEI</t>
  </si>
  <si>
    <t>773181917 MUHAMMAD RIZO</t>
  </si>
  <si>
    <t>TOGA BOLLAGA RASXOD</t>
  </si>
  <si>
    <t>NODIR TOGAM</t>
  </si>
  <si>
    <t>IPLUS AKBAR TANIWI</t>
  </si>
  <si>
    <t>GREEN</t>
  </si>
  <si>
    <t>Jamol A25 imei bn</t>
  </si>
  <si>
    <t>A3 64GB</t>
  </si>
  <si>
    <t>JOVOKAM OGAYNILARI DAVID</t>
  </si>
  <si>
    <t>BIZADAN QARZLA</t>
  </si>
  <si>
    <t>IPLUS BEHRUZ</t>
  </si>
  <si>
    <t>999341002 SOBITXON</t>
  </si>
  <si>
    <t>X9B 256GB</t>
  </si>
  <si>
    <t>999978402 SHERZOD</t>
  </si>
  <si>
    <t>IPLUS A27</t>
  </si>
  <si>
    <t>ARENDA BRO SENTR</t>
  </si>
  <si>
    <t>ARENDA UYO TARAB</t>
  </si>
  <si>
    <t>290$</t>
  </si>
  <si>
    <t>ORTIB QOLDI</t>
  </si>
  <si>
    <t>311$</t>
  </si>
  <si>
    <t>KOMRONAKA FOYDA 31.05</t>
  </si>
  <si>
    <t>5/44M</t>
  </si>
  <si>
    <t>880887808 SARDOR</t>
  </si>
  <si>
    <t>KRIWKA ALIWKAN, CHENCH</t>
  </si>
  <si>
    <t>935975897 XASAN</t>
  </si>
  <si>
    <t>A32 ONG TARAB</t>
  </si>
  <si>
    <t xml:space="preserve">IPLUS </t>
  </si>
  <si>
    <t>880106108 NIGORA 900230128 ABROR</t>
  </si>
  <si>
    <t>MUZAPAKAMDAN OLINDI</t>
  </si>
  <si>
    <t>BOLLANI ABETIGA</t>
  </si>
  <si>
    <t>SARDORAKAM QAYNILARI SOQOLI OKA</t>
  </si>
  <si>
    <t>AZIZ NOUT JIYANI</t>
  </si>
  <si>
    <t>BEGIKA JOVOKAM ORTOLARI</t>
  </si>
  <si>
    <t>BOLLA KUNLI PULI</t>
  </si>
  <si>
    <t xml:space="preserve">12 MAX </t>
  </si>
  <si>
    <t>ABDURSHUKURAKA SUD</t>
  </si>
  <si>
    <t>6/44M</t>
  </si>
  <si>
    <t>ATHAM SAYGE</t>
  </si>
  <si>
    <t>OBITAKA QARIMDOW</t>
  </si>
  <si>
    <t>SOBIRAKA VARIANT</t>
  </si>
  <si>
    <t>ABDULLOH ABETIGA</t>
  </si>
  <si>
    <t xml:space="preserve">A28 SHAHZODAKA </t>
  </si>
  <si>
    <t>995418080 ABBOS</t>
  </si>
  <si>
    <t>TOGA CHIQANDA</t>
  </si>
  <si>
    <t>970370309 ALIWERAKA</t>
  </si>
  <si>
    <t>12 256GB</t>
  </si>
  <si>
    <t>SARDORAKAM JIYANLARI HOTINLARI TARAB</t>
  </si>
  <si>
    <t xml:space="preserve">JOVOKA </t>
  </si>
  <si>
    <t xml:space="preserve">    </t>
  </si>
  <si>
    <t>NODIRAKA ZAPCHAS TANIWLARI</t>
  </si>
  <si>
    <t>SVETKA</t>
  </si>
  <si>
    <t>SARDOR A28 OLINGAN</t>
  </si>
  <si>
    <t>20 KUNDA KAROPKA KELADI MUHAMADAKA A26 BERADI</t>
  </si>
  <si>
    <t xml:space="preserve">331055017 JAHONGIR </t>
  </si>
  <si>
    <t>DONIKA B41</t>
  </si>
  <si>
    <t>BARSETKADA</t>
  </si>
  <si>
    <t>OPSHIY TEL NARXI</t>
  </si>
  <si>
    <t xml:space="preserve">OPSHIY OLINGAN SUMMA </t>
  </si>
  <si>
    <t xml:space="preserve">IMRON </t>
  </si>
  <si>
    <t>ATHAMAKA A28</t>
  </si>
  <si>
    <t xml:space="preserve">XOJI SHAHZODAKA A28 </t>
  </si>
  <si>
    <t>JOVOKAM JIYANLARI MIRAHIM</t>
  </si>
  <si>
    <t>KORPUS ALIWKAN</t>
  </si>
  <si>
    <t>A15 KOCHA TARAB</t>
  </si>
  <si>
    <t xml:space="preserve"> PADAZRENA BOROYNA ALIWKAN </t>
  </si>
  <si>
    <t>A YUSUF AHMADJON</t>
  </si>
  <si>
    <t>AKMAL UMS</t>
  </si>
  <si>
    <t>940734838 AZIZ TANISHI JOVOHIR</t>
  </si>
  <si>
    <t xml:space="preserve">SAMSUNG </t>
  </si>
  <si>
    <t xml:space="preserve">A73 128GB </t>
  </si>
  <si>
    <t>FIALETIVIY</t>
  </si>
  <si>
    <t>OCHILGAN KRISHKA OZINIKI QOYILGAN</t>
  </si>
  <si>
    <t>977459509 KAMILA</t>
  </si>
  <si>
    <t>IPLUS KARZINKA</t>
  </si>
  <si>
    <t>JOVOKAM TANIWLARI SAMARQAND DARVAZADAN OLINDI</t>
  </si>
  <si>
    <t>952240304 NAZIRA</t>
  </si>
  <si>
    <t>SHOHSANAM VARIANT</t>
  </si>
  <si>
    <t>SHAHZOD BINZIN</t>
  </si>
  <si>
    <t>IMRON TANISHI SANJARAKA CASE CITY</t>
  </si>
  <si>
    <t>UXA ALIWKAN</t>
  </si>
  <si>
    <t>915659920 NODIR</t>
  </si>
  <si>
    <t>994999655 IBROHIM USMON JIYAN TANISHI</t>
  </si>
  <si>
    <t>940942622 ISKANDAR</t>
  </si>
  <si>
    <t>IMRON ORTOGI</t>
  </si>
  <si>
    <t>900109450 IMRON TANIWI</t>
  </si>
  <si>
    <t>A7 32GB</t>
  </si>
  <si>
    <t>930820330 RUSTAM</t>
  </si>
  <si>
    <t xml:space="preserve">TAB S7 </t>
  </si>
  <si>
    <t>976606463 AMIRXON</t>
  </si>
  <si>
    <t>880377730 ABDUJABOR</t>
  </si>
  <si>
    <t>JOLON ATIRCHI KLENT</t>
  </si>
  <si>
    <t>IMRON KLENTI</t>
  </si>
  <si>
    <t>ZAFARI AMMASIDAN OLINGAN</t>
  </si>
  <si>
    <t xml:space="preserve">ROFUKAM OPALASI </t>
  </si>
  <si>
    <t xml:space="preserve">DIYORAKA KLENT </t>
  </si>
  <si>
    <t>14 MAX 512GB</t>
  </si>
  <si>
    <t>JOLONAKA PRAGRAMIS</t>
  </si>
  <si>
    <t>777002277 BILOL</t>
  </si>
  <si>
    <t>900010818 MIRZABEK</t>
  </si>
  <si>
    <t>EKRAN, KAMERA OYNA ALIWKAN</t>
  </si>
  <si>
    <t>SROCHAKA QOSHTUT</t>
  </si>
  <si>
    <t>IMRON TANISHI HOJAKBAR UKASI</t>
  </si>
  <si>
    <t>JOVOH TW DOHTR</t>
  </si>
  <si>
    <t>KRIWKA, OYNA</t>
  </si>
  <si>
    <t>14 128GB  LLA</t>
  </si>
  <si>
    <t>14 PLUS 256GB</t>
  </si>
  <si>
    <t>993899089 FERUZA</t>
  </si>
  <si>
    <t>A28 ILHOM</t>
  </si>
  <si>
    <t>935065015 IMRON TANIWI</t>
  </si>
  <si>
    <t>POLVON TANIWI ABDULBORIY</t>
  </si>
  <si>
    <t>942420702 MUZAFAR</t>
  </si>
  <si>
    <t xml:space="preserve"> </t>
  </si>
  <si>
    <t>ZAZORCHI</t>
  </si>
  <si>
    <t>SARDOR A18</t>
  </si>
  <si>
    <t>IBROHIM IPLUS</t>
  </si>
  <si>
    <t>KRIWKA, EKRAN</t>
  </si>
  <si>
    <t>KRIWKA, BATAREY, OYNA ALIWKANI PADAZRENA BOR</t>
  </si>
  <si>
    <t>908098058 MAFTUNA</t>
  </si>
  <si>
    <t>16 MAX LL/A 256GB</t>
  </si>
  <si>
    <t>994049494 ANVAR</t>
  </si>
  <si>
    <t>938222203 SAMANDAR</t>
  </si>
  <si>
    <t>A22 KOCHA TARAF</t>
  </si>
  <si>
    <t>993832228 KOMRON</t>
  </si>
  <si>
    <t>A14 OTASH</t>
  </si>
  <si>
    <t>ATHAMAKA A29</t>
  </si>
  <si>
    <t>7/45M</t>
  </si>
  <si>
    <t>943682222 UMID</t>
  </si>
  <si>
    <t>RASXOD KANSANERGA</t>
  </si>
  <si>
    <t xml:space="preserve">A20 </t>
  </si>
  <si>
    <t>901895559 ARTUR B17</t>
  </si>
  <si>
    <t>977237272 B25 RUSTAMAKA 331501991 SAID</t>
  </si>
  <si>
    <t>958592222 HUSAN B7</t>
  </si>
  <si>
    <t>998199841 UMID</t>
  </si>
  <si>
    <t>EKRANA ALIWKAN</t>
  </si>
  <si>
    <t>KANSANER</t>
  </si>
  <si>
    <t>MAN QARZMAN</t>
  </si>
  <si>
    <t>KIM</t>
  </si>
  <si>
    <t>SOVDADAN KMLA QARZ</t>
  </si>
  <si>
    <t>SUMMASI</t>
  </si>
  <si>
    <t>QACHON OGAN</t>
  </si>
  <si>
    <t>KRIWKA ALIWKAN, OYNASI DARS KETKAN</t>
  </si>
  <si>
    <t>770079911 ABDURAHMON IBROHIM KUYOV TANIWI</t>
  </si>
  <si>
    <t>936088382 SODIQJON</t>
  </si>
  <si>
    <t>HUSAIN UKA</t>
  </si>
  <si>
    <t>A28 SHAHZODAKA PRAGRAMIS SHOGIRTLARI</t>
  </si>
  <si>
    <t xml:space="preserve">PLATA REMONT KAMERA ALIWTI </t>
  </si>
  <si>
    <t xml:space="preserve">15 MAX </t>
  </si>
  <si>
    <t>S10 PLUS 128GB</t>
  </si>
  <si>
    <t>KRIWKA ALIWKAN, KAMERA ALIWTI</t>
  </si>
  <si>
    <t>KRIWKA KICHKINA SINGAN</t>
  </si>
  <si>
    <t>BEGIKA JOVOKAM ORTOGI</t>
  </si>
  <si>
    <t>901294541 RAHMATILA</t>
  </si>
  <si>
    <t>IMEI OTKAN</t>
  </si>
  <si>
    <t>A27 IPLUS ZAZOR</t>
  </si>
  <si>
    <t>ZAFARGA BONUS</t>
  </si>
  <si>
    <t>909772733 GAYRAT</t>
  </si>
  <si>
    <t>1.659</t>
  </si>
  <si>
    <t>2.084,5</t>
  </si>
  <si>
    <t>6.618,7</t>
  </si>
  <si>
    <t>ARENDA</t>
  </si>
  <si>
    <t>EHSON</t>
  </si>
  <si>
    <t>EXSON</t>
  </si>
  <si>
    <t>KOMRONAKA FOYDA 31.07.2025</t>
  </si>
  <si>
    <t>KAM CHIQTI</t>
  </si>
  <si>
    <t>OLINDI</t>
  </si>
  <si>
    <t>SOTILDI</t>
  </si>
  <si>
    <t>KARTAGA TAWADI</t>
  </si>
  <si>
    <t>KARTADAN TAWALDI</t>
  </si>
  <si>
    <t>QARZ OLINDI</t>
  </si>
  <si>
    <t>QARZ BOLDI</t>
  </si>
  <si>
    <t>356759083667.2239</t>
  </si>
  <si>
    <t>MOLONAKA SAYGE</t>
  </si>
  <si>
    <t>ABDULLO ABETIGA</t>
  </si>
  <si>
    <t>KIMDAN</t>
  </si>
  <si>
    <t>QARZINI BERDI</t>
  </si>
  <si>
    <t>XR 64GB</t>
  </si>
  <si>
    <t>RIXSIBOYAKA</t>
  </si>
  <si>
    <t>KRIWKA ALIWKAN, BATAREY ALIWKAN</t>
  </si>
  <si>
    <t>6/40M</t>
  </si>
  <si>
    <t>IBROHIM JIYAN ABETIGA</t>
  </si>
  <si>
    <t xml:space="preserve">RASXOD </t>
  </si>
  <si>
    <t>OPSHIYSI</t>
  </si>
  <si>
    <t>993131300 TABEKA MAC BRO</t>
  </si>
  <si>
    <t>AFRUZ QARIMDOWI S23 ULTRA</t>
  </si>
  <si>
    <t>ZAFARI ORTOGI SHUKURDAN OLINGAN</t>
  </si>
  <si>
    <t>ULTRA 1</t>
  </si>
  <si>
    <t>BEZ IMEI</t>
  </si>
  <si>
    <t>946010116 SIROJIDDIN</t>
  </si>
  <si>
    <t>KRIWKANI UCHI AZGINA OCHILIB QOGAN</t>
  </si>
  <si>
    <t>AMIR OKA</t>
  </si>
  <si>
    <t>13 MAX 512GB</t>
  </si>
  <si>
    <t>977712228 DILMURODAKA B20</t>
  </si>
  <si>
    <t>935034145 JALOL B40 OKA</t>
  </si>
  <si>
    <t>977756828 ABDULAZIZAKA B19</t>
  </si>
  <si>
    <t>KASSADA KOP CHIQTI</t>
  </si>
  <si>
    <t>OPSHIY 1 OYLIK</t>
  </si>
  <si>
    <t>USMON HORSE</t>
  </si>
  <si>
    <t>ZIYON TELEFONGA</t>
  </si>
  <si>
    <t>SAMSUNG</t>
  </si>
  <si>
    <t>IPLUS IBOKA</t>
  </si>
  <si>
    <t xml:space="preserve">7 PLUS </t>
  </si>
  <si>
    <t>958854046 omina</t>
  </si>
  <si>
    <t>SOBIRAKA VARIANT TANIWLARI</t>
  </si>
  <si>
    <t>IMRON ODIROV.Z</t>
  </si>
  <si>
    <t>SARDORAKAM TANIWLARI</t>
  </si>
  <si>
    <t>951110198 CHINGIZ</t>
  </si>
  <si>
    <t>777095508 JOVOKAM ORTOLARI</t>
  </si>
  <si>
    <t>ZAZORCHILA</t>
  </si>
  <si>
    <t>ZAFAR SOTKAN IMRONIKIDAN</t>
  </si>
  <si>
    <t>HUSAIN</t>
  </si>
  <si>
    <t xml:space="preserve">NATURAL </t>
  </si>
  <si>
    <t>NASIBA IMRON TANIWI</t>
  </si>
  <si>
    <t>975385600 ASADBE</t>
  </si>
  <si>
    <t>938094219 MISHA</t>
  </si>
  <si>
    <t>OYNA QIRILGAN</t>
  </si>
  <si>
    <t>MI 8SE 64GB</t>
  </si>
  <si>
    <t>ZAZOR IPLUS IBOKA</t>
  </si>
  <si>
    <t>DIYORAKA</t>
  </si>
  <si>
    <t>IMRONDAN OLINDI</t>
  </si>
  <si>
    <t>DONIKA A25</t>
  </si>
  <si>
    <t>SHAHLOPA QOWNI</t>
  </si>
  <si>
    <t>YOQOLGAN</t>
  </si>
  <si>
    <t>IMRON</t>
  </si>
  <si>
    <t>903975533 JAMOLIDIN</t>
  </si>
  <si>
    <t>13 256GB</t>
  </si>
  <si>
    <t>A33 128GB</t>
  </si>
  <si>
    <t>JOVOKAM TANIWLARI</t>
  </si>
  <si>
    <t>S25 512GB</t>
  </si>
  <si>
    <t>970151416 ASADBEK BEZ IMEI</t>
  </si>
  <si>
    <t>14 ULTRA 256GB</t>
  </si>
  <si>
    <t>15 ULTRA 512GB</t>
  </si>
  <si>
    <t>15 PRO</t>
  </si>
  <si>
    <t>NOTE 8 64GB</t>
  </si>
  <si>
    <t>956362424 SHEHNAZAR</t>
  </si>
  <si>
    <t>Z FOLD 4 512GB</t>
  </si>
  <si>
    <t>DONIKA A25 IMEI BN</t>
  </si>
  <si>
    <t>ZIYOMIDINAKA NABIF HAZASTINIY</t>
  </si>
  <si>
    <t>ULUGI MAHALARI ELEKTRIK</t>
  </si>
  <si>
    <t>bdulloh jovokam ukalari</t>
  </si>
  <si>
    <t>994858928 ABDULAZIZ</t>
  </si>
  <si>
    <t>NOTE 13 PRO PLUS 5G 512GB</t>
  </si>
  <si>
    <t>998822350 SERGEY</t>
  </si>
  <si>
    <t>BONUS ZAFARGA</t>
  </si>
  <si>
    <t>Z FOLD 5 512GB</t>
  </si>
  <si>
    <t>908148822 900007844 SARDORBEK</t>
  </si>
  <si>
    <t>993023302 SUNNAT</t>
  </si>
  <si>
    <t>18.008.2025</t>
  </si>
  <si>
    <t>770393338 FIRDAVS</t>
  </si>
  <si>
    <t>971763344 UMIDAKA</t>
  </si>
  <si>
    <t>IZZAT TOGASI IMRON TANIWI</t>
  </si>
  <si>
    <t xml:space="preserve">  </t>
  </si>
  <si>
    <t>Z FLIP 5 256GB</t>
  </si>
  <si>
    <t>KRIWKA ALIWKAN, KAMERA SHISHA</t>
  </si>
  <si>
    <t>SROCHAKA QOSHTUT ASADAKAM TANIWLARI</t>
  </si>
  <si>
    <t>901154699 BEZ IMEI</t>
  </si>
  <si>
    <t>942141080 BURHONIDIN</t>
  </si>
  <si>
    <t>4/40 M</t>
  </si>
  <si>
    <t>5/44 M</t>
  </si>
  <si>
    <t>FACE REMONT BOGAN, OYNA ALIWKAN</t>
  </si>
  <si>
    <t>992020254 DIYOR</t>
  </si>
  <si>
    <t>BEGIKAM UKALARI</t>
  </si>
  <si>
    <t>950001172 EVGEN</t>
  </si>
  <si>
    <t>IBROHIM KUYOV</t>
  </si>
  <si>
    <t>ABZALAKA QARIMDOW</t>
  </si>
  <si>
    <t>KRIWKA, ALIWKAN</t>
  </si>
  <si>
    <t>AZLAR JIYAN</t>
  </si>
  <si>
    <t>NOTE 12 128GB</t>
  </si>
  <si>
    <t>911116977 IMONBOY</t>
  </si>
  <si>
    <t>948114145 BUNYOD</t>
  </si>
  <si>
    <t>948506600 ABBOS</t>
  </si>
  <si>
    <t>ILHOM A28</t>
  </si>
  <si>
    <t>KOMRONAKA 23.08.2025</t>
  </si>
  <si>
    <t>999975759 RIXSIBOYAKA ORTOGI</t>
  </si>
  <si>
    <t>997987949 AZIZAKA</t>
  </si>
  <si>
    <t>940947200 BAHROM</t>
  </si>
  <si>
    <t>935171141 SROCH</t>
  </si>
  <si>
    <t>DILDORA KADIWEVA</t>
  </si>
  <si>
    <t>BATAREY , OYNA</t>
  </si>
  <si>
    <t>ASROR AVTO TUNING</t>
  </si>
  <si>
    <t>15 PLUS 128GB</t>
  </si>
  <si>
    <t xml:space="preserve">12 KORPISGA </t>
  </si>
  <si>
    <t>CHENCH, BATAREY ALIWTI</t>
  </si>
  <si>
    <t>SE 128GB</t>
  </si>
  <si>
    <t>SUVGA TUWKAN, KAMERA OYNA TOZALANGAN</t>
  </si>
  <si>
    <t>933940901 AROFAT</t>
  </si>
  <si>
    <t>930686169 JORABEK</t>
  </si>
  <si>
    <t>NOTE 11S 128GB</t>
  </si>
  <si>
    <t>935302302 DILAFRUZ</t>
  </si>
  <si>
    <t xml:space="preserve">15 PRO  </t>
  </si>
  <si>
    <t>GOLD SAFIR</t>
  </si>
  <si>
    <t>MUHAMMAD JORASI</t>
  </si>
  <si>
    <t>EKRAN, KORPUS SINGAN</t>
  </si>
  <si>
    <t>998240731 HUSROF</t>
  </si>
  <si>
    <t>UMAR AKASI ILHOM</t>
  </si>
  <si>
    <t>OLDI KAMERA</t>
  </si>
  <si>
    <t>FOZIL A28</t>
  </si>
  <si>
    <t xml:space="preserve">YENGI </t>
  </si>
  <si>
    <t>TAVAR</t>
  </si>
  <si>
    <t>KOMRONAKAM MOLLARI</t>
  </si>
  <si>
    <t>B/U</t>
  </si>
  <si>
    <t>OPSHIY SUMMA</t>
  </si>
  <si>
    <t>QOLDI KASADA</t>
  </si>
  <si>
    <t xml:space="preserve">2 OYLIK ARENDA BERILDI </t>
  </si>
  <si>
    <t xml:space="preserve">PURPLE </t>
  </si>
  <si>
    <t>900908003 OZODBEK</t>
  </si>
  <si>
    <t>EKRAN ALIWKAN, KAMERA DOGI BOR</t>
  </si>
  <si>
    <t>907881050 RAUL</t>
  </si>
  <si>
    <t>946999469 MAMLAKAT</t>
  </si>
  <si>
    <t xml:space="preserve">BEZ IMEI , EKRANDA SARIQ DOGI BOR </t>
  </si>
  <si>
    <t>XR 128</t>
  </si>
  <si>
    <t>BEZ IMEI, OYNA ALIWKAN</t>
  </si>
  <si>
    <t>KARTADA</t>
  </si>
  <si>
    <t>900316161 ASAL</t>
  </si>
  <si>
    <t>KOTTA OYBEKAM  8/45M</t>
  </si>
  <si>
    <t>NALOGIVIY</t>
  </si>
  <si>
    <t>ZAZOR A22 SOTILDI 777080606</t>
  </si>
  <si>
    <t>KASSA OCHILDI 29.08.2025</t>
  </si>
  <si>
    <t>KASSADA QOLDI 29.08.2025</t>
  </si>
  <si>
    <t>SAYGE A27 KIWI</t>
  </si>
  <si>
    <t>KRIKWA ALIWKAN</t>
  </si>
  <si>
    <t>947822709 MAXMUDJON</t>
  </si>
  <si>
    <t>943320500 SAIDISLOM</t>
  </si>
  <si>
    <t>777075790 DILNOZA</t>
  </si>
  <si>
    <t>772910799 SHAXZOD</t>
  </si>
  <si>
    <t xml:space="preserve">BORI KARZINKA </t>
  </si>
  <si>
    <t xml:space="preserve">      </t>
  </si>
  <si>
    <t xml:space="preserve">14 MAX </t>
  </si>
  <si>
    <t>ZAZOR IMRON TELEFONI</t>
  </si>
  <si>
    <t>MUHAMMADAKA</t>
  </si>
  <si>
    <t>MUHAMMADAKA ABETLARIGA</t>
  </si>
  <si>
    <t>MEGA STAR REMONDAN QARZ</t>
  </si>
  <si>
    <t xml:space="preserve">KOMRONAKA FOYDA </t>
  </si>
  <si>
    <t>JAMOL</t>
  </si>
  <si>
    <t>ISKAN QARZMIZ</t>
  </si>
  <si>
    <t xml:space="preserve">EXSON </t>
  </si>
  <si>
    <t>KOMRONAKA FOYDA 31.08.2025</t>
  </si>
  <si>
    <t>JOVOKA FOYDA 31.08.2025</t>
  </si>
  <si>
    <t>ASAD FOYDA 31.08.2025</t>
  </si>
  <si>
    <t>BORIY IMRON TANIWI</t>
  </si>
  <si>
    <t>IZMIR IMRON TANIWI</t>
  </si>
  <si>
    <t>774975050 ABDULAZIZ</t>
  </si>
  <si>
    <t>OYNA , KRIWKA</t>
  </si>
  <si>
    <t>993136144 YOQUBJON</t>
  </si>
  <si>
    <t>903193161 ZARNUGOR</t>
  </si>
  <si>
    <t>886077733 ABDURAZZO</t>
  </si>
  <si>
    <t>JOVOKAMGA</t>
  </si>
  <si>
    <t>OLINDI APARAT</t>
  </si>
  <si>
    <t>JOVOKAMDA QOLDI</t>
  </si>
  <si>
    <t>JOVOKA KASSADA PUL KAM CHIQAN</t>
  </si>
  <si>
    <t>VAZRAT BOGAN OLDINGI OYYIKIDAN</t>
  </si>
  <si>
    <t xml:space="preserve">A27 </t>
  </si>
  <si>
    <t>OTABEKA MAC BRO</t>
  </si>
  <si>
    <t>950680606 BEHRUZ</t>
  </si>
  <si>
    <t>971804898 UMID 901878131 MIRAFZAL</t>
  </si>
  <si>
    <t>A25 128GB</t>
  </si>
  <si>
    <t>998037908 MUHAMMADMIRZO</t>
  </si>
  <si>
    <t>KAMERA, WIFI SHLEFT</t>
  </si>
  <si>
    <t>DIYOR</t>
  </si>
  <si>
    <t>A3 MEGA STAR</t>
  </si>
  <si>
    <t>NOTE 10 128GB</t>
  </si>
  <si>
    <t>901180415 ABROR</t>
  </si>
  <si>
    <t xml:space="preserve">ULTRA 1 </t>
  </si>
  <si>
    <t>ZARATKA BOR FAQAT</t>
  </si>
  <si>
    <t>ZAFAR ORTOGI OTASH</t>
  </si>
  <si>
    <t>QIZIL</t>
  </si>
  <si>
    <t>AZIZ QOWNI</t>
  </si>
  <si>
    <t xml:space="preserve">JOVOKAM BUVILARIGA </t>
  </si>
  <si>
    <t>BORIY KARZINKA</t>
  </si>
  <si>
    <t>5S 16GB</t>
  </si>
  <si>
    <t>KORPIS, BATAREY</t>
  </si>
  <si>
    <t>JOVOKAM</t>
  </si>
  <si>
    <t>RASXOD CHIHOL</t>
  </si>
  <si>
    <t>USTAGA BERILDI FARUXAKAMGA</t>
  </si>
  <si>
    <t>TORTMADA</t>
  </si>
  <si>
    <t>IMEIGA BERILGAN JOVO KAREA</t>
  </si>
  <si>
    <t>IMEIGA BERILDI BORIYDA</t>
  </si>
  <si>
    <t>USTADA NODIRAKAMDA</t>
  </si>
  <si>
    <t>JOVOKAM ISHLATVOTILA</t>
  </si>
  <si>
    <t>ASAD ISHLATVOTI</t>
  </si>
  <si>
    <t>ABETKA RASXOD</t>
  </si>
  <si>
    <t>KRIWKA, KAMERA</t>
  </si>
  <si>
    <t>RASXOD USTAGA</t>
  </si>
  <si>
    <t xml:space="preserve">JAMOLDA </t>
  </si>
  <si>
    <t>930400303 JIYANLARI BORIY KARZINKA</t>
  </si>
  <si>
    <t>DONIKA</t>
  </si>
  <si>
    <t xml:space="preserve">KURS </t>
  </si>
  <si>
    <t>12.500</t>
  </si>
  <si>
    <t>NODIRAKAM TANIWLARI</t>
  </si>
  <si>
    <t>983140404 MIRHIDOYAT AKA A29</t>
  </si>
  <si>
    <t>948615359 BAXTI SAYGE</t>
  </si>
  <si>
    <t>KASSA OCHILDI 03.09.2025</t>
  </si>
  <si>
    <t>KASSADA QOLDI 03.09.2025</t>
  </si>
  <si>
    <t>YUSUF</t>
  </si>
  <si>
    <t>VAZRAT</t>
  </si>
  <si>
    <t>KARTADAN</t>
  </si>
  <si>
    <t>ZAFAR ABET</t>
  </si>
  <si>
    <t>ASAD SHOTIGA</t>
  </si>
  <si>
    <t>DOSTON</t>
  </si>
  <si>
    <t xml:space="preserve">ZAFAR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</si>
</sst>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  <font>
      <b/>
      <sz val="9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2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1" fontId="0" fillId="3" borderId="0" xfId="0" applyNumberForma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top"/>
    </xf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7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3" fontId="0" fillId="0" borderId="0" xfId="0" applyNumberFormat="1" applyAlignment="1">
      <alignment horizontal="left" vertical="top"/>
    </xf>
    <xf numFmtId="0" fontId="0" fillId="3" borderId="0" xfId="0" applyFill="1" applyAlignment="1">
      <alignment horizontal="center"/>
    </xf>
    <xf numFmtId="0" fontId="0" fillId="4" borderId="1" xfId="0" applyFill="1" applyBorder="1" applyAlignment="1">
      <alignment horizontal="left" vertical="center"/>
    </xf>
    <xf numFmtId="14" fontId="0" fillId="0" borderId="0" xfId="0" applyNumberFormat="1" applyAlignment="1">
      <alignment horizontal="left"/>
    </xf>
    <xf numFmtId="0" fontId="0" fillId="7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0" borderId="0" xfId="0" applyAlignment="1">
      <alignment horizontal="left"/>
    </xf>
    <xf numFmtId="1" fontId="0" fillId="6" borderId="1" xfId="0" applyNumberFormat="1" applyFill="1" applyBorder="1" applyAlignment="1">
      <alignment horizontal="left" vertical="center"/>
    </xf>
    <xf numFmtId="0" fontId="0" fillId="7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1" fontId="0" fillId="0" borderId="0" xfId="0" applyNumberFormat="1" applyAlignment="1">
      <alignment horizontal="left" vertical="center"/>
    </xf>
    <xf numFmtId="0" fontId="0" fillId="8" borderId="0" xfId="0" applyFill="1" applyAlignment="1">
      <alignment horizontal="center" vertical="center"/>
    </xf>
    <xf numFmtId="16" fontId="0" fillId="0" borderId="0" xfId="0" applyNumberFormat="1" applyAlignment="1">
      <alignment horizontal="left" vertical="top"/>
    </xf>
    <xf numFmtId="0" fontId="0" fillId="10" borderId="0" xfId="0" applyFill="1" applyAlignment="1">
      <alignment horizontal="center"/>
    </xf>
    <xf numFmtId="0" fontId="0" fillId="4" borderId="3" xfId="0" applyFill="1" applyBorder="1" applyAlignment="1">
      <alignment horizontal="center"/>
    </xf>
    <xf numFmtId="14" fontId="0" fillId="4" borderId="4" xfId="0" applyNumberForma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4" fontId="0" fillId="0" borderId="0" xfId="0" applyNumberFormat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center"/>
    </xf>
    <xf numFmtId="14" fontId="0" fillId="11" borderId="1" xfId="0" applyNumberFormat="1" applyFill="1" applyBorder="1" applyAlignment="1">
      <alignment horizont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left" vertical="top"/>
    </xf>
    <xf numFmtId="0" fontId="0" fillId="6" borderId="0" xfId="0" applyFill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14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17" fontId="0" fillId="6" borderId="0" xfId="0" applyNumberFormat="1" applyFill="1" applyAlignment="1">
      <alignment horizontal="left" vertical="top"/>
    </xf>
    <xf numFmtId="3" fontId="0" fillId="0" borderId="0" xfId="0" applyNumberFormat="1" applyAlignment="1">
      <alignment horizontal="center"/>
    </xf>
    <xf numFmtId="3" fontId="0" fillId="4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3" fontId="2" fillId="5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3" fontId="0" fillId="6" borderId="0" xfId="0" applyNumberFormat="1" applyFill="1" applyAlignment="1">
      <alignment horizontal="center"/>
    </xf>
    <xf numFmtId="0" fontId="0" fillId="12" borderId="1" xfId="0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left"/>
    </xf>
    <xf numFmtId="3" fontId="2" fillId="12" borderId="1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horizontal="left" vertical="top"/>
    </xf>
    <xf numFmtId="0" fontId="0" fillId="7" borderId="0" xfId="0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4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3" fontId="0" fillId="7" borderId="0" xfId="0" applyNumberFormat="1" applyFill="1" applyAlignment="1">
      <alignment horizontal="center"/>
    </xf>
    <xf numFmtId="0" fontId="0" fillId="7" borderId="0" xfId="0" applyFill="1"/>
    <xf numFmtId="17" fontId="0" fillId="7" borderId="0" xfId="0" applyNumberFormat="1" applyFill="1" applyAlignment="1">
      <alignment horizontal="left" vertical="top"/>
    </xf>
    <xf numFmtId="1" fontId="0" fillId="12" borderId="0" xfId="0" applyNumberFormat="1" applyFill="1" applyAlignment="1">
      <alignment horizontal="center" vertical="center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top"/>
    </xf>
    <xf numFmtId="0" fontId="0" fillId="15" borderId="1" xfId="0" applyFill="1" applyBorder="1" applyAlignment="1">
      <alignment horizontal="left" vertical="top"/>
    </xf>
    <xf numFmtId="0" fontId="0" fillId="1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top"/>
    </xf>
    <xf numFmtId="0" fontId="0" fillId="15" borderId="0" xfId="0" applyFill="1" applyAlignment="1">
      <alignment horizontal="left" vertical="center"/>
    </xf>
    <xf numFmtId="0" fontId="0" fillId="15" borderId="0" xfId="0" applyFill="1" applyAlignment="1">
      <alignment horizontal="left" vertical="top"/>
    </xf>
    <xf numFmtId="0" fontId="0" fillId="15" borderId="0" xfId="0" applyFill="1" applyAlignment="1">
      <alignment horizontal="center" vertical="center"/>
    </xf>
    <xf numFmtId="1" fontId="0" fillId="15" borderId="0" xfId="0" applyNumberFormat="1" applyFill="1" applyAlignment="1">
      <alignment horizontal="center" vertical="center"/>
    </xf>
    <xf numFmtId="14" fontId="0" fillId="15" borderId="0" xfId="0" applyNumberFormat="1" applyFill="1" applyAlignment="1">
      <alignment horizontal="center"/>
    </xf>
    <xf numFmtId="0" fontId="0" fillId="15" borderId="0" xfId="0" applyFill="1" applyAlignment="1">
      <alignment horizontal="center"/>
    </xf>
    <xf numFmtId="3" fontId="0" fillId="15" borderId="0" xfId="0" applyNumberFormat="1" applyFill="1" applyAlignment="1">
      <alignment horizontal="center"/>
    </xf>
    <xf numFmtId="0" fontId="0" fillId="15" borderId="0" xfId="0" applyFill="1"/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 applyAlignment="1">
      <alignment horizontal="center"/>
    </xf>
    <xf numFmtId="3" fontId="0" fillId="3" borderId="0" xfId="0" applyNumberFormat="1" applyFill="1" applyAlignment="1">
      <alignment horizontal="center"/>
    </xf>
    <xf numFmtId="0" fontId="0" fillId="3" borderId="0" xfId="0" applyFill="1"/>
    <xf numFmtId="0" fontId="4" fillId="16" borderId="0" xfId="0" applyFon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0" fillId="12" borderId="0" xfId="0" applyFill="1" applyAlignment="1">
      <alignment horizontal="left" vertical="top"/>
    </xf>
    <xf numFmtId="0" fontId="0" fillId="12" borderId="0" xfId="0" applyFill="1" applyAlignment="1">
      <alignment horizontal="center" vertical="center"/>
    </xf>
    <xf numFmtId="0" fontId="0" fillId="4" borderId="6" xfId="0" applyFill="1" applyBorder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0" fillId="19" borderId="0" xfId="0" applyFill="1" applyAlignment="1">
      <alignment horizontal="right" vertical="center"/>
    </xf>
    <xf numFmtId="0" fontId="0" fillId="17" borderId="0" xfId="0" applyFill="1" applyAlignment="1">
      <alignment horizontal="right" vertical="center"/>
    </xf>
    <xf numFmtId="14" fontId="0" fillId="12" borderId="1" xfId="0" applyNumberFormat="1" applyFill="1" applyBorder="1" applyAlignment="1">
      <alignment horizontal="center"/>
    </xf>
    <xf numFmtId="0" fontId="0" fillId="17" borderId="0" xfId="0" applyFill="1" applyAlignment="1">
      <alignment horizontal="left" vertical="center"/>
    </xf>
    <xf numFmtId="16" fontId="0" fillId="15" borderId="0" xfId="0" applyNumberFormat="1" applyFill="1" applyAlignment="1">
      <alignment horizontal="center"/>
    </xf>
    <xf numFmtId="0" fontId="0" fillId="0" borderId="0" xfId="0" applyAlignment="1">
      <alignment horizontal="center" vertical="top"/>
    </xf>
    <xf numFmtId="3" fontId="0" fillId="7" borderId="2" xfId="0" applyNumberFormat="1" applyFill="1" applyBorder="1" applyAlignment="1">
      <alignment horizontal="left"/>
    </xf>
    <xf numFmtId="0" fontId="5" fillId="7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top"/>
    </xf>
    <xf numFmtId="0" fontId="5" fillId="7" borderId="0" xfId="0" applyFont="1" applyFill="1" applyAlignment="1">
      <alignment horizontal="center" vertical="center"/>
    </xf>
    <xf numFmtId="1" fontId="5" fillId="7" borderId="0" xfId="0" applyNumberFormat="1" applyFont="1" applyFill="1" applyAlignment="1">
      <alignment horizontal="center" vertical="center"/>
    </xf>
    <xf numFmtId="14" fontId="5" fillId="7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7" borderId="0" xfId="0" applyFont="1" applyFill="1"/>
    <xf numFmtId="0" fontId="0" fillId="20" borderId="0" xfId="0" applyFill="1" applyAlignment="1">
      <alignment horizontal="left" vertical="center"/>
    </xf>
    <xf numFmtId="0" fontId="0" fillId="20" borderId="0" xfId="0" applyFill="1" applyAlignment="1">
      <alignment horizontal="left" vertical="top"/>
    </xf>
    <xf numFmtId="0" fontId="0" fillId="20" borderId="0" xfId="0" applyFill="1" applyAlignment="1">
      <alignment horizontal="center" vertical="center"/>
    </xf>
    <xf numFmtId="1" fontId="0" fillId="20" borderId="0" xfId="0" applyNumberFormat="1" applyFill="1" applyAlignment="1">
      <alignment horizontal="center" vertical="center"/>
    </xf>
    <xf numFmtId="14" fontId="0" fillId="20" borderId="0" xfId="0" applyNumberFormat="1" applyFill="1" applyAlignment="1">
      <alignment horizontal="center"/>
    </xf>
    <xf numFmtId="0" fontId="0" fillId="20" borderId="0" xfId="0" applyFill="1" applyAlignment="1">
      <alignment horizontal="center"/>
    </xf>
    <xf numFmtId="3" fontId="0" fillId="20" borderId="0" xfId="0" applyNumberFormat="1" applyFill="1" applyAlignment="1">
      <alignment horizontal="center"/>
    </xf>
    <xf numFmtId="0" fontId="0" fillId="20" borderId="0" xfId="0" applyFill="1"/>
    <xf numFmtId="0" fontId="0" fillId="7" borderId="2" xfId="0" applyFill="1" applyBorder="1" applyAlignment="1">
      <alignment horizontal="left" vertical="top"/>
    </xf>
    <xf numFmtId="0" fontId="0" fillId="7" borderId="2" xfId="0" applyFill="1" applyBorder="1" applyAlignment="1">
      <alignment horizontal="center" vertical="center"/>
    </xf>
    <xf numFmtId="0" fontId="0" fillId="20" borderId="1" xfId="0" applyFill="1" applyBorder="1" applyAlignment="1">
      <alignment horizontal="left" vertical="top"/>
    </xf>
    <xf numFmtId="0" fontId="0" fillId="20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left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top"/>
    </xf>
    <xf numFmtId="1" fontId="0" fillId="7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left" vertical="center"/>
    </xf>
    <xf numFmtId="3" fontId="0" fillId="7" borderId="0" xfId="0" applyNumberFormat="1" applyFill="1" applyAlignment="1">
      <alignment horizontal="left" vertical="top"/>
    </xf>
    <xf numFmtId="1" fontId="0" fillId="7" borderId="1" xfId="0" applyNumberFormat="1" applyFill="1" applyBorder="1" applyAlignment="1">
      <alignment horizontal="left" vertical="center"/>
    </xf>
    <xf numFmtId="14" fontId="0" fillId="3" borderId="1" xfId="0" applyNumberFormat="1" applyFill="1" applyBorder="1" applyAlignment="1">
      <alignment vertical="center"/>
    </xf>
    <xf numFmtId="1" fontId="0" fillId="3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1" fontId="0" fillId="6" borderId="1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" fontId="0" fillId="6" borderId="2" xfId="0" applyNumberFormat="1" applyFill="1" applyBorder="1" applyAlignment="1">
      <alignment horizontal="center" vertical="center"/>
    </xf>
    <xf numFmtId="0" fontId="0" fillId="12" borderId="0" xfId="0" applyFill="1" applyAlignment="1">
      <alignment horizontal="center"/>
    </xf>
    <xf numFmtId="0" fontId="0" fillId="6" borderId="1" xfId="0" applyFill="1" applyBorder="1"/>
    <xf numFmtId="3" fontId="0" fillId="6" borderId="1" xfId="0" applyNumberFormat="1" applyFill="1" applyBorder="1" applyAlignment="1">
      <alignment horizontal="center" vertical="center"/>
    </xf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22" borderId="10" xfId="0" applyFill="1" applyBorder="1"/>
    <xf numFmtId="0" fontId="6" fillId="21" borderId="11" xfId="0" applyFont="1" applyFill="1" applyBorder="1" applyAlignment="1">
      <alignment horizontal="left" vertical="center"/>
    </xf>
    <xf numFmtId="0" fontId="6" fillId="21" borderId="11" xfId="0" applyFont="1" applyFill="1" applyBorder="1" applyAlignment="1">
      <alignment horizontal="left" vertical="top"/>
    </xf>
    <xf numFmtId="1" fontId="6" fillId="21" borderId="11" xfId="0" applyNumberFormat="1" applyFont="1" applyFill="1" applyBorder="1" applyAlignment="1">
      <alignment horizontal="left" vertical="center"/>
    </xf>
    <xf numFmtId="14" fontId="6" fillId="21" borderId="11" xfId="0" applyNumberFormat="1" applyFont="1" applyFill="1" applyBorder="1" applyAlignment="1">
      <alignment horizontal="left" vertical="center"/>
    </xf>
    <xf numFmtId="0" fontId="6" fillId="21" borderId="12" xfId="0" applyFont="1" applyFill="1" applyBorder="1" applyAlignment="1">
      <alignment horizontal="left" vertical="center"/>
    </xf>
    <xf numFmtId="0" fontId="0" fillId="22" borderId="13" xfId="0" applyFill="1" applyBorder="1"/>
    <xf numFmtId="0" fontId="6" fillId="21" borderId="14" xfId="0" applyFont="1" applyFill="1" applyBorder="1" applyAlignment="1">
      <alignment horizontal="left" vertical="center"/>
    </xf>
    <xf numFmtId="0" fontId="6" fillId="21" borderId="14" xfId="0" applyFont="1" applyFill="1" applyBorder="1" applyAlignment="1">
      <alignment horizontal="left" vertical="top"/>
    </xf>
    <xf numFmtId="1" fontId="6" fillId="21" borderId="14" xfId="0" applyNumberFormat="1" applyFont="1" applyFill="1" applyBorder="1" applyAlignment="1">
      <alignment horizontal="left" vertical="center"/>
    </xf>
    <xf numFmtId="14" fontId="6" fillId="21" borderId="14" xfId="0" applyNumberFormat="1" applyFont="1" applyFill="1" applyBorder="1" applyAlignment="1">
      <alignment horizontal="left" vertical="center"/>
    </xf>
    <xf numFmtId="0" fontId="6" fillId="22" borderId="15" xfId="0" applyFont="1" applyFill="1" applyBorder="1"/>
    <xf numFmtId="0" fontId="0" fillId="7" borderId="3" xfId="0" applyFill="1" applyBorder="1"/>
    <xf numFmtId="0" fontId="0" fillId="0" borderId="16" xfId="0" applyBorder="1"/>
    <xf numFmtId="0" fontId="0" fillId="13" borderId="1" xfId="0" applyFill="1" applyBorder="1"/>
    <xf numFmtId="0" fontId="7" fillId="6" borderId="1" xfId="0" applyFont="1" applyFill="1" applyBorder="1"/>
    <xf numFmtId="0" fontId="0" fillId="13" borderId="1" xfId="0" applyFill="1" applyBorder="1" applyAlignment="1">
      <alignment horizontal="center" vertical="center"/>
    </xf>
    <xf numFmtId="0" fontId="6" fillId="21" borderId="17" xfId="0" applyFont="1" applyFill="1" applyBorder="1" applyAlignment="1">
      <alignment horizontal="left" vertical="center"/>
    </xf>
    <xf numFmtId="0" fontId="0" fillId="23" borderId="1" xfId="0" applyFill="1" applyBorder="1"/>
    <xf numFmtId="0" fontId="0" fillId="23" borderId="1" xfId="0" applyFill="1" applyBorder="1" applyAlignment="1">
      <alignment horizontal="center" vertical="center"/>
    </xf>
    <xf numFmtId="14" fontId="0" fillId="6" borderId="1" xfId="0" applyNumberFormat="1" applyFill="1" applyBorder="1"/>
    <xf numFmtId="14" fontId="0" fillId="6" borderId="1" xfId="0" applyNumberFormat="1" applyFill="1" applyBorder="1" applyAlignment="1">
      <alignment horizontal="center" vertical="center"/>
    </xf>
    <xf numFmtId="0" fontId="0" fillId="6" borderId="3" xfId="0" applyFill="1" applyBorder="1"/>
    <xf numFmtId="14" fontId="0" fillId="3" borderId="1" xfId="0" applyNumberFormat="1" applyFill="1" applyBorder="1" applyAlignment="1">
      <alignment horizontal="center" vertical="center"/>
    </xf>
    <xf numFmtId="0" fontId="4" fillId="16" borderId="0" xfId="0" applyFont="1" applyFill="1" applyAlignment="1">
      <alignment horizontal="left" vertical="top"/>
    </xf>
    <xf numFmtId="0" fontId="4" fillId="16" borderId="0" xfId="0" applyFont="1" applyFill="1" applyAlignment="1">
      <alignment horizontal="center" vertical="center"/>
    </xf>
    <xf numFmtId="1" fontId="4" fillId="16" borderId="0" xfId="0" applyNumberFormat="1" applyFont="1" applyFill="1" applyAlignment="1">
      <alignment horizontal="center" vertical="center"/>
    </xf>
    <xf numFmtId="14" fontId="4" fillId="16" borderId="0" xfId="0" applyNumberFormat="1" applyFont="1" applyFill="1" applyAlignment="1">
      <alignment horizontal="center" vertical="center"/>
    </xf>
    <xf numFmtId="14" fontId="4" fillId="16" borderId="0" xfId="0" applyNumberFormat="1" applyFont="1" applyFill="1" applyAlignment="1">
      <alignment horizontal="center"/>
    </xf>
    <xf numFmtId="0" fontId="4" fillId="16" borderId="0" xfId="0" applyFont="1" applyFill="1" applyAlignment="1">
      <alignment horizontal="center"/>
    </xf>
    <xf numFmtId="14" fontId="4" fillId="16" borderId="2" xfId="0" applyNumberFormat="1" applyFont="1" applyFill="1" applyBorder="1" applyAlignment="1">
      <alignment horizontal="left"/>
    </xf>
    <xf numFmtId="0" fontId="4" fillId="16" borderId="0" xfId="0" applyFont="1" applyFill="1" applyAlignment="1">
      <alignment horizontal="center" vertical="top"/>
    </xf>
    <xf numFmtId="0" fontId="4" fillId="16" borderId="0" xfId="0" applyFont="1" applyFill="1"/>
    <xf numFmtId="0" fontId="9" fillId="20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9" fillId="0" borderId="0" xfId="0" applyFont="1"/>
    <xf numFmtId="0" fontId="0" fillId="0" borderId="0" xfId="0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4" fontId="3" fillId="0" borderId="0" xfId="0" applyNumberFormat="1" applyFont="1" applyAlignment="1">
      <alignment horizontal="center"/>
    </xf>
    <xf numFmtId="0" fontId="10" fillId="16" borderId="0" xfId="0" applyFont="1" applyFill="1" applyAlignment="1">
      <alignment horizontal="left" vertical="center"/>
    </xf>
    <xf numFmtId="0" fontId="9" fillId="18" borderId="0" xfId="0" applyFont="1" applyFill="1" applyAlignment="1">
      <alignment horizontal="left" vertical="center"/>
    </xf>
    <xf numFmtId="14" fontId="9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4" fontId="9" fillId="5" borderId="1" xfId="0" applyNumberFormat="1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14" fontId="9" fillId="12" borderId="1" xfId="0" applyNumberFormat="1" applyFont="1" applyFill="1" applyBorder="1" applyAlignment="1">
      <alignment horizontal="left"/>
    </xf>
    <xf numFmtId="0" fontId="9" fillId="12" borderId="1" xfId="0" applyFont="1" applyFill="1" applyBorder="1" applyAlignment="1">
      <alignment horizontal="center" vertical="center"/>
    </xf>
    <xf numFmtId="14" fontId="9" fillId="12" borderId="1" xfId="0" applyNumberFormat="1" applyFont="1" applyFill="1" applyBorder="1" applyAlignment="1">
      <alignment horizontal="left" vertical="center"/>
    </xf>
    <xf numFmtId="3" fontId="9" fillId="16" borderId="0" xfId="0" applyNumberFormat="1" applyFont="1" applyFill="1" applyAlignment="1">
      <alignment horizontal="center"/>
    </xf>
    <xf numFmtId="3" fontId="4" fillId="0" borderId="0" xfId="0" applyNumberFormat="1" applyFont="1" applyAlignment="1">
      <alignment horizontal="center" vertical="top"/>
    </xf>
    <xf numFmtId="0" fontId="0" fillId="24" borderId="5" xfId="0" applyFill="1" applyBorder="1" applyAlignment="1">
      <alignment horizontal="left" vertical="center"/>
    </xf>
    <xf numFmtId="0" fontId="10" fillId="16" borderId="18" xfId="0" applyFont="1" applyFill="1" applyBorder="1" applyAlignment="1">
      <alignment horizontal="left" vertical="center"/>
    </xf>
    <xf numFmtId="0" fontId="10" fillId="16" borderId="18" xfId="0" applyFont="1" applyFill="1" applyBorder="1" applyAlignment="1">
      <alignment horizontal="left" vertical="top"/>
    </xf>
    <xf numFmtId="0" fontId="0" fillId="16" borderId="18" xfId="0" applyFill="1" applyBorder="1" applyAlignment="1">
      <alignment horizontal="center" vertical="center"/>
    </xf>
    <xf numFmtId="1" fontId="0" fillId="16" borderId="18" xfId="0" applyNumberFormat="1" applyFill="1" applyBorder="1" applyAlignment="1">
      <alignment horizontal="center" vertical="center"/>
    </xf>
    <xf numFmtId="14" fontId="0" fillId="16" borderId="18" xfId="0" applyNumberFormat="1" applyFill="1" applyBorder="1" applyAlignment="1">
      <alignment horizontal="center" vertical="center"/>
    </xf>
    <xf numFmtId="14" fontId="9" fillId="16" borderId="18" xfId="0" applyNumberFormat="1" applyFont="1" applyFill="1" applyBorder="1" applyAlignment="1">
      <alignment horizontal="left"/>
    </xf>
    <xf numFmtId="3" fontId="0" fillId="16" borderId="18" xfId="0" applyNumberFormat="1" applyFill="1" applyBorder="1" applyAlignment="1">
      <alignment horizontal="center" vertical="center"/>
    </xf>
    <xf numFmtId="0" fontId="0" fillId="16" borderId="18" xfId="0" applyFill="1" applyBorder="1" applyAlignment="1">
      <alignment horizontal="left" vertical="top"/>
    </xf>
    <xf numFmtId="0" fontId="0" fillId="16" borderId="18" xfId="0" applyFill="1" applyBorder="1"/>
    <xf numFmtId="0" fontId="0" fillId="18" borderId="5" xfId="0" applyFill="1" applyBorder="1" applyAlignment="1">
      <alignment horizontal="left" vertical="center"/>
    </xf>
    <xf numFmtId="14" fontId="0" fillId="16" borderId="18" xfId="0" applyNumberFormat="1" applyFill="1" applyBorder="1" applyAlignment="1">
      <alignment horizontal="center"/>
    </xf>
    <xf numFmtId="0" fontId="0" fillId="16" borderId="18" xfId="0" applyFill="1" applyBorder="1" applyAlignment="1">
      <alignment horizontal="center"/>
    </xf>
    <xf numFmtId="3" fontId="9" fillId="16" borderId="18" xfId="0" applyNumberFormat="1" applyFont="1" applyFill="1" applyBorder="1" applyAlignment="1">
      <alignment horizontal="center"/>
    </xf>
    <xf numFmtId="0" fontId="0" fillId="0" borderId="18" xfId="0" applyBorder="1" applyAlignment="1">
      <alignment horizontal="left" vertical="top"/>
    </xf>
    <xf numFmtId="0" fontId="0" fillId="0" borderId="18" xfId="0" applyBorder="1"/>
    <xf numFmtId="3" fontId="9" fillId="0" borderId="18" xfId="0" applyNumberFormat="1" applyFont="1" applyBorder="1" applyAlignment="1">
      <alignment horizontal="center"/>
    </xf>
    <xf numFmtId="0" fontId="9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top"/>
    </xf>
    <xf numFmtId="0" fontId="9" fillId="3" borderId="0" xfId="0" applyFont="1" applyFill="1" applyAlignment="1">
      <alignment horizontal="center" vertical="center"/>
    </xf>
    <xf numFmtId="1" fontId="9" fillId="3" borderId="0" xfId="0" applyNumberFormat="1" applyFont="1" applyFill="1" applyAlignment="1">
      <alignment horizontal="center" vertical="center"/>
    </xf>
    <xf numFmtId="17" fontId="9" fillId="0" borderId="0" xfId="0" applyNumberFormat="1" applyFont="1" applyAlignment="1">
      <alignment horizontal="left" vertical="top"/>
    </xf>
    <xf numFmtId="14" fontId="9" fillId="3" borderId="0" xfId="0" applyNumberFormat="1" applyFont="1" applyFill="1" applyAlignment="1">
      <alignment horizontal="center"/>
    </xf>
    <xf numFmtId="0" fontId="9" fillId="3" borderId="0" xfId="0" applyFont="1" applyFill="1" applyAlignment="1">
      <alignment horizontal="center"/>
    </xf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0" fontId="9" fillId="16" borderId="0" xfId="0" applyFont="1" applyFill="1" applyAlignment="1">
      <alignment horizontal="left" vertical="top"/>
    </xf>
    <xf numFmtId="0" fontId="9" fillId="16" borderId="0" xfId="0" applyFont="1" applyFill="1" applyAlignment="1">
      <alignment horizontal="center" vertical="center"/>
    </xf>
    <xf numFmtId="1" fontId="9" fillId="16" borderId="0" xfId="0" applyNumberFormat="1" applyFont="1" applyFill="1" applyAlignment="1">
      <alignment horizontal="center" vertical="center"/>
    </xf>
    <xf numFmtId="14" fontId="9" fillId="16" borderId="0" xfId="0" applyNumberFormat="1" applyFont="1" applyFill="1" applyAlignment="1">
      <alignment horizontal="center"/>
    </xf>
    <xf numFmtId="0" fontId="9" fillId="16" borderId="0" xfId="0" applyFont="1" applyFill="1" applyAlignment="1">
      <alignment horizontal="center"/>
    </xf>
    <xf numFmtId="14" fontId="8" fillId="14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4" fontId="9" fillId="13" borderId="1" xfId="0" applyNumberFormat="1" applyFont="1" applyFill="1" applyBorder="1" applyAlignment="1">
      <alignment horizontal="center"/>
    </xf>
    <xf numFmtId="14" fontId="9" fillId="0" borderId="0" xfId="0" applyNumberFormat="1" applyFont="1" applyAlignment="1">
      <alignment horizontal="center" vertical="center"/>
    </xf>
    <xf numFmtId="14" fontId="9" fillId="13" borderId="1" xfId="0" applyNumberFormat="1" applyFont="1" applyFill="1" applyBorder="1" applyAlignment="1">
      <alignment horizontal="left"/>
    </xf>
    <xf numFmtId="1" fontId="9" fillId="13" borderId="1" xfId="0" applyNumberFormat="1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4" fontId="9" fillId="12" borderId="1" xfId="0" applyNumberFormat="1" applyFont="1" applyFill="1" applyBorder="1" applyAlignment="1">
      <alignment horizontal="center"/>
    </xf>
    <xf numFmtId="3" fontId="9" fillId="0" borderId="0" xfId="0" applyNumberFormat="1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7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left" vertical="top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/>
    </xf>
    <xf numFmtId="1" fontId="9" fillId="6" borderId="1" xfId="0" applyNumberFormat="1" applyFont="1" applyFill="1" applyBorder="1" applyAlignment="1">
      <alignment horizontal="left" vertical="center"/>
    </xf>
    <xf numFmtId="1" fontId="9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center"/>
    </xf>
    <xf numFmtId="0" fontId="9" fillId="7" borderId="0" xfId="0" applyFont="1" applyFill="1" applyAlignment="1">
      <alignment horizontal="left" vertical="center"/>
    </xf>
    <xf numFmtId="0" fontId="9" fillId="7" borderId="0" xfId="0" applyFont="1" applyFill="1" applyAlignment="1">
      <alignment horizontal="left" vertical="top"/>
    </xf>
    <xf numFmtId="0" fontId="9" fillId="7" borderId="0" xfId="0" applyFont="1" applyFill="1" applyAlignment="1">
      <alignment horizontal="center" vertical="center"/>
    </xf>
    <xf numFmtId="1" fontId="9" fillId="7" borderId="0" xfId="0" applyNumberFormat="1" applyFont="1" applyFill="1" applyAlignment="1">
      <alignment horizontal="center" vertical="center"/>
    </xf>
    <xf numFmtId="14" fontId="9" fillId="7" borderId="0" xfId="0" applyNumberFormat="1" applyFont="1" applyFill="1" applyAlignment="1">
      <alignment horizontal="center"/>
    </xf>
    <xf numFmtId="0" fontId="9" fillId="7" borderId="0" xfId="0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0" fontId="9" fillId="7" borderId="0" xfId="0" applyFont="1" applyFill="1"/>
    <xf numFmtId="0" fontId="9" fillId="15" borderId="0" xfId="0" applyFont="1" applyFill="1" applyAlignment="1">
      <alignment horizontal="left" vertical="center"/>
    </xf>
    <xf numFmtId="0" fontId="9" fillId="15" borderId="0" xfId="0" applyFont="1" applyFill="1" applyAlignment="1">
      <alignment horizontal="left" vertical="top"/>
    </xf>
    <xf numFmtId="0" fontId="9" fillId="15" borderId="0" xfId="0" applyFont="1" applyFill="1" applyAlignment="1">
      <alignment horizontal="center" vertical="center"/>
    </xf>
    <xf numFmtId="1" fontId="9" fillId="15" borderId="0" xfId="0" applyNumberFormat="1" applyFont="1" applyFill="1" applyAlignment="1">
      <alignment horizontal="center" vertical="center"/>
    </xf>
    <xf numFmtId="14" fontId="9" fillId="15" borderId="0" xfId="0" applyNumberFormat="1" applyFont="1" applyFill="1" applyAlignment="1">
      <alignment horizontal="center"/>
    </xf>
    <xf numFmtId="0" fontId="9" fillId="15" borderId="0" xfId="0" applyFont="1" applyFill="1" applyAlignment="1">
      <alignment horizontal="center"/>
    </xf>
    <xf numFmtId="3" fontId="9" fillId="15" borderId="0" xfId="0" applyNumberFormat="1" applyFont="1" applyFill="1" applyAlignment="1">
      <alignment horizontal="center"/>
    </xf>
    <xf numFmtId="0" fontId="9" fillId="15" borderId="0" xfId="0" applyFont="1" applyFill="1"/>
    <xf numFmtId="0" fontId="9" fillId="20" borderId="0" xfId="0" applyFont="1" applyFill="1" applyAlignment="1">
      <alignment horizontal="left" vertical="top"/>
    </xf>
    <xf numFmtId="0" fontId="9" fillId="20" borderId="0" xfId="0" applyFont="1" applyFill="1" applyAlignment="1">
      <alignment horizontal="center" vertical="center"/>
    </xf>
    <xf numFmtId="1" fontId="9" fillId="20" borderId="0" xfId="0" applyNumberFormat="1" applyFont="1" applyFill="1" applyAlignment="1">
      <alignment horizontal="center" vertical="center"/>
    </xf>
    <xf numFmtId="14" fontId="9" fillId="20" borderId="0" xfId="0" applyNumberFormat="1" applyFont="1" applyFill="1" applyAlignment="1">
      <alignment horizontal="center"/>
    </xf>
    <xf numFmtId="0" fontId="9" fillId="20" borderId="0" xfId="0" applyFont="1" applyFill="1" applyAlignment="1">
      <alignment horizontal="center"/>
    </xf>
    <xf numFmtId="14" fontId="9" fillId="20" borderId="0" xfId="0" applyNumberFormat="1" applyFont="1" applyFill="1" applyAlignment="1">
      <alignment horizontal="center" vertical="center"/>
    </xf>
    <xf numFmtId="3" fontId="9" fillId="20" borderId="0" xfId="0" applyNumberFormat="1" applyFont="1" applyFill="1" applyAlignment="1">
      <alignment horizontal="center"/>
    </xf>
    <xf numFmtId="0" fontId="9" fillId="20" borderId="0" xfId="0" applyFont="1" applyFill="1"/>
    <xf numFmtId="14" fontId="9" fillId="7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left" vertical="center"/>
    </xf>
    <xf numFmtId="0" fontId="9" fillId="6" borderId="0" xfId="0" applyFont="1" applyFill="1" applyAlignment="1">
      <alignment horizontal="left" vertical="top"/>
    </xf>
    <xf numFmtId="0" fontId="9" fillId="6" borderId="0" xfId="0" applyFont="1" applyFill="1" applyAlignment="1">
      <alignment horizontal="center" vertical="center"/>
    </xf>
    <xf numFmtId="1" fontId="9" fillId="6" borderId="0" xfId="0" applyNumberFormat="1" applyFont="1" applyFill="1" applyAlignment="1">
      <alignment horizontal="center" vertical="center"/>
    </xf>
    <xf numFmtId="14" fontId="9" fillId="6" borderId="0" xfId="0" applyNumberFormat="1" applyFont="1" applyFill="1" applyAlignment="1">
      <alignment horizontal="center"/>
    </xf>
    <xf numFmtId="0" fontId="9" fillId="6" borderId="0" xfId="0" applyFont="1" applyFill="1" applyAlignment="1">
      <alignment horizontal="center"/>
    </xf>
    <xf numFmtId="3" fontId="9" fillId="6" borderId="0" xfId="0" applyNumberFormat="1" applyFont="1" applyFill="1" applyAlignment="1">
      <alignment horizontal="center"/>
    </xf>
    <xf numFmtId="0" fontId="9" fillId="6" borderId="0" xfId="0" applyFont="1" applyFill="1"/>
    <xf numFmtId="14" fontId="9" fillId="15" borderId="0" xfId="0" applyNumberFormat="1" applyFont="1" applyFill="1" applyAlignment="1">
      <alignment horizontal="center" vertical="center"/>
    </xf>
    <xf numFmtId="14" fontId="4" fillId="3" borderId="0" xfId="0" applyNumberFormat="1" applyFont="1" applyFill="1" applyAlignment="1">
      <alignment horizontal="left"/>
    </xf>
    <xf numFmtId="17" fontId="4" fillId="0" borderId="0" xfId="0" applyNumberFormat="1" applyFont="1" applyAlignment="1">
      <alignment horizontal="left" vertical="top"/>
    </xf>
    <xf numFmtId="3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9" fillId="25" borderId="0" xfId="0" applyFont="1" applyFill="1" applyAlignment="1">
      <alignment horizontal="left" vertical="center"/>
    </xf>
    <xf numFmtId="0" fontId="9" fillId="25" borderId="0" xfId="0" applyFont="1" applyFill="1" applyAlignment="1">
      <alignment horizontal="left" vertical="top"/>
    </xf>
    <xf numFmtId="0" fontId="9" fillId="25" borderId="0" xfId="0" applyFont="1" applyFill="1" applyAlignment="1">
      <alignment horizontal="center" vertical="center"/>
    </xf>
    <xf numFmtId="1" fontId="9" fillId="25" borderId="0" xfId="0" applyNumberFormat="1" applyFont="1" applyFill="1" applyAlignment="1">
      <alignment horizontal="center" vertical="center"/>
    </xf>
    <xf numFmtId="14" fontId="9" fillId="25" borderId="0" xfId="0" applyNumberFormat="1" applyFont="1" applyFill="1" applyAlignment="1">
      <alignment horizontal="center"/>
    </xf>
    <xf numFmtId="0" fontId="9" fillId="25" borderId="0" xfId="0" applyFont="1" applyFill="1" applyAlignment="1">
      <alignment horizontal="center"/>
    </xf>
    <xf numFmtId="3" fontId="9" fillId="25" borderId="0" xfId="0" applyNumberFormat="1" applyFont="1" applyFill="1" applyAlignment="1">
      <alignment horizontal="center"/>
    </xf>
    <xf numFmtId="0" fontId="9" fillId="25" borderId="0" xfId="0" applyFont="1" applyFill="1"/>
    <xf numFmtId="0" fontId="9" fillId="12" borderId="1" xfId="0" applyFont="1" applyFill="1" applyBorder="1" applyAlignment="1">
      <alignment horizontal="left" vertical="center"/>
    </xf>
    <xf numFmtId="14" fontId="9" fillId="0" borderId="0" xfId="0" applyNumberFormat="1" applyFont="1" applyAlignment="1">
      <alignment horizontal="left"/>
    </xf>
    <xf numFmtId="14" fontId="9" fillId="0" borderId="0" xfId="0" applyNumberFormat="1" applyFont="1" applyAlignment="1">
      <alignment horizontal="left" vertical="center"/>
    </xf>
    <xf numFmtId="1" fontId="4" fillId="6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left" vertical="center"/>
    </xf>
    <xf numFmtId="1" fontId="4" fillId="7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center"/>
    </xf>
    <xf numFmtId="14" fontId="4" fillId="6" borderId="1" xfId="0" applyNumberFormat="1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3" fontId="4" fillId="7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top"/>
    </xf>
    <xf numFmtId="0" fontId="9" fillId="15" borderId="1" xfId="0" applyFon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left" vertical="top"/>
    </xf>
    <xf numFmtId="0" fontId="9" fillId="26" borderId="1" xfId="0" applyFont="1" applyFill="1" applyBorder="1" applyAlignment="1">
      <alignment horizontal="left" vertical="center"/>
    </xf>
    <xf numFmtId="0" fontId="9" fillId="26" borderId="1" xfId="0" applyFont="1" applyFill="1" applyBorder="1" applyAlignment="1">
      <alignment horizontal="left" vertical="top"/>
    </xf>
    <xf numFmtId="0" fontId="9" fillId="26" borderId="0" xfId="0" applyFont="1" applyFill="1" applyAlignment="1">
      <alignment horizontal="left" vertical="center"/>
    </xf>
    <xf numFmtId="0" fontId="9" fillId="26" borderId="0" xfId="0" applyFont="1" applyFill="1" applyAlignment="1">
      <alignment horizontal="left" vertical="top"/>
    </xf>
    <xf numFmtId="0" fontId="9" fillId="26" borderId="0" xfId="0" applyFont="1" applyFill="1" applyAlignment="1">
      <alignment horizontal="center" vertical="center"/>
    </xf>
    <xf numFmtId="1" fontId="9" fillId="26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top"/>
    </xf>
    <xf numFmtId="0" fontId="9" fillId="4" borderId="0" xfId="0" applyFont="1" applyFill="1" applyAlignment="1">
      <alignment horizontal="center" vertical="center"/>
    </xf>
    <xf numFmtId="1" fontId="9" fillId="4" borderId="0" xfId="0" applyNumberFormat="1" applyFont="1" applyFill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9" fillId="25" borderId="1" xfId="0" applyFont="1" applyFill="1" applyBorder="1" applyAlignment="1">
      <alignment horizontal="left" vertical="center"/>
    </xf>
    <xf numFmtId="0" fontId="9" fillId="25" borderId="1" xfId="0" applyFont="1" applyFill="1" applyBorder="1" applyAlignment="1">
      <alignment horizontal="left" vertical="top"/>
    </xf>
    <xf numFmtId="0" fontId="9" fillId="20" borderId="1" xfId="0" applyFont="1" applyFill="1" applyBorder="1" applyAlignment="1">
      <alignment horizontal="left" vertical="center"/>
    </xf>
    <xf numFmtId="0" fontId="9" fillId="20" borderId="1" xfId="0" applyFont="1" applyFill="1" applyBorder="1" applyAlignment="1">
      <alignment horizontal="left" vertical="top"/>
    </xf>
    <xf numFmtId="0" fontId="9" fillId="27" borderId="1" xfId="0" applyFont="1" applyFill="1" applyBorder="1" applyAlignment="1">
      <alignment horizontal="left" vertical="center"/>
    </xf>
    <xf numFmtId="0" fontId="9" fillId="27" borderId="1" xfId="0" applyFont="1" applyFill="1" applyBorder="1" applyAlignment="1">
      <alignment horizontal="left" vertical="top"/>
    </xf>
    <xf numFmtId="0" fontId="9" fillId="27" borderId="0" xfId="0" applyFont="1" applyFill="1" applyAlignment="1">
      <alignment horizontal="left" vertical="center"/>
    </xf>
    <xf numFmtId="0" fontId="9" fillId="27" borderId="0" xfId="0" applyFont="1" applyFill="1" applyAlignment="1">
      <alignment horizontal="left" vertical="top"/>
    </xf>
    <xf numFmtId="0" fontId="9" fillId="27" borderId="0" xfId="0" applyFont="1" applyFill="1" applyAlignment="1">
      <alignment horizontal="center" vertical="center"/>
    </xf>
    <xf numFmtId="1" fontId="9" fillId="27" borderId="0" xfId="0" applyNumberFormat="1" applyFont="1" applyFill="1" applyAlignment="1">
      <alignment horizontal="center" vertical="center"/>
    </xf>
    <xf numFmtId="1" fontId="9" fillId="6" borderId="1" xfId="0" applyNumberFormat="1" applyFont="1" applyFill="1" applyBorder="1" applyAlignment="1">
      <alignment horizontal="center" vertical="center"/>
    </xf>
    <xf numFmtId="0" fontId="0" fillId="25" borderId="1" xfId="0" applyFill="1" applyBorder="1" applyAlignment="1">
      <alignment horizontal="left" vertical="top"/>
    </xf>
    <xf numFmtId="0" fontId="0" fillId="2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right"/>
    </xf>
    <xf numFmtId="0" fontId="9" fillId="0" borderId="0" xfId="0" applyNumberFormat="1" applyFont="1" applyAlignment="1">
      <alignment horizontal="center"/>
    </xf>
    <xf numFmtId="0" fontId="9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top"/>
    </xf>
    <xf numFmtId="0" fontId="9" fillId="0" borderId="0" xfId="0" applyFont="1" applyFill="1" applyAlignment="1">
      <alignment horizontal="center" vertical="center"/>
    </xf>
    <xf numFmtId="1" fontId="9" fillId="0" borderId="0" xfId="0" applyNumberFormat="1" applyFont="1" applyFill="1" applyAlignment="1">
      <alignment horizontal="center" vertical="center"/>
    </xf>
    <xf numFmtId="14" fontId="9" fillId="0" borderId="0" xfId="0" applyNumberFormat="1" applyFont="1" applyFill="1" applyAlignment="1">
      <alignment horizontal="center"/>
    </xf>
    <xf numFmtId="0" fontId="9" fillId="0" borderId="0" xfId="0" applyFont="1" applyFill="1" applyAlignment="1">
      <alignment horizontal="center"/>
    </xf>
    <xf numFmtId="3" fontId="9" fillId="0" borderId="0" xfId="0" applyNumberFormat="1" applyFont="1" applyFill="1" applyAlignment="1">
      <alignment horizontal="center"/>
    </xf>
    <xf numFmtId="0" fontId="9" fillId="0" borderId="0" xfId="0" applyFont="1" applyFill="1"/>
    <xf numFmtId="0" fontId="9" fillId="7" borderId="0" xfId="0" applyNumberFormat="1" applyFont="1" applyFill="1" applyAlignment="1">
      <alignment horizontal="center"/>
    </xf>
  </cellXfs>
  <cellStyles count="1">
    <cellStyle name="Обычный" xfId="0" builtinId="0"/>
  </cellStyles>
  <dxfs count="293">
    <dxf>
      <alignment horizontal="left" vertical="top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7" tint="0.39997558519241921"/>
        </patternFill>
      </fill>
      <alignment horizontal="center"/>
    </dxf>
    <dxf>
      <alignment horizontal="center"/>
    </dxf>
    <dxf>
      <numFmt numFmtId="19" formatCode="dd/mm/yyyy"/>
      <alignment horizontal="center"/>
    </dxf>
    <dxf>
      <alignment horizontal="center"/>
    </dxf>
    <dxf>
      <alignment horizontal="center"/>
    </dxf>
    <dxf>
      <numFmt numFmtId="19" formatCode="dd/mm/yyyy"/>
      <alignment horizontal="center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left" vertical="top" textRotation="0" wrapText="0" indent="0" justifyLastLine="0" shrinkToFit="0" readingOrder="0"/>
    </dxf>
    <dxf>
      <alignment horizontal="center" vertical="center"/>
    </dxf>
    <dxf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7" tint="0.39997558519241921"/>
        </patternFill>
      </fill>
      <alignment horizontal="center"/>
    </dxf>
    <dxf>
      <alignment horizontal="center"/>
    </dxf>
    <dxf>
      <numFmt numFmtId="19" formatCode="dd/mm/yyyy"/>
      <alignment horizontal="center" textRotation="0" wrapText="0" indent="0" justifyLastLine="0" shrinkToFit="0" readingOrder="0"/>
    </dxf>
    <dxf>
      <alignment horizontal="center"/>
    </dxf>
    <dxf>
      <alignment horizontal="center"/>
    </dxf>
    <dxf>
      <numFmt numFmtId="19" formatCode="dd/mm/yyyy"/>
      <alignment horizontal="center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left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center"/>
    </dxf>
    <dxf>
      <alignment horizontal="center"/>
    </dxf>
    <dxf>
      <numFmt numFmtId="19" formatCode="dd/mm/yyyy"/>
      <alignment horizontal="center"/>
    </dxf>
    <dxf>
      <alignment horizontal="center"/>
    </dxf>
    <dxf>
      <alignment horizontal="center"/>
    </dxf>
    <dxf>
      <numFmt numFmtId="19" formatCode="dd/mm/yyyy"/>
      <alignment horizontal="center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left" vertical="top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center"/>
    </dxf>
    <dxf>
      <alignment horizontal="center"/>
    </dxf>
    <dxf>
      <numFmt numFmtId="19" formatCode="dd/mm/yyyy"/>
      <alignment horizontal="center"/>
    </dxf>
    <dxf>
      <alignment horizontal="center"/>
    </dxf>
    <dxf>
      <alignment horizontal="center"/>
    </dxf>
    <dxf>
      <numFmt numFmtId="19" formatCode="dd/mm/yyyy"/>
      <alignment horizontal="center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left" vertical="top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center"/>
    </dxf>
    <dxf>
      <alignment horizontal="center"/>
    </dxf>
    <dxf>
      <numFmt numFmtId="19" formatCode="dd/mm/yyyy"/>
      <alignment horizontal="center"/>
    </dxf>
    <dxf>
      <alignment horizontal="center"/>
    </dxf>
    <dxf>
      <alignment horizontal="center"/>
    </dxf>
    <dxf>
      <numFmt numFmtId="19" formatCode="dd/mm/yyyy"/>
      <alignment horizontal="center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left" vertical="top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center"/>
    </dxf>
    <dxf>
      <alignment horizontal="center"/>
    </dxf>
    <dxf>
      <numFmt numFmtId="3" formatCode="#,##0"/>
      <alignment horizontal="center" vertical="bottom" textRotation="0" wrapText="0" indent="0" justifyLastLine="0" shrinkToFit="0" readingOrder="0"/>
    </dxf>
    <dxf>
      <numFmt numFmtId="19" formatCode="dd/mm/yyyy"/>
      <alignment horizontal="center"/>
    </dxf>
    <dxf>
      <alignment horizontal="center"/>
    </dxf>
    <dxf>
      <alignment horizontal="center"/>
    </dxf>
    <dxf>
      <numFmt numFmtId="19" formatCode="dd/mm/yyyy"/>
      <alignment horizontal="center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left" vertical="top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center"/>
    </dxf>
    <dxf>
      <alignment horizontal="center"/>
    </dxf>
    <dxf>
      <numFmt numFmtId="3" formatCode="#,##0"/>
      <alignment horizontal="center" vertical="bottom" textRotation="0" wrapText="0" indent="0" justifyLastLine="0" shrinkToFit="0" readingOrder="0"/>
    </dxf>
    <dxf>
      <numFmt numFmtId="19" formatCode="dd/mm/yyyy"/>
      <alignment horizontal="center"/>
    </dxf>
    <dxf>
      <alignment horizontal="center"/>
    </dxf>
    <dxf>
      <alignment horizontal="center"/>
    </dxf>
    <dxf>
      <numFmt numFmtId="19" formatCode="dd/mm/yyyy"/>
      <alignment horizontal="center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left" vertical="top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center"/>
    </dxf>
    <dxf>
      <alignment horizontal="center"/>
    </dxf>
    <dxf>
      <numFmt numFmtId="3" formatCode="#,##0"/>
      <alignment horizontal="center" vertical="bottom" textRotation="0" wrapText="0" indent="0" justifyLastLine="0" shrinkToFit="0" readingOrder="0"/>
    </dxf>
    <dxf>
      <numFmt numFmtId="19" formatCode="dd/mm/yyyy"/>
      <alignment horizontal="center"/>
    </dxf>
    <dxf>
      <alignment horizontal="center"/>
    </dxf>
    <dxf>
      <alignment horizontal="center"/>
    </dxf>
    <dxf>
      <numFmt numFmtId="19" formatCode="dd/mm/yyyy"/>
      <alignment horizontal="center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left" vertical="top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center"/>
    </dxf>
    <dxf>
      <alignment horizontal="center"/>
    </dxf>
    <dxf>
      <numFmt numFmtId="3" formatCode="#,##0"/>
      <alignment horizontal="center" vertical="bottom" textRotation="0" wrapText="0" indent="0" justifyLastLine="0" shrinkToFit="0" readingOrder="0"/>
    </dxf>
    <dxf>
      <numFmt numFmtId="19" formatCode="dd/mm/yyyy"/>
      <alignment horizontal="center"/>
    </dxf>
    <dxf>
      <alignment horizontal="center"/>
    </dxf>
    <dxf>
      <alignment horizontal="center"/>
    </dxf>
    <dxf>
      <numFmt numFmtId="19" formatCode="dd/mm/yyyy"/>
      <alignment horizontal="center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left" vertical="top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center"/>
    </dxf>
    <dxf>
      <alignment horizontal="center"/>
    </dxf>
    <dxf>
      <numFmt numFmtId="3" formatCode="#,##0"/>
      <alignment horizontal="center" vertical="bottom" textRotation="0" wrapText="0" indent="0" justifyLastLine="0" shrinkToFit="0" readingOrder="0"/>
    </dxf>
    <dxf>
      <numFmt numFmtId="19" formatCode="dd/mm/yyyy"/>
      <alignment horizontal="center"/>
    </dxf>
    <dxf>
      <alignment horizontal="center"/>
    </dxf>
    <dxf>
      <alignment horizontal="center"/>
    </dxf>
    <dxf>
      <numFmt numFmtId="19" formatCode="dd/mm/yyyy"/>
      <alignment horizontal="center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left" vertical="top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center"/>
    </dxf>
    <dxf>
      <alignment horizontal="center"/>
    </dxf>
    <dxf>
      <numFmt numFmtId="3" formatCode="#,##0"/>
      <alignment horizontal="center" vertical="bottom" textRotation="0" wrapText="0" indent="0" justifyLastLine="0" shrinkToFit="0" readingOrder="0"/>
    </dxf>
    <dxf>
      <numFmt numFmtId="19" formatCode="dd/mm/yyyy"/>
      <alignment horizontal="center"/>
    </dxf>
    <dxf>
      <alignment horizontal="center"/>
    </dxf>
    <dxf>
      <alignment horizontal="center"/>
    </dxf>
    <dxf>
      <numFmt numFmtId="19" formatCode="dd/mm/yyyy"/>
      <alignment horizontal="center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left" vertical="top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center"/>
    </dxf>
    <dxf>
      <alignment horizontal="center"/>
    </dxf>
    <dxf>
      <numFmt numFmtId="19" formatCode="dd/mm/yyyy"/>
      <fill>
        <patternFill patternType="solid">
          <fgColor indexed="64"/>
          <bgColor rgb="FFFF33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/>
    </dxf>
    <dxf>
      <alignment horizontal="center"/>
    </dxf>
    <dxf>
      <alignment horizontal="center"/>
    </dxf>
    <dxf>
      <numFmt numFmtId="19" formatCode="dd/mm/yyyy"/>
      <alignment horizontal="center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left" vertical="top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center"/>
    </dxf>
    <dxf>
      <alignment horizontal="center"/>
    </dxf>
    <dxf>
      <numFmt numFmtId="3" formatCode="#,##0"/>
      <alignment horizontal="center" vertical="bottom" textRotation="0" wrapText="0" indent="0" justifyLastLine="0" shrinkToFit="0" readingOrder="0"/>
    </dxf>
    <dxf>
      <numFmt numFmtId="19" formatCode="dd/mm/yyyy"/>
      <alignment horizontal="center"/>
    </dxf>
    <dxf>
      <alignment horizontal="center"/>
    </dxf>
    <dxf>
      <alignment horizontal="center"/>
    </dxf>
    <dxf>
      <numFmt numFmtId="19" formatCode="dd/mm/yyyy"/>
      <alignment horizontal="center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left" vertical="top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3" formatCode="#,##0"/>
      <alignment horizontal="center"/>
    </dxf>
    <dxf>
      <alignment horizontal="center"/>
    </dxf>
    <dxf>
      <numFmt numFmtId="19" formatCode="dd/mm/yyyy"/>
      <fill>
        <patternFill patternType="solid">
          <fgColor indexed="64"/>
          <bgColor rgb="FFFF33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/>
    </dxf>
    <dxf>
      <alignment horizontal="center"/>
    </dxf>
    <dxf>
      <alignment horizontal="center"/>
    </dxf>
    <dxf>
      <numFmt numFmtId="19" formatCode="dd/mm/yyyy"/>
      <alignment horizontal="center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left" vertical="top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/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solid">
          <fgColor indexed="64"/>
          <bgColor rgb="FFFF33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/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  <alignment horizontal="center"/>
    </dxf>
    <dxf>
      <alignment horizontal="center" vertical="bottom" textRotation="0" wrapText="0" indent="0" justifyLastLine="0" shrinkToFit="0" readingOrder="0"/>
    </dxf>
    <dxf>
      <alignment horizontal="center"/>
    </dxf>
    <dxf>
      <numFmt numFmtId="3" formatCode="#,##0"/>
      <fill>
        <patternFill patternType="solid">
          <fgColor indexed="64"/>
          <bgColor rgb="FF92D05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rgb="FFFF33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/>
    </dxf>
    <dxf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1" formatCode="0"/>
      <fill>
        <patternFill patternType="solid">
          <fgColor indexed="64"/>
          <bgColor rgb="FF92D05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00FF"/>
      <color rgb="FFFF00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D194894-2EEB-4FA3-9A71-0CB63750D6BE}" name="Таблица312" displayName="Таблица312" ref="A1:Q31" totalsRowCount="1" headerRowDxfId="292">
  <autoFilter ref="A1:Q30" xr:uid="{C909D8DF-AA7B-4DB0-9E44-A0EC77ED8D94}"/>
  <tableColumns count="17">
    <tableColumn id="16" xr3:uid="{D01D5D80-C491-4CDC-897B-AAB661A16CFE}" name="Столбец1" dataDxfId="291" totalsRowDxfId="290"/>
    <tableColumn id="1" xr3:uid="{23F1FCB3-17C3-4F98-964B-8E9477CB6B81}" name="BREND" dataDxfId="289" totalsRowDxfId="288"/>
    <tableColumn id="2" xr3:uid="{1D97CB06-D428-44FE-A58E-D872A4D63279}" name=" MADEL" dataDxfId="287" totalsRowDxfId="286"/>
    <tableColumn id="3" xr3:uid="{EFBAD9F0-17D3-425B-9419-B6C19FB811AE}" name="RANGI" dataDxfId="285" totalsRowDxfId="284"/>
    <tableColumn id="4" xr3:uid="{24D79049-7950-4E7A-BECC-1307B95370B0}" name="KAROBKA" dataDxfId="283" totalsRowDxfId="282"/>
    <tableColumn id="5" xr3:uid="{29377B4E-7CB6-4102-98FE-24F39BFF44C3}" name="IMEI" totalsRowLabel="BARSETKADA" dataDxfId="281" totalsRowDxfId="280"/>
    <tableColumn id="6" xr3:uid="{DB2169F4-F418-404D-86A6-1F37BDD14E8F}" name="AYBI " totalsRowFunction="custom" dataDxfId="279" totalsRowDxfId="278">
      <totalsRowFormula>G29-G30-G21-G23-G22-G24-G27-G28-G25-G26</totalsRowFormula>
    </tableColumn>
    <tableColumn id="7" xr3:uid="{5CBE53A5-BB18-4873-9137-0864C2AA02B7}" name="OLINGAN SANA" dataDxfId="277" totalsRowDxfId="276"/>
    <tableColumn id="8" xr3:uid="{6DDAAC86-C916-45DF-80A1-17D5C107DB79}" name="OLINGAN NARXI $" dataDxfId="275" totalsRowDxfId="274"/>
    <tableColumn id="9" xr3:uid="{B5656415-83E1-4CC0-81A6-06BC401644A5}" name="RASXOD" dataDxfId="273" totalsRowDxfId="272"/>
    <tableColumn id="17" xr3:uid="{DCB9B6F9-6063-4877-8142-6206AD39E59F}" name="ASAD QOSHDI" totalsRowFunction="custom" dataDxfId="271" totalsRowDxfId="270">
      <totalsRowFormula>SUM(K2:K30)</totalsRowFormula>
    </tableColumn>
    <tableColumn id="18" xr3:uid="{62F84243-7DD4-468B-A0CB-12A76789025A}" name="IMRON QOSHDI" totalsRowFunction="custom" dataDxfId="269" totalsRowDxfId="268">
      <totalsRowFormula>SUM(L2:L30)</totalsRowFormula>
    </tableColumn>
    <tableColumn id="10" xr3:uid="{1074C915-E27E-44EC-94B2-01CCFE7A4998}" name="SOTILGAN SANA" dataDxfId="267" totalsRowDxfId="266"/>
    <tableColumn id="14" xr3:uid="{CB14AAC9-EB49-4B1F-B06C-D52799897FD7}" name="TAN NARXI" totalsRowFunction="custom" dataDxfId="265" totalsRowDxfId="264">
      <calculatedColumnFormula>Таблица312[[#This Row],[RASXOD]]+Таблица312[[#This Row],[OLINGAN NARXI $]]</calculatedColumnFormula>
      <totalsRowFormula>SUM(N2:N30)</totalsRowFormula>
    </tableColumn>
    <tableColumn id="11" xr3:uid="{27523240-2EDE-46F0-BBD4-E79F8DA8605C}" name="SOTILGAN NARXI" dataDxfId="263" totalsRowDxfId="262"/>
    <tableColumn id="12" xr3:uid="{18F39607-4ADB-4FBF-AB54-C2DB1BB08B58}" name="FOYDA" dataDxfId="261" totalsRowDxfId="260">
      <calculatedColumnFormula>Таблица312[[#This Row],[SOTILGAN NARXI]]-Таблица312[[#This Row],[OLINGAN NARXI $]]-Таблица312[[#This Row],[RASXOD]]</calculatedColumnFormula>
    </tableColumn>
    <tableColumn id="13" xr3:uid="{47ED1C07-8217-411E-9E0B-F59AC85BB786}" name="Tel Egasini Nomeri" dataDxfId="259" totalsRowDxfId="258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195D6F4-3F44-4078-837B-32E6ED189E2E}" name="Таблица31213" displayName="Таблица31213" ref="A36:Q116" totalsRowCount="1" headerRowDxfId="257" totalsRowDxfId="256" totalsRowBorderDxfId="255">
  <autoFilter ref="A36:Q115" xr:uid="{B8C39E0B-1C57-4EC2-A6D7-C36F652177A7}"/>
  <tableColumns count="17">
    <tableColumn id="16" xr3:uid="{ED505558-34D9-4E2B-9217-E5748556B5CB}" name="Столбец1" dataDxfId="254" totalsRowDxfId="253"/>
    <tableColumn id="1" xr3:uid="{9A0002A1-EFEA-4D02-A498-149B40B1055B}" name="BREND" dataDxfId="252" totalsRowDxfId="251"/>
    <tableColumn id="2" xr3:uid="{1441CB7A-F9F2-45CB-A2B2-924285B7A694}" name=" MADEL" dataDxfId="250" totalsRowDxfId="249"/>
    <tableColumn id="3" xr3:uid="{7E821D76-4F35-496E-945E-D8FFFC92D2D4}" name="RANGI" dataDxfId="248" totalsRowDxfId="247"/>
    <tableColumn id="4" xr3:uid="{499DB000-7AE9-480F-9EE3-F8D570280E59}" name="KAROBKA" dataDxfId="246" totalsRowDxfId="245"/>
    <tableColumn id="5" xr3:uid="{137F8706-6A6C-4C7B-9AFB-1DD453C9DD79}" name="IMEI" dataDxfId="244" totalsRowDxfId="243"/>
    <tableColumn id="6" xr3:uid="{6B4F2DEE-7F3C-428A-A394-B5644C07B6AE}" name="AYBI " dataDxfId="242" totalsRowDxfId="241"/>
    <tableColumn id="7" xr3:uid="{705DEEF2-5B5A-447D-B50C-0A74A9B76136}" name="OLINGAN SANA" dataDxfId="240" totalsRowDxfId="239"/>
    <tableColumn id="8" xr3:uid="{6502FFD2-BFA6-48C7-91F0-602C7E8910BA}" name="OLINGAN NARXI $" dataDxfId="238" totalsRowDxfId="237"/>
    <tableColumn id="9" xr3:uid="{00B16FCA-9416-484F-B6CB-14CE009DAB8A}" name="RASXOD" dataDxfId="236" totalsRowDxfId="235"/>
    <tableColumn id="17" xr3:uid="{B080FCD6-D335-41A8-A990-451BF223512A}" name="ASAD QOSHDI" totalsRowFunction="custom" dataDxfId="234" totalsRowDxfId="233">
      <totalsRowFormula>SUM(K37:K115)</totalsRowFormula>
    </tableColumn>
    <tableColumn id="18" xr3:uid="{B35AC770-65AC-4DDF-BA8C-8F9F47788704}" name="IMRON QOSHDI" totalsRowFunction="custom" dataDxfId="232" totalsRowDxfId="231">
      <totalsRowFormula>SUM(L37:L115)</totalsRowFormula>
    </tableColumn>
    <tableColumn id="10" xr3:uid="{4335C325-E119-45D1-8222-79DAB63BE1FF}" name="SOTILGAN SANA" dataDxfId="230" totalsRowDxfId="229"/>
    <tableColumn id="14" xr3:uid="{22EF89ED-0B06-43C2-9723-8F133EC4D9D6}" name="TAN NARXI" dataDxfId="228" totalsRowDxfId="227"/>
    <tableColumn id="11" xr3:uid="{25283125-1E4E-4B6B-828D-0CA60635E7AC}" name="SOTILGAN NARXI" totalsRowFunction="custom" dataDxfId="226" totalsRowDxfId="225">
      <totalsRowFormula>SUM(O37:O115)</totalsRowFormula>
    </tableColumn>
    <tableColumn id="12" xr3:uid="{CCB8A861-2EBA-4CB5-B124-ED3E3D287A9E}" name="FOYDA" totalsRowFunction="custom" dataDxfId="224" totalsRowDxfId="223">
      <calculatedColumnFormula>Таблица31213[[#This Row],[SOTILGAN NARXI]]-Таблица31213[[#This Row],[OLINGAN NARXI $]]-Таблица31213[[#This Row],[RASXOD]]</calculatedColumnFormula>
      <totalsRowFormula>SUM(P37:P115)</totalsRowFormula>
    </tableColumn>
    <tableColumn id="13" xr3:uid="{A5763CC8-C59C-48B6-B58D-3445E1465A77}" name="Tel Egasini Nomeri" dataDxfId="222" totalsRowDxfId="221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EE4C7A4-EA23-4819-ACBB-E78D826DDF05}" name="Таблица316" displayName="Таблица316" ref="A1:O102" totalsRowShown="0" headerRowDxfId="220">
  <autoFilter ref="A1:O102" xr:uid="{8EE4C7A4-EA23-4819-ACBB-E78D826DDF05}"/>
  <tableColumns count="15">
    <tableColumn id="16" xr3:uid="{A213413E-2E61-4E24-B8A0-11B47DA8971E}" name="Столбец1" dataDxfId="219"/>
    <tableColumn id="1" xr3:uid="{307D0EDA-83B9-4A2B-8931-295CFD1EDDE0}" name="BREND" dataDxfId="218"/>
    <tableColumn id="2" xr3:uid="{417A340F-8A59-43DE-A49B-824E246F5AE5}" name=" MADEL" dataDxfId="217"/>
    <tableColumn id="3" xr3:uid="{1C75BBA4-359D-4A58-95D6-175BD619B25C}" name="RANGI" dataDxfId="216"/>
    <tableColumn id="4" xr3:uid="{BDC6DA90-7685-4D59-9550-CC8AF73308D5}" name="KAROBKA" dataDxfId="215"/>
    <tableColumn id="5" xr3:uid="{1DB421D0-5527-47E0-A4E0-F8946A6EB94F}" name="IMEI" dataDxfId="214"/>
    <tableColumn id="6" xr3:uid="{C3CBEE3E-CA52-4122-A5F3-B248C99DFAA4}" name="AYBI " dataDxfId="213"/>
    <tableColumn id="7" xr3:uid="{5C925D84-1BEB-4A8D-8DF5-2394B7862640}" name="OLINGAN SANA" dataDxfId="212"/>
    <tableColumn id="8" xr3:uid="{9B4AD609-6897-46F6-924B-BE39C10986A5}" name="OLINGAN NARXI $" dataDxfId="211"/>
    <tableColumn id="9" xr3:uid="{F0D8F080-7522-4977-A6C9-140ED52FD9E3}" name="RASXOD" dataDxfId="210"/>
    <tableColumn id="10" xr3:uid="{74F3031F-8F09-4CBE-9DAD-2ECB259A15E8}" name="SOTILGAN SANA" dataDxfId="209"/>
    <tableColumn id="14" xr3:uid="{C27FD657-2BED-451B-93FE-122D6B1377F5}" name="TAN NARXI" dataDxfId="208"/>
    <tableColumn id="11" xr3:uid="{89EDE18D-C614-40C6-BE05-F28AF96C93DC}" name="SOTILGAN NARXI" dataDxfId="207"/>
    <tableColumn id="12" xr3:uid="{8CC205E8-2099-4F3B-B9E6-B85ACEC46A36}" name="FOYDA" dataDxfId="206">
      <calculatedColumnFormula>Таблица316[[#This Row],[SOTILGAN NARXI]]-Таблица316[[#This Row],[TAN NARXI]]</calculatedColumnFormula>
    </tableColumn>
    <tableColumn id="13" xr3:uid="{B3FDB30E-20BF-4F6B-A4FE-DDC3C5DF8F31}" name="Tel Egasini Nomeri" dataDxfId="205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0D453E9-CCA3-4B73-9907-4D7DC14195A7}" name="Таблица375891011141517" displayName="Таблица375891011141517" ref="B1:O44" totalsRowShown="0" headerRowDxfId="204">
  <autoFilter ref="B1:O44" xr:uid="{60D453E9-CCA3-4B73-9907-4D7DC14195A7}"/>
  <tableColumns count="14">
    <tableColumn id="1" xr3:uid="{21BA5B72-B89E-4698-ACAC-6B2939DE6F1F}" name="BREND" dataDxfId="203"/>
    <tableColumn id="2" xr3:uid="{540C0FA2-E5F6-4EC4-95EB-02421C31CE99}" name=" MADEL" dataDxfId="202"/>
    <tableColumn id="3" xr3:uid="{20CE1C04-F3E8-4A4B-8366-B5CAB7C3BA0B}" name="RANGI" dataDxfId="201"/>
    <tableColumn id="4" xr3:uid="{A6B05034-02AC-4D7C-AF74-CFF08FAD1CD6}" name="KAROBKA" dataDxfId="200"/>
    <tableColumn id="5" xr3:uid="{EA0E26AE-E8AE-41EF-930A-2286F3109A18}" name="IMEI" dataDxfId="199"/>
    <tableColumn id="6" xr3:uid="{C46BD092-5FF3-4D9D-975F-30DE2B3B1E64}" name="AYBI " dataDxfId="198"/>
    <tableColumn id="7" xr3:uid="{616F962B-B442-4887-864B-9F38B1857B59}" name="OLINGAN SANA" dataDxfId="197"/>
    <tableColumn id="8" xr3:uid="{4A83763E-0859-474D-A792-D2BF2841FFDA}" name="OLINGAN NARXI $" dataDxfId="196"/>
    <tableColumn id="9" xr3:uid="{0DCEE829-9E80-4983-8575-B15CE3D60A3E}" name="RASXOD" dataDxfId="195"/>
    <tableColumn id="10" xr3:uid="{86F58631-336F-4A4D-BB06-696FC38608F3}" name="SOTILGAN SANA" dataDxfId="194"/>
    <tableColumn id="14" xr3:uid="{6F6B6A7E-CFB0-4307-BF43-484FEBF63A8D}" name="TAN NARXI" dataDxfId="193">
      <calculatedColumnFormula>Таблица375891011141517[[#This Row],[OLINGAN NARXI $]]+Таблица375891011141517[[#This Row],[RASXOD]]</calculatedColumnFormula>
    </tableColumn>
    <tableColumn id="11" xr3:uid="{44AAAFFC-7079-4447-B07B-18771BEE5470}" name="SOTILGAN NARXI" dataDxfId="192"/>
    <tableColumn id="12" xr3:uid="{6BD5048E-BCC6-47EA-8FB6-A5871A321AE8}" name="FOYDA" dataDxfId="191">
      <calculatedColumnFormula>Таблица375891011141517[[#This Row],[SOTILGAN NARXI]]-Таблица375891011141517[[#This Row],[OLINGAN NARXI $]]-Таблица375891011141517[[#This Row],[RASXOD]]</calculatedColumnFormula>
    </tableColumn>
    <tableColumn id="13" xr3:uid="{F9463B9C-BB7E-4946-A0B3-9939B7A4E8E4}" name="Tel Egasini Nomeri" dataDxfId="190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AF1838-C4EE-4CD2-9361-1E3885003C7C}" name="Таблица3" displayName="Таблица3" ref="A1:O245" totalsRowShown="0" headerRowDxfId="189">
  <autoFilter ref="A1:O245" xr:uid="{6BD2727D-F554-4BD0-9E27-77471AF5E171}"/>
  <tableColumns count="15">
    <tableColumn id="16" xr3:uid="{A0DD760E-5F5F-4C9E-8C36-F4E1CA9A8C43}" name="Столбец1" dataDxfId="188"/>
    <tableColumn id="1" xr3:uid="{23896EAE-02C6-4DFE-A6D6-1E9862E132B5}" name="BREND" dataDxfId="187"/>
    <tableColumn id="2" xr3:uid="{D8283DE5-4750-4637-8FE8-1C10C64DFF44}" name=" MADEL" dataDxfId="186"/>
    <tableColumn id="3" xr3:uid="{7A6CB486-50B3-49B5-8582-A31B8E73DF60}" name="RANGI" dataDxfId="185"/>
    <tableColumn id="4" xr3:uid="{D27960C3-DD46-4CC9-AA29-995765453D5C}" name="KAROBKA" dataDxfId="184"/>
    <tableColumn id="5" xr3:uid="{624633F2-DC47-4A4A-9C88-8F9CA61DB43A}" name="IMEI" dataDxfId="183"/>
    <tableColumn id="6" xr3:uid="{5675278E-EC31-4AE2-803D-54EAB7B064ED}" name="AYBI " dataDxfId="182"/>
    <tableColumn id="7" xr3:uid="{C8313C80-7098-4221-A253-AC048A93BEEB}" name="OLINGAN SANA" dataDxfId="181"/>
    <tableColumn id="8" xr3:uid="{1A18D3B2-D269-4F08-B2E1-9A0CF4F74223}" name="OLINGAN NARXI $" dataDxfId="180"/>
    <tableColumn id="9" xr3:uid="{D2B688AF-AEBB-402A-BC7D-381BC8AF08A9}" name="RASXOD" dataDxfId="179"/>
    <tableColumn id="10" xr3:uid="{2E9D5527-C510-46EC-BFD2-72C0A3A9885B}" name="SOTILGAN SANA" dataDxfId="178"/>
    <tableColumn id="14" xr3:uid="{64CCA12E-161B-487A-A28B-68CA9CA5D615}" name="TAN NARXI" dataDxfId="177"/>
    <tableColumn id="11" xr3:uid="{7A91904C-4B05-4637-A2C5-9FE979864EA7}" name="SOTILGAN NARXI" dataDxfId="176"/>
    <tableColumn id="12" xr3:uid="{EFBEA28B-424A-491A-AE8D-0A1A9E6454C9}" name="FOYDA" dataDxfId="175">
      <calculatedColumnFormula>Таблица3[[#This Row],[SOTILGAN NARXI]]-Таблица3[[#This Row],[OLINGAN NARXI $]]-Таблица3[[#This Row],[RASXOD]]</calculatedColumnFormula>
    </tableColumn>
    <tableColumn id="13" xr3:uid="{AEE20798-8C29-472D-B8D2-18BBF6E29654}" name="Tel Egasini Nomeri" dataDxfId="174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A9FB503-4768-4D30-AFB1-63B77ACB6AB3}" name="Таблица375891011141518" displayName="Таблица375891011141518" ref="B1:O78" totalsRowShown="0" headerRowDxfId="173">
  <autoFilter ref="B1:O78" xr:uid="{CA9FB503-4768-4D30-AFB1-63B77ACB6AB3}"/>
  <tableColumns count="14">
    <tableColumn id="1" xr3:uid="{115EABC0-8C86-4F27-BBC2-ABBEB1670DFC}" name="BREND" dataDxfId="172"/>
    <tableColumn id="2" xr3:uid="{A74F30CA-5843-4F8F-A1C5-3002AE5CB2B1}" name=" MADEL" dataDxfId="171"/>
    <tableColumn id="3" xr3:uid="{D6779DB8-632A-4BC9-A13E-92484D1E44F1}" name="RANGI" dataDxfId="170"/>
    <tableColumn id="4" xr3:uid="{1C21942C-4E2F-459C-ADC7-BF55FD978886}" name="KAROBKA" dataDxfId="169"/>
    <tableColumn id="5" xr3:uid="{BA93102B-78C8-4161-A570-436348F8D39F}" name="IMEI" dataDxfId="168"/>
    <tableColumn id="6" xr3:uid="{BF2ED850-E884-4C28-98DC-E20A4258B984}" name="AYBI " dataDxfId="167"/>
    <tableColumn id="7" xr3:uid="{833DA7DB-294D-4C2E-A969-A26F7CB72E6E}" name="OLINGAN SANA" dataDxfId="166"/>
    <tableColumn id="8" xr3:uid="{3B3CF05D-9DA5-4740-B787-2EAE9CEA2FE7}" name="OLINGAN NARXI $" dataDxfId="165"/>
    <tableColumn id="9" xr3:uid="{334421B7-C04E-4279-810D-0A0A2598B4C0}" name="RASXOD" dataDxfId="164"/>
    <tableColumn id="10" xr3:uid="{808374E6-ECA9-4FC0-950C-4A604CA68687}" name="SOTILGAN SANA" dataDxfId="163"/>
    <tableColumn id="14" xr3:uid="{7CC6A27F-C920-4FFD-B765-618E37523B46}" name="TAN NARXI" dataDxfId="162">
      <calculatedColumnFormula>Таблица375891011141518[[#This Row],[OLINGAN NARXI $]]+Таблица375891011141518[[#This Row],[RASXOD]]</calculatedColumnFormula>
    </tableColumn>
    <tableColumn id="11" xr3:uid="{3E075F5B-2A19-4D8C-A639-AE968CBFC7C9}" name="SOTILGAN NARXI" dataDxfId="161"/>
    <tableColumn id="12" xr3:uid="{31A73030-888C-4EA0-BC06-F5E5A73B037F}" name="FOYDA" dataDxfId="160">
      <calculatedColumnFormula>Таблица375891011141518[[#This Row],[SOTILGAN NARXI]]-Таблица375891011141518[[#This Row],[OLINGAN NARXI $]]-Таблица375891011141518[[#This Row],[RASXOD]]</calculatedColumnFormula>
    </tableColumn>
    <tableColumn id="13" xr3:uid="{1414BFA8-7E16-4A2A-9ECF-97FEE698F3D9}" name="Tel Egasini Nomeri" dataDxfId="159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362421C-1FC8-4AD8-AD9A-102D71626B8D}" name="Таблица3758910111415" displayName="Таблица3758910111415" ref="B1:O228" totalsRowShown="0" headerRowDxfId="158">
  <autoFilter ref="B1:O228" xr:uid="{8362421C-1FC8-4AD8-AD9A-102D71626B8D}"/>
  <tableColumns count="14">
    <tableColumn id="1" xr3:uid="{8C1C84A9-8240-4627-ADCA-88836EFFE1E7}" name="BREND" dataDxfId="157"/>
    <tableColumn id="2" xr3:uid="{41BC7F7F-BE0B-4777-8309-CD4FB17C3532}" name=" MADEL" dataDxfId="156"/>
    <tableColumn id="3" xr3:uid="{8F3FEBA5-466C-4311-9ECA-8F7809D6B972}" name="RANGI" dataDxfId="155"/>
    <tableColumn id="4" xr3:uid="{9D5C0FB7-815E-4246-BB26-1A3D1B5974E2}" name="KAROBKA" dataDxfId="154"/>
    <tableColumn id="5" xr3:uid="{44A25EB8-45DF-4052-B870-2F3719507795}" name="IMEI" dataDxfId="153"/>
    <tableColumn id="6" xr3:uid="{EAC3B47D-69F8-468F-B53F-FFF084BC2AD5}" name="AYBI " dataDxfId="152"/>
    <tableColumn id="7" xr3:uid="{FB39D4D8-5BAC-45B0-8FB8-576652A51065}" name="OLINGAN SANA" dataDxfId="151"/>
    <tableColumn id="8" xr3:uid="{1BEFF066-53CA-4A3C-AC65-D50E45221F95}" name="OLINGAN NARXI $" dataDxfId="150"/>
    <tableColumn id="9" xr3:uid="{C5790651-3E2D-44B3-9D43-A1D6C1DB4F2E}" name="RASXOD" dataDxfId="149"/>
    <tableColumn id="10" xr3:uid="{8FD6CE3E-FEC0-44EA-9283-316618EC87F4}" name="SOTILGAN SANA" dataDxfId="148"/>
    <tableColumn id="14" xr3:uid="{F1F0395D-677A-4505-ACFC-9C67D4A7A68E}" name="TAN NARXI" dataDxfId="147">
      <calculatedColumnFormula>Таблица3758910111415[[#This Row],[OLINGAN NARXI $]]+Таблица3758910111415[[#This Row],[RASXOD]]</calculatedColumnFormula>
    </tableColumn>
    <tableColumn id="11" xr3:uid="{0FA2961D-08F7-4965-A8B6-FE148AAB32BA}" name="SOTILGAN NARXI" dataDxfId="146"/>
    <tableColumn id="12" xr3:uid="{A005DF54-394C-4CCC-ABE6-BDB3880003D2}" name="FOYDA" dataDxfId="145">
      <calculatedColumnFormula>Таблица3758910111415[[#This Row],[SOTILGAN NARXI]]-Таблица3758910111415[[#This Row],[OLINGAN NARXI $]]-Таблица3758910111415[[#This Row],[RASXOD]]</calculatedColumnFormula>
    </tableColumn>
    <tableColumn id="13" xr3:uid="{D1DDA5DC-C7D9-45DA-A2FE-731F3AFBA8A0}" name="Tel Egasini Nomeri" dataDxfId="144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32406B1-3B57-48C3-88FC-D0E599416DCA}" name="Таблица37589101114" displayName="Таблица37589101114" ref="B1:O221" totalsRowShown="0" headerRowDxfId="143">
  <autoFilter ref="B1:O221" xr:uid="{D396842F-95CF-42AA-95F4-CAEA78258D5D}"/>
  <tableColumns count="14">
    <tableColumn id="1" xr3:uid="{5B6A0DD7-F735-45CF-87D4-5DE362B0C7BB}" name="BREND" dataDxfId="142"/>
    <tableColumn id="2" xr3:uid="{027FD858-F957-409E-A1F8-AC36720F591C}" name=" MADEL" dataDxfId="141"/>
    <tableColumn id="3" xr3:uid="{D3CACA48-4002-4CA5-A780-62260A62D45D}" name="RANGI" dataDxfId="140"/>
    <tableColumn id="4" xr3:uid="{748C12EF-FC9F-4795-BBE6-1311710D6CFD}" name="KAROBKA" dataDxfId="139"/>
    <tableColumn id="5" xr3:uid="{8CF16ECE-569F-46CA-B966-DA144FE7B14F}" name="IMEI" dataDxfId="138"/>
    <tableColumn id="6" xr3:uid="{9905E156-F7E0-4F31-B9E5-71FD015EA850}" name="AYBI " dataDxfId="137"/>
    <tableColumn id="7" xr3:uid="{5860F0E0-4E85-418B-986F-C5E2F92B8A2A}" name="OLINGAN SANA" dataDxfId="136"/>
    <tableColumn id="8" xr3:uid="{7A529961-A269-48BD-B146-5B4D0A7C7F5D}" name="OLINGAN NARXI $" dataDxfId="135"/>
    <tableColumn id="9" xr3:uid="{767C7469-22F3-4906-AD88-D2E38753D12A}" name="RASXOD" dataDxfId="134"/>
    <tableColumn id="10" xr3:uid="{7681C162-CAC2-40DC-A1C4-422A85B56A80}" name="SOTILGAN SANA" dataDxfId="133"/>
    <tableColumn id="14" xr3:uid="{982786F1-EB94-4EC6-B8A9-F7F94A738BE2}" name="TAN NARXI" dataDxfId="132">
      <calculatedColumnFormula>Таблица37589101114[[#This Row],[OLINGAN NARXI $]]+Таблица37589101114[[#This Row],[RASXOD]]</calculatedColumnFormula>
    </tableColumn>
    <tableColumn id="11" xr3:uid="{7C4D6991-EB6F-4B7E-A91A-090133F1B7E7}" name="SOTILGAN NARXI" dataDxfId="131"/>
    <tableColumn id="12" xr3:uid="{6E90AF49-A455-411D-AC6E-16E52A749C22}" name="FOYDA" dataDxfId="130">
      <calculatedColumnFormula>Таблица37589101114[[#This Row],[SOTILGAN NARXI]]-Таблица37589101114[[#This Row],[OLINGAN NARXI $]]-Таблица37589101114[[#This Row],[RASXOD]]</calculatedColumnFormula>
    </tableColumn>
    <tableColumn id="13" xr3:uid="{9D8CE7CE-D39B-4A93-AE8F-113649FD8F38}" name="Tel Egasini Nomeri" dataDxfId="129"/>
  </tableColumns>
  <tableStyleInfo name="TableStyleLight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5F15FAC-D626-49A2-8E0F-94C05EB9026A}" name="Таблица375891011" displayName="Таблица375891011" ref="B1:O219" totalsRowShown="0" headerRowDxfId="128">
  <autoFilter ref="B1:O219" xr:uid="{30240AF1-6FE2-43C7-B172-F2BB7544F66C}"/>
  <tableColumns count="14">
    <tableColumn id="1" xr3:uid="{DC3B9CEC-1A5A-4B75-96A5-9798725DC9BF}" name="BREND" dataDxfId="127"/>
    <tableColumn id="2" xr3:uid="{756A24E9-7F32-4D95-8779-26554FDB00EB}" name=" MADEL" dataDxfId="126"/>
    <tableColumn id="3" xr3:uid="{DE83CAC0-8C4A-4E56-A022-393D540A9608}" name="RANGI" dataDxfId="125"/>
    <tableColumn id="4" xr3:uid="{73A90DBA-EE1D-4ED9-AC5C-190B092E10CE}" name="KAROBKA" dataDxfId="124"/>
    <tableColumn id="5" xr3:uid="{8A5E0E67-E1CA-4E8E-98F1-506D979AC29F}" name="IMEI" dataDxfId="123"/>
    <tableColumn id="6" xr3:uid="{66C8B5EC-8EA2-4B70-AB4E-8E0F8A8250F5}" name="AYBI " dataDxfId="122"/>
    <tableColumn id="7" xr3:uid="{60272D56-5EFC-4B84-87DD-70AFDE531572}" name="OLINGAN SANA" dataDxfId="121"/>
    <tableColumn id="8" xr3:uid="{745B9E96-4A18-4A4E-B0B5-843B17F33906}" name="OLINGAN NARXI $" dataDxfId="120"/>
    <tableColumn id="9" xr3:uid="{2F1FE7EA-50B9-4670-ACDF-FFEC3304123E}" name="RASXOD" dataDxfId="119"/>
    <tableColumn id="10" xr3:uid="{7DC84E63-67AB-409A-B733-E64C5EB72BE9}" name="SOTILGAN SANA" dataDxfId="118"/>
    <tableColumn id="14" xr3:uid="{80AFAFD4-3445-43D3-8629-07FCDDE8D1FE}" name="TAN NARXI" dataDxfId="117">
      <calculatedColumnFormula>Таблица375891011[[#This Row],[OLINGAN NARXI $]]+Таблица375891011[[#This Row],[RASXOD]]</calculatedColumnFormula>
    </tableColumn>
    <tableColumn id="11" xr3:uid="{06872D4A-8779-4A5F-988D-8F8DB5F3602E}" name="SOTILGAN NARXI" dataDxfId="116"/>
    <tableColumn id="12" xr3:uid="{1211E2FB-B689-4842-BB21-22DE361F632B}" name="FOYDA" dataDxfId="115">
      <calculatedColumnFormula>Таблица375891011[[#This Row],[SOTILGAN NARXI]]-Таблица375891011[[#This Row],[OLINGAN NARXI $]]-Таблица375891011[[#This Row],[RASXOD]]</calculatedColumnFormula>
    </tableColumn>
    <tableColumn id="13" xr3:uid="{1783E4C8-F778-4C0D-B43E-D7EC5DA8C893}" name="Tel Egasini Nomeri" dataDxfId="114"/>
  </tableColumns>
  <tableStyleInfo name="TableStyleLight1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E33F8B1-6AB5-484D-AD52-14FDA7A16D79}" name="Таблица3758910" displayName="Таблица3758910" ref="B1:O233" totalsRowShown="0" headerRowDxfId="113">
  <autoFilter ref="B1:O233" xr:uid="{4DD453FD-D6F7-4BA5-A7C4-9904DA58C03E}"/>
  <tableColumns count="14">
    <tableColumn id="1" xr3:uid="{C9E680C0-3698-403C-98FD-FB1FC9C24F2B}" name="BREND" dataDxfId="112"/>
    <tableColumn id="2" xr3:uid="{401E0AD0-8B95-475A-A88D-15391C0FABF3}" name=" MADEL" dataDxfId="111"/>
    <tableColumn id="3" xr3:uid="{DBEC3DF5-D715-4900-A73E-0B7CF1582346}" name="RANGI" dataDxfId="110"/>
    <tableColumn id="4" xr3:uid="{3C38151E-7984-42A4-9855-F3030DF2983A}" name="KAROBKA" dataDxfId="109"/>
    <tableColumn id="5" xr3:uid="{B6794822-EAA9-43E7-BE23-F05B9E7D7D5D}" name="IMEI" dataDxfId="108"/>
    <tableColumn id="6" xr3:uid="{5F9CED10-C235-4AC9-8B75-27B655002818}" name="AYBI " dataDxfId="107"/>
    <tableColumn id="7" xr3:uid="{93F02A54-AEDD-422B-9217-C73C58980CEC}" name="OLINGAN SANA" dataDxfId="106"/>
    <tableColumn id="8" xr3:uid="{0103530A-B63F-40B6-9A8B-15D446967136}" name="OLINGAN NARXI $" dataDxfId="105"/>
    <tableColumn id="9" xr3:uid="{B4876D05-F65F-4471-800D-D28DDDD3F597}" name="RASXOD" dataDxfId="104"/>
    <tableColumn id="10" xr3:uid="{0399CF7B-C0BF-4763-BCC7-E7A8B0168FF9}" name="SOTILGAN SANA" dataDxfId="103"/>
    <tableColumn id="14" xr3:uid="{40F9BBA0-BD04-4400-8E2C-72A293ABD8FF}" name="TAN NARXI" dataDxfId="102">
      <calculatedColumnFormula>Таблица3758910[[#This Row],[OLINGAN NARXI $]]+Таблица3758910[[#This Row],[RASXOD]]</calculatedColumnFormula>
    </tableColumn>
    <tableColumn id="11" xr3:uid="{9F6AFBA3-266C-4E98-AE5F-E6512FAFD86C}" name="SOTILGAN NARXI" dataDxfId="101"/>
    <tableColumn id="12" xr3:uid="{6001C1DF-8924-4A15-9FE7-810CF5B89E46}" name="FOYDA" dataDxfId="100">
      <calculatedColumnFormula>Таблица3758910[[#This Row],[SOTILGAN NARXI]]-Таблица3758910[[#This Row],[OLINGAN NARXI $]]-Таблица3758910[[#This Row],[RASXOD]]</calculatedColumnFormula>
    </tableColumn>
    <tableColumn id="13" xr3:uid="{78B1399B-36F5-4E63-B40A-DD42F0143CBC}" name="Tel Egasini Nomeri" dataDxfId="99"/>
  </tableColumns>
  <tableStyleInfo name="TableStyleLight1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3CF6FA-AC53-46E6-8155-F3E8F0E2EA56}" name="Таблица37589" displayName="Таблица37589" ref="A1:N219" totalsRowShown="0" headerRowDxfId="98">
  <autoFilter ref="A1:N219" xr:uid="{B9C96B33-EE64-45ED-986A-9DA33324D2F7}"/>
  <tableColumns count="14">
    <tableColumn id="1" xr3:uid="{3D93F179-3503-4D0A-B8F6-60AFC7E72A52}" name="BREND" dataDxfId="97"/>
    <tableColumn id="2" xr3:uid="{69F2F1C5-A8B6-45EA-A5B9-51C6F4624DA0}" name=" MADEL" dataDxfId="96"/>
    <tableColumn id="3" xr3:uid="{B7D31492-AE56-43CF-A387-CD3BB0BB81F8}" name="RANGI" dataDxfId="95"/>
    <tableColumn id="4" xr3:uid="{1C21958F-D04D-4E64-83E6-1E5E1F3D0E98}" name="KAROBKA" dataDxfId="94"/>
    <tableColumn id="5" xr3:uid="{99409117-C2D2-49DA-B797-48DC30C573ED}" name="IMEI" dataDxfId="93"/>
    <tableColumn id="6" xr3:uid="{62D8A78E-9DE0-4D6F-BA71-BDC38FEB329E}" name="AYBI " dataDxfId="92"/>
    <tableColumn id="7" xr3:uid="{73348EFF-E656-4A08-86F9-16FF4A867615}" name="OLINGAN SANA" dataDxfId="91"/>
    <tableColumn id="8" xr3:uid="{CC96679D-568B-4C22-939C-1A696B350D6E}" name="OLINGAN NARXI $" dataDxfId="90"/>
    <tableColumn id="9" xr3:uid="{2A3A0CEF-A140-4D0B-9D3C-2CE562804F1D}" name="RASXOD" dataDxfId="89"/>
    <tableColumn id="10" xr3:uid="{CAF795DF-FC7C-4014-B274-17FD09096C7C}" name="SOTILGAN SANA" dataDxfId="88"/>
    <tableColumn id="14" xr3:uid="{332BA694-0270-4924-B83B-91ABE68693DC}" name="TAN NARXI" dataDxfId="87">
      <calculatedColumnFormula>Таблица37589[[#This Row],[OLINGAN NARXI $]]+Таблица37589[[#This Row],[RASXOD]]</calculatedColumnFormula>
    </tableColumn>
    <tableColumn id="11" xr3:uid="{C9459DF4-D13F-4349-8128-BEADE3C69A6B}" name="SOTILGAN NARXI" dataDxfId="86"/>
    <tableColumn id="12" xr3:uid="{EA45722F-A376-469D-BFB7-7E089E2B3277}" name="FOYDA" dataDxfId="85">
      <calculatedColumnFormula>Таблица37589[[#This Row],[SOTILGAN NARXI]]-Таблица37589[[#This Row],[OLINGAN NARXI $]]-Таблица37589[[#This Row],[RASXOD]]</calculatedColumnFormula>
    </tableColumn>
    <tableColumn id="13" xr3:uid="{98F10C77-711D-43FC-97D6-508593F769AD}" name="Tel Egasini Nomeri" dataDxfId="84"/>
  </tableColumns>
  <tableStyleInfo name="TableStyleLight1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365CDD-9A4E-409D-9BB2-6B820B6F511F}" name="Таблица3758" displayName="Таблица3758" ref="A1:M140" totalsRowShown="0" headerRowDxfId="83">
  <autoFilter ref="A1:M140" xr:uid="{2D5C35ED-DCBD-4C3E-A6C8-50BB3660C98A}"/>
  <tableColumns count="13">
    <tableColumn id="1" xr3:uid="{BAF93E1A-DAFE-499E-86E4-EAE4F4F1F701}" name="BREND" dataDxfId="82"/>
    <tableColumn id="2" xr3:uid="{17ED993B-01A5-4C12-A184-06BEBEE6B8E7}" name=" MADEL" dataDxfId="81"/>
    <tableColumn id="3" xr3:uid="{66E6105C-A39D-4D09-94AF-C9C69DE93A75}" name="RANGI" dataDxfId="80"/>
    <tableColumn id="4" xr3:uid="{7A3E0980-259B-4B77-8D6D-98ACB577AB90}" name="KAROBKA" dataDxfId="79"/>
    <tableColumn id="5" xr3:uid="{8922B8EE-FC79-4AD1-95E2-CF10831413E3}" name="IMEI" dataDxfId="78"/>
    <tableColumn id="6" xr3:uid="{00284176-92B4-4874-9F35-910C1CEC2AF3}" name="AYBI " dataDxfId="77"/>
    <tableColumn id="7" xr3:uid="{7E9D2D95-432E-4DD0-9117-A9CC1B5AE79D}" name="OLINGAN SANA" dataDxfId="76"/>
    <tableColumn id="8" xr3:uid="{D1A2E976-48FC-46FA-929E-C8A20CB96BFB}" name="OLINGAN NARXI $" dataDxfId="75"/>
    <tableColumn id="9" xr3:uid="{74A42487-1877-493A-97DA-97F18F4ECEC6}" name="RASXOD" dataDxfId="74"/>
    <tableColumn id="10" xr3:uid="{ECBCE7BE-DE46-4AA8-A115-7D94A3C98155}" name="SOTILGAN SANA" dataDxfId="73"/>
    <tableColumn id="11" xr3:uid="{172229BD-C359-4A6C-BF7B-3DDCF58ADD99}" name="SOTILGAN NARXI" dataDxfId="72"/>
    <tableColumn id="12" xr3:uid="{CB0C14E0-6CD9-4CD8-BC1D-DADF8F29C03A}" name="FOYDA" dataDxfId="71">
      <calculatedColumnFormula>Таблица3758[[#This Row],[SOTILGAN NARXI]]-Таблица3758[[#This Row],[OLINGAN NARXI $]]-Таблица3758[[#This Row],[RASXOD]]</calculatedColumnFormula>
    </tableColumn>
    <tableColumn id="13" xr3:uid="{A0D9BF35-4D1E-45D4-ACE4-C5C07487FF53}" name="Tel Egasini Nomeri" dataDxfId="70"/>
  </tableColumns>
  <tableStyleInfo name="TableStyleLight1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EA6475-5EC6-4026-9999-369881B71751}" name="Таблица375" displayName="Таблица375" ref="A1:M123" totalsRowShown="0" headerRowDxfId="69">
  <autoFilter ref="A1:M123" xr:uid="{49E57CDB-30A0-49E0-BE3E-3DDE632FBC5D}"/>
  <tableColumns count="13">
    <tableColumn id="1" xr3:uid="{0B2F7718-7CAF-487A-A721-66F11ED78B01}" name="BREND" dataDxfId="68"/>
    <tableColumn id="2" xr3:uid="{E0B2F896-9636-4F53-B14A-ABE5E028FB5B}" name=" MADEL" dataDxfId="67"/>
    <tableColumn id="3" xr3:uid="{0716A997-0F6D-44F4-A24E-0B84FF6C7F9F}" name="RANGI" dataDxfId="66"/>
    <tableColumn id="4" xr3:uid="{36995D9F-90F1-4222-B2DC-98FB1897592C}" name="KAROBKA" dataDxfId="65"/>
    <tableColumn id="5" xr3:uid="{28ABBDB9-EE03-424D-B026-E467BF27C441}" name="IMEI" dataDxfId="64"/>
    <tableColumn id="6" xr3:uid="{B551E284-9C28-45C9-901A-12EA44ECE721}" name="AYBI " dataDxfId="63"/>
    <tableColumn id="7" xr3:uid="{E0D8822C-42AE-4972-BE70-8490F0B8B383}" name="OLINGAN SANA" dataDxfId="62"/>
    <tableColumn id="8" xr3:uid="{F7B876DB-9567-444C-96FF-27E7F9869C55}" name="OLINGAN NARXI $" dataDxfId="61"/>
    <tableColumn id="9" xr3:uid="{C8DE4068-9E30-4E9D-AD43-43D487A36A58}" name="RASXOD" dataDxfId="60"/>
    <tableColumn id="10" xr3:uid="{A2A19F9B-717F-4796-91D1-A32DAE7D9108}" name="SOTILGAN SANA" dataDxfId="59"/>
    <tableColumn id="11" xr3:uid="{494C9202-01B1-4D4A-8F96-79360C60DD58}" name="SOTILGAN NARXI" dataDxfId="58"/>
    <tableColumn id="12" xr3:uid="{E0669FC5-E134-4D8A-8929-6489D12B11DC}" name="FOYDA" dataDxfId="57">
      <calculatedColumnFormula>Таблица375[[#This Row],[SOTILGAN NARXI]]-Таблица375[[#This Row],[OLINGAN NARXI $]]-Таблица375[[#This Row],[RASXOD]]</calculatedColumnFormula>
    </tableColumn>
    <tableColumn id="13" xr3:uid="{49DE055A-48CA-40C1-AF99-D302F8869AFE}" name="Tel Egasini Nomeri" dataDxfId="56"/>
  </tableColumns>
  <tableStyleInfo name="TableStyleLight1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910432D-9035-49EC-98D1-78E729944EE1}" name="Таблица37" displayName="Таблица37" ref="A1:M142" totalsRowShown="0" headerRowDxfId="55">
  <autoFilter ref="A1:M142" xr:uid="{99E4A754-6CF6-4E75-B68C-6DCEABA69D3D}"/>
  <tableColumns count="13">
    <tableColumn id="1" xr3:uid="{4E98DF0B-7CA1-485F-8771-5C89F963D9B9}" name="BREND" dataDxfId="54"/>
    <tableColumn id="2" xr3:uid="{63A326B4-100E-4F75-B461-4DEA30E2AB9A}" name=" MADEL" dataDxfId="53"/>
    <tableColumn id="3" xr3:uid="{8BEFB3B3-234E-46A1-86C6-B8E22D22506F}" name="RANGI" dataDxfId="52"/>
    <tableColumn id="4" xr3:uid="{54107D1D-A804-4CB8-9FBE-9AA5592C74E5}" name="KAROBKA" dataDxfId="51"/>
    <tableColumn id="5" xr3:uid="{143B4135-D9C2-43AF-8886-FA5A71170474}" name="IMEI" dataDxfId="50"/>
    <tableColumn id="6" xr3:uid="{E112804E-56A9-4043-97C7-F832B4F0539A}" name="AYBI " dataDxfId="49"/>
    <tableColumn id="7" xr3:uid="{15907BA3-1040-4526-B448-56732025A053}" name="OLINGAN SANA" dataDxfId="48"/>
    <tableColumn id="8" xr3:uid="{1AD665F4-7519-4055-BE5A-F885193720A3}" name="OLINGAN NARXI $" dataDxfId="47"/>
    <tableColumn id="9" xr3:uid="{BA1B456D-AB60-4032-A1AE-2B94BF3CFA6C}" name="RASXOD" dataDxfId="46"/>
    <tableColumn id="10" xr3:uid="{C66CA38A-EC96-4722-835F-FFD92EB2AA18}" name="SOTILGAN SANA" dataDxfId="45"/>
    <tableColumn id="11" xr3:uid="{C1B8AE23-AA98-45A2-8DBE-7BEEFFB54AC1}" name="SOTILGAN NARXI" dataDxfId="44"/>
    <tableColumn id="12" xr3:uid="{E13885B2-30A5-4E2A-B3CA-32694614DBA2}" name="FOYDA" dataDxfId="43">
      <calculatedColumnFormula>Таблица37[[#This Row],[SOTILGAN NARXI]]-Таблица37[[#This Row],[OLINGAN NARXI $]]-Таблица37[[#This Row],[RASXOD]]</calculatedColumnFormula>
    </tableColumn>
    <tableColumn id="13" xr3:uid="{11826D21-4575-4BF7-A9E7-A796D8E1CDE7}" name="Tel Egasini Nomeri" dataDxfId="42"/>
  </tableColumns>
  <tableStyleInfo name="TableStyleLight1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203068-BF26-4652-A9BC-4F4A2BBB9CEF}" name="Таблица3236" displayName="Таблица3236" ref="A1:M169" totalsRowShown="0" headerRowDxfId="41">
  <autoFilter ref="A1:M169" xr:uid="{E42F40A6-3E9F-4BCB-AD3A-EA84D6963D7D}"/>
  <tableColumns count="13">
    <tableColumn id="1" xr3:uid="{1A366072-203B-44ED-87D0-9C584BD494CD}" name="BREND" dataDxfId="40"/>
    <tableColumn id="2" xr3:uid="{6E1BCD0B-E09B-4196-BA14-E3737DB86B1F}" name=" MADEL" dataDxfId="39"/>
    <tableColumn id="3" xr3:uid="{09AB8272-EB6A-458C-B2AB-4E40BB2CCD2A}" name="RANGI" dataDxfId="38"/>
    <tableColumn id="4" xr3:uid="{D23B4650-03A8-4DA5-90FA-EAA39D3E3FD9}" name="KAROBKA" dataDxfId="37"/>
    <tableColumn id="5" xr3:uid="{757F9F3C-BAA6-4A4C-87F6-0D9F987A0E8E}" name="IMEI" dataDxfId="36"/>
    <tableColumn id="6" xr3:uid="{96F8741E-C3D8-4DD6-A3BB-5FECD53FF189}" name="AYBI " dataDxfId="35"/>
    <tableColumn id="7" xr3:uid="{739C2B6D-DDDF-41CA-A950-E19E17BD0900}" name="OLINGAN SANA" dataDxfId="34"/>
    <tableColumn id="8" xr3:uid="{C72292E3-901E-4D1A-897E-139EC204B8D0}" name="OLINGAN NARXI $" dataDxfId="33"/>
    <tableColumn id="9" xr3:uid="{75AD8C9D-310D-429C-A048-C5E7EC6A7849}" name="RASXOD" dataDxfId="32"/>
    <tableColumn id="10" xr3:uid="{EA92D91D-EE92-4FFB-AE8A-79821BAEA3F4}" name="SOTILGAN SANA" dataDxfId="31"/>
    <tableColumn id="11" xr3:uid="{B5236DB7-C563-4AF9-8481-ADF1B17C2C27}" name="SOTILGAN NARXI" dataDxfId="30"/>
    <tableColumn id="12" xr3:uid="{DC56A1DD-7248-42C2-91BD-F08DD20B2DF8}" name="FOYDA" dataDxfId="29"/>
    <tableColumn id="13" xr3:uid="{F8D49889-0E35-43BD-933C-548E59ED98E0}" name="Tel Egasini Nomeri" dataDxfId="28"/>
  </tableColumns>
  <tableStyleInfo name="TableStyleLight1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C6727A-D144-4D80-8719-59CC90E88C5D}" name="Таблица323" displayName="Таблица323" ref="A1:M195" totalsRowShown="0" headerRowDxfId="27">
  <autoFilter ref="A1:M195" xr:uid="{ECACBA12-CD24-4139-B649-F4789FC58396}"/>
  <tableColumns count="13">
    <tableColumn id="1" xr3:uid="{7623C2DC-4293-4351-B27B-3980E82DCA43}" name="BREND" dataDxfId="26"/>
    <tableColumn id="2" xr3:uid="{0AA9BBF4-A6BE-4034-ACAF-59B2AE01EAA9}" name=" MADEL" dataDxfId="25"/>
    <tableColumn id="3" xr3:uid="{3043A712-352B-4D4B-A8C9-75D07F108F87}" name="RANGI" dataDxfId="24"/>
    <tableColumn id="4" xr3:uid="{9029AE97-026A-49CC-99FB-614FF65CDBF4}" name="KAROBKA" dataDxfId="23"/>
    <tableColumn id="5" xr3:uid="{DF8CA973-C2EC-48AB-BB64-A33616A720E4}" name="IMEI" dataDxfId="22"/>
    <tableColumn id="6" xr3:uid="{51B6053E-CEA5-487E-B68D-12488D43EB5F}" name="AYBI " dataDxfId="21"/>
    <tableColumn id="7" xr3:uid="{F1C5CBE4-48CE-4588-9F6E-98620B9DFED0}" name="OLINGAN SANA" dataDxfId="20"/>
    <tableColumn id="8" xr3:uid="{7CF18BF6-833B-49BB-8658-2C63C7404B5C}" name="OLINGAN NARXI $" dataDxfId="19"/>
    <tableColumn id="9" xr3:uid="{2DF807BE-C8E8-408F-BA98-A7979CED3372}" name="RASXOD" dataDxfId="18"/>
    <tableColumn id="10" xr3:uid="{D8861F7F-F3B7-4130-A85E-F40C061A2A6C}" name="SOTILGAN SANA" dataDxfId="17"/>
    <tableColumn id="11" xr3:uid="{4B4FDA89-D721-480F-AB2C-A95C6113E6EE}" name="SOTILGAN NARXI" dataDxfId="16"/>
    <tableColumn id="12" xr3:uid="{97B3541D-0CC3-42D9-9122-76FB189D1253}" name="FOYDA" dataDxfId="15">
      <calculatedColumnFormula>Таблица323[[#This Row],[SOTILGAN NARXI]]-Таблица323[[#This Row],[OLINGAN NARXI $]]-Таблица323[[#This Row],[RASXOD]]</calculatedColumnFormula>
    </tableColumn>
    <tableColumn id="13" xr3:uid="{E88A2C76-FBFB-48A1-BFA6-C043EAE13CEE}" name="Tel Egasini Nomeri" dataDxfId="14"/>
  </tableColumns>
  <tableStyleInfo name="TableStyleLight1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169D8D-1976-49F1-9300-B82EA7EF22F3}" name="Таблица32" displayName="Таблица32" ref="A1:M167" totalsRowShown="0" headerRowDxfId="13">
  <autoFilter ref="A1:M167" xr:uid="{268504D4-2101-4CF3-8FFF-6FC99FFE6B0E}"/>
  <tableColumns count="13">
    <tableColumn id="1" xr3:uid="{8F85040F-E2F3-40D7-A6DB-04F96A7405FE}" name="BREND" dataDxfId="12"/>
    <tableColumn id="2" xr3:uid="{C12A89C5-DA8D-4C7A-B1E8-7C6D2CA3CFFC}" name=" MADEL" dataDxfId="11"/>
    <tableColumn id="3" xr3:uid="{4731ED20-2D30-49C4-B3D0-4B265CAED64A}" name="RANGI" dataDxfId="10"/>
    <tableColumn id="4" xr3:uid="{54FE72F9-5227-467F-AA4B-98BB531211FB}" name="KAROBKA" dataDxfId="9"/>
    <tableColumn id="5" xr3:uid="{B380242C-67A6-4203-8B75-246EB0187C0B}" name="IMEI" dataDxfId="8"/>
    <tableColumn id="6" xr3:uid="{B7D244AD-7802-4F9D-BA78-DC2822CC8FFE}" name="AYBI " dataDxfId="7"/>
    <tableColumn id="7" xr3:uid="{E42E3FBF-D77C-4B44-8692-6E22675ABBE3}" name="OLINGAN SANA" dataDxfId="6"/>
    <tableColumn id="8" xr3:uid="{24C8F2B6-A532-4FD6-BA45-501D0CCCB6CD}" name="OLINGAN NARXI $" dataDxfId="5"/>
    <tableColumn id="9" xr3:uid="{23EC5FE9-D888-469B-B6EE-AB29094FED65}" name="RASXOD" dataDxfId="4"/>
    <tableColumn id="10" xr3:uid="{7E1AA93C-B0F3-4720-B351-38A8C7FD9D64}" name="SOTILGAN SANA" dataDxfId="3"/>
    <tableColumn id="11" xr3:uid="{EDAF1D8C-D489-4A57-9036-271E113766E2}" name="SOTILGAN NARXI" dataDxfId="2"/>
    <tableColumn id="12" xr3:uid="{40733A60-E463-4A39-937B-A98BA667F438}" name="FOYDA" dataDxfId="1">
      <calculatedColumnFormula>Таблица32[[#This Row],[SOTILGAN NARXI]]-Таблица32[[#This Row],[OLINGAN NARXI $]]-Таблица32[[#This Row],[RASXOD]]</calculatedColumnFormula>
    </tableColumn>
    <tableColumn id="13" xr3:uid="{2CD9AA11-A9E7-41E2-AAA1-EE04E3870F7E}" name="Tel Egasini Nomeri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5C746-431E-44A2-8D4E-D0983C2ECBCB}">
  <sheetPr codeName="Лист1"/>
  <dimension ref="A1:Q165"/>
  <sheetViews>
    <sheetView zoomScale="74" zoomScaleNormal="74" workbookViewId="0">
      <selection activeCell="I27" sqref="I27"/>
    </sheetView>
  </sheetViews>
  <sheetFormatPr defaultRowHeight="14.4" x14ac:dyDescent="0.3"/>
  <cols>
    <col min="1" max="1" width="4" style="1" customWidth="1"/>
    <col min="2" max="2" width="13.88671875" style="6" bestFit="1" customWidth="1"/>
    <col min="3" max="3" width="21.109375" style="1" customWidth="1"/>
    <col min="4" max="4" width="13.6640625" style="1" bestFit="1" customWidth="1"/>
    <col min="5" max="5" width="14.33203125" style="1" customWidth="1"/>
    <col min="6" max="6" width="27.44140625" style="1" customWidth="1"/>
    <col min="7" max="7" width="30.6640625" style="4" customWidth="1"/>
    <col min="8" max="8" width="14.44140625" style="4" customWidth="1"/>
    <col min="9" max="9" width="16.33203125" style="4" customWidth="1"/>
    <col min="10" max="10" width="12.44140625" style="4" customWidth="1"/>
    <col min="11" max="12" width="13.33203125" style="4" customWidth="1"/>
    <col min="13" max="13" width="14.44140625" style="4" customWidth="1"/>
    <col min="14" max="14" width="14.33203125" style="4" customWidth="1"/>
    <col min="15" max="15" width="12.5546875" style="4" customWidth="1"/>
    <col min="16" max="16" width="11.44140625" style="4" customWidth="1"/>
    <col min="17" max="17" width="30.33203125" customWidth="1"/>
  </cols>
  <sheetData>
    <row r="1" spans="1:17" ht="17.25" customHeight="1" x14ac:dyDescent="0.3">
      <c r="A1" s="1" t="s">
        <v>1232</v>
      </c>
      <c r="B1" s="1" t="s">
        <v>0</v>
      </c>
      <c r="C1" s="6" t="s">
        <v>2</v>
      </c>
      <c r="D1" s="1" t="s">
        <v>1</v>
      </c>
      <c r="E1" s="1" t="s">
        <v>3</v>
      </c>
      <c r="F1" s="3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1370</v>
      </c>
      <c r="L1" s="1" t="s">
        <v>1371</v>
      </c>
      <c r="M1" s="2" t="s">
        <v>10</v>
      </c>
      <c r="N1" s="2" t="s">
        <v>980</v>
      </c>
      <c r="O1" s="1" t="s">
        <v>9</v>
      </c>
      <c r="P1" s="1" t="s">
        <v>11</v>
      </c>
      <c r="Q1" s="1" t="s">
        <v>12</v>
      </c>
    </row>
    <row r="2" spans="1:17" x14ac:dyDescent="0.3">
      <c r="A2" s="107">
        <v>1</v>
      </c>
      <c r="B2" s="23" t="s">
        <v>16</v>
      </c>
      <c r="C2" s="6" t="s">
        <v>267</v>
      </c>
      <c r="D2" s="23" t="s">
        <v>18</v>
      </c>
      <c r="E2" s="1" t="s">
        <v>15</v>
      </c>
      <c r="F2" s="3">
        <v>353917104212855</v>
      </c>
      <c r="G2" s="23" t="s">
        <v>1508</v>
      </c>
      <c r="H2" s="5">
        <v>45860</v>
      </c>
      <c r="I2" s="4">
        <v>210</v>
      </c>
      <c r="K2" s="4">
        <v>105</v>
      </c>
      <c r="L2" s="4">
        <v>105</v>
      </c>
      <c r="M2" s="5"/>
      <c r="N2" s="58">
        <f>Таблица312[[#This Row],[RASXOD]]+Таблица312[[#This Row],[OLINGAN NARXI $]]</f>
        <v>210</v>
      </c>
      <c r="P2" s="4">
        <f>Таблица312[[#This Row],[SOTILGAN NARXI]]-Таблица312[[#This Row],[OLINGAN NARXI $]]-Таблица312[[#This Row],[RASXOD]]</f>
        <v>-210</v>
      </c>
      <c r="Q2" s="6" t="s">
        <v>1509</v>
      </c>
    </row>
    <row r="3" spans="1:17" x14ac:dyDescent="0.3">
      <c r="A3" s="107">
        <v>2</v>
      </c>
      <c r="B3" s="23" t="s">
        <v>16</v>
      </c>
      <c r="C3" s="6" t="s">
        <v>312</v>
      </c>
      <c r="D3" s="23" t="s">
        <v>97</v>
      </c>
      <c r="E3" s="1" t="s">
        <v>22</v>
      </c>
      <c r="F3" s="3">
        <v>359978125582126</v>
      </c>
      <c r="G3" s="1"/>
      <c r="H3" s="5">
        <v>45874</v>
      </c>
      <c r="I3" s="4">
        <v>565</v>
      </c>
      <c r="K3" s="4">
        <v>282.5</v>
      </c>
      <c r="L3" s="4">
        <v>282.5</v>
      </c>
      <c r="M3" s="5"/>
      <c r="N3" s="58">
        <f>Таблица312[[#This Row],[RASXOD]]+Таблица312[[#This Row],[OLINGAN NARXI $]]</f>
        <v>565</v>
      </c>
      <c r="P3" s="4">
        <f>Таблица312[[#This Row],[SOTILGAN NARXI]]-Таблица312[[#This Row],[OLINGAN NARXI $]]-Таблица312[[#This Row],[RASXOD]]</f>
        <v>-565</v>
      </c>
      <c r="Q3" s="6" t="s">
        <v>1584</v>
      </c>
    </row>
    <row r="4" spans="1:17" x14ac:dyDescent="0.3">
      <c r="A4" s="107">
        <v>3</v>
      </c>
      <c r="B4" s="23" t="s">
        <v>1590</v>
      </c>
      <c r="C4" s="6" t="s">
        <v>255</v>
      </c>
      <c r="D4" s="23" t="s">
        <v>21</v>
      </c>
      <c r="E4" s="1" t="s">
        <v>22</v>
      </c>
      <c r="F4" s="3">
        <v>2674</v>
      </c>
      <c r="G4" s="1"/>
      <c r="H4" s="5">
        <v>45874</v>
      </c>
      <c r="I4" s="4">
        <v>730</v>
      </c>
      <c r="K4" s="4">
        <v>365</v>
      </c>
      <c r="L4" s="4">
        <v>365</v>
      </c>
      <c r="M4" s="5"/>
      <c r="N4" s="58">
        <f>Таблица312[[#This Row],[RASXOD]]+Таблица312[[#This Row],[OLINGAN NARXI $]]</f>
        <v>730</v>
      </c>
      <c r="P4" s="4">
        <f>Таблица312[[#This Row],[SOTILGAN NARXI]]-Таблица312[[#This Row],[OLINGAN NARXI $]]-Таблица312[[#This Row],[RASXOD]]</f>
        <v>-730</v>
      </c>
      <c r="Q4" s="6" t="s">
        <v>1465</v>
      </c>
    </row>
    <row r="5" spans="1:17" x14ac:dyDescent="0.3">
      <c r="A5" s="107">
        <v>4</v>
      </c>
      <c r="B5" s="23" t="s">
        <v>16</v>
      </c>
      <c r="C5" s="6" t="s">
        <v>1000</v>
      </c>
      <c r="D5" s="23" t="s">
        <v>21</v>
      </c>
      <c r="E5" s="1" t="s">
        <v>22</v>
      </c>
      <c r="F5" s="3">
        <v>351486007657733</v>
      </c>
      <c r="G5" s="1"/>
      <c r="H5" s="5">
        <v>45883</v>
      </c>
      <c r="I5" s="4">
        <v>1180</v>
      </c>
      <c r="K5" s="4">
        <v>590</v>
      </c>
      <c r="L5" s="4">
        <v>590</v>
      </c>
      <c r="M5" s="5"/>
      <c r="N5" s="58">
        <f>Таблица312[[#This Row],[RASXOD]]+Таблица312[[#This Row],[OLINGAN NARXI $]]</f>
        <v>1180</v>
      </c>
      <c r="P5" s="4">
        <f>Таблица312[[#This Row],[SOTILGAN NARXI]]-Таблица312[[#This Row],[OLINGAN NARXI $]]-Таблица312[[#This Row],[RASXOD]]</f>
        <v>-1180</v>
      </c>
      <c r="Q5" s="6" t="s">
        <v>1615</v>
      </c>
    </row>
    <row r="6" spans="1:17" x14ac:dyDescent="0.3">
      <c r="A6" s="107">
        <v>5</v>
      </c>
      <c r="B6" s="23" t="s">
        <v>16</v>
      </c>
      <c r="C6" s="6" t="s">
        <v>1616</v>
      </c>
      <c r="D6" s="23" t="s">
        <v>65</v>
      </c>
      <c r="E6" s="1" t="s">
        <v>22</v>
      </c>
      <c r="F6" s="3">
        <v>356825828621540</v>
      </c>
      <c r="G6" s="1"/>
      <c r="H6" s="5">
        <v>45884</v>
      </c>
      <c r="I6" s="4">
        <v>390</v>
      </c>
      <c r="K6" s="4">
        <v>195</v>
      </c>
      <c r="L6" s="4">
        <v>195</v>
      </c>
      <c r="M6" s="5"/>
      <c r="N6" s="58">
        <f>Таблица312[[#This Row],[RASXOD]]+Таблица312[[#This Row],[OLINGAN NARXI $]]</f>
        <v>390</v>
      </c>
      <c r="P6" s="4">
        <f>Таблица312[[#This Row],[SOTILGAN NARXI]]-Таблица312[[#This Row],[OLINGAN NARXI $]]-Таблица312[[#This Row],[RASXOD]]</f>
        <v>-390</v>
      </c>
      <c r="Q6" s="6" t="s">
        <v>1563</v>
      </c>
    </row>
    <row r="7" spans="1:17" x14ac:dyDescent="0.3">
      <c r="A7" s="107">
        <v>6</v>
      </c>
      <c r="B7" s="23" t="s">
        <v>16</v>
      </c>
      <c r="C7" s="6" t="s">
        <v>380</v>
      </c>
      <c r="D7" s="23" t="s">
        <v>35</v>
      </c>
      <c r="E7" s="1" t="s">
        <v>22</v>
      </c>
      <c r="F7" s="3">
        <v>353360940519748</v>
      </c>
      <c r="G7" s="1"/>
      <c r="H7" s="5">
        <v>45887</v>
      </c>
      <c r="I7" s="4">
        <v>675</v>
      </c>
      <c r="K7" s="4">
        <v>337.5</v>
      </c>
      <c r="L7" s="4">
        <v>337.5</v>
      </c>
      <c r="M7" s="5"/>
      <c r="N7" s="58">
        <f>Таблица312[[#This Row],[RASXOD]]+Таблица312[[#This Row],[OLINGAN NARXI $]]</f>
        <v>675</v>
      </c>
      <c r="P7" s="4">
        <f>Таблица312[[#This Row],[SOTILGAN NARXI]]-Таблица312[[#This Row],[OLINGAN NARXI $]]-Таблица312[[#This Row],[RASXOD]]</f>
        <v>-675</v>
      </c>
      <c r="Q7" s="6" t="s">
        <v>1473</v>
      </c>
    </row>
    <row r="8" spans="1:17" x14ac:dyDescent="0.3">
      <c r="A8" s="107">
        <v>7</v>
      </c>
      <c r="B8" s="23" t="s">
        <v>16</v>
      </c>
      <c r="C8" s="6" t="s">
        <v>1000</v>
      </c>
      <c r="D8" s="23" t="s">
        <v>583</v>
      </c>
      <c r="E8" s="1" t="s">
        <v>22</v>
      </c>
      <c r="F8" s="3">
        <v>350523894358594</v>
      </c>
      <c r="G8" s="1"/>
      <c r="H8" s="5">
        <v>45889</v>
      </c>
      <c r="I8" s="4">
        <v>1180</v>
      </c>
      <c r="K8" s="4">
        <v>590</v>
      </c>
      <c r="L8" s="4">
        <v>590</v>
      </c>
      <c r="M8" s="5"/>
      <c r="N8" s="58">
        <f>Таблица312[[#This Row],[RASXOD]]+Таблица312[[#This Row],[OLINGAN NARXI $]]</f>
        <v>1180</v>
      </c>
      <c r="P8" s="4">
        <f>Таблица312[[#This Row],[SOTILGAN NARXI]]-Таблица312[[#This Row],[OLINGAN NARXI $]]-Таблица312[[#This Row],[RASXOD]]</f>
        <v>-1180</v>
      </c>
      <c r="Q8" s="6" t="s">
        <v>1659</v>
      </c>
    </row>
    <row r="9" spans="1:17" x14ac:dyDescent="0.3">
      <c r="A9" s="107">
        <v>8</v>
      </c>
      <c r="B9" s="23" t="s">
        <v>16</v>
      </c>
      <c r="C9" s="6" t="s">
        <v>1326</v>
      </c>
      <c r="D9" s="23" t="s">
        <v>21</v>
      </c>
      <c r="E9" s="1" t="s">
        <v>15</v>
      </c>
      <c r="F9" s="3">
        <v>357268093228593</v>
      </c>
      <c r="G9" s="1" t="s">
        <v>556</v>
      </c>
      <c r="H9" s="5">
        <v>45890</v>
      </c>
      <c r="I9" s="4">
        <v>160</v>
      </c>
      <c r="K9" s="4">
        <v>80</v>
      </c>
      <c r="L9" s="4">
        <v>80</v>
      </c>
      <c r="M9" s="5"/>
      <c r="N9" s="58">
        <f>Таблица312[[#This Row],[RASXOD]]+Таблица312[[#This Row],[OLINGAN NARXI $]]</f>
        <v>160</v>
      </c>
      <c r="P9" s="4">
        <f>Таблица312[[#This Row],[SOTILGAN NARXI]]-Таблица312[[#This Row],[OLINGAN NARXI $]]-Таблица312[[#This Row],[RASXOD]]</f>
        <v>-160</v>
      </c>
      <c r="Q9" s="6" t="s">
        <v>1473</v>
      </c>
    </row>
    <row r="10" spans="1:17" x14ac:dyDescent="0.3">
      <c r="A10" s="107">
        <v>9</v>
      </c>
      <c r="B10" s="23" t="s">
        <v>16</v>
      </c>
      <c r="C10" s="6" t="s">
        <v>1125</v>
      </c>
      <c r="D10" s="23" t="s">
        <v>21</v>
      </c>
      <c r="E10" s="1" t="s">
        <v>22</v>
      </c>
      <c r="F10" s="3">
        <v>350225625188791</v>
      </c>
      <c r="G10" s="1"/>
      <c r="H10" s="5">
        <v>45899</v>
      </c>
      <c r="I10" s="4">
        <v>600</v>
      </c>
      <c r="K10" s="4">
        <v>350</v>
      </c>
      <c r="L10" s="4">
        <v>250</v>
      </c>
      <c r="M10" s="5"/>
      <c r="N10" s="58">
        <f>Таблица312[[#This Row],[RASXOD]]+Таблица312[[#This Row],[OLINGAN NARXI $]]</f>
        <v>600</v>
      </c>
      <c r="P10" s="4">
        <f>Таблица312[[#This Row],[SOTILGAN NARXI]]-Таблица312[[#This Row],[OLINGAN NARXI $]]-Таблица312[[#This Row],[RASXOD]]</f>
        <v>-600</v>
      </c>
      <c r="Q10" s="6" t="s">
        <v>1730</v>
      </c>
    </row>
    <row r="11" spans="1:17" x14ac:dyDescent="0.3">
      <c r="A11" s="107">
        <v>10</v>
      </c>
      <c r="B11" s="23" t="s">
        <v>16</v>
      </c>
      <c r="C11" s="6" t="s">
        <v>312</v>
      </c>
      <c r="D11" s="23" t="s">
        <v>65</v>
      </c>
      <c r="E11" s="1" t="s">
        <v>22</v>
      </c>
      <c r="F11" s="3">
        <v>351243323168667</v>
      </c>
      <c r="G11" s="1"/>
      <c r="H11" s="5">
        <v>45899</v>
      </c>
      <c r="I11" s="4">
        <v>570</v>
      </c>
      <c r="K11" s="4">
        <v>570</v>
      </c>
      <c r="L11" s="4">
        <v>0</v>
      </c>
      <c r="M11" s="5"/>
      <c r="N11" s="58">
        <f>Таблица312[[#This Row],[RASXOD]]+Таблица312[[#This Row],[OLINGAN NARXI $]]</f>
        <v>570</v>
      </c>
      <c r="P11" s="4">
        <f>Таблица312[[#This Row],[SOTILGAN NARXI]]-Таблица312[[#This Row],[OLINGAN NARXI $]]-Таблица312[[#This Row],[RASXOD]]</f>
        <v>-570</v>
      </c>
      <c r="Q11" s="6" t="s">
        <v>1731</v>
      </c>
    </row>
    <row r="12" spans="1:17" x14ac:dyDescent="0.3">
      <c r="A12" s="107">
        <v>11</v>
      </c>
      <c r="B12" s="23"/>
      <c r="C12" s="6"/>
      <c r="D12" s="23"/>
      <c r="F12" s="3"/>
      <c r="G12" s="1"/>
      <c r="H12" s="5"/>
      <c r="M12" s="5"/>
      <c r="N12" s="58">
        <f>Таблица312[[#This Row],[RASXOD]]+Таблица312[[#This Row],[OLINGAN NARXI $]]</f>
        <v>0</v>
      </c>
      <c r="P12" s="4">
        <f>Таблица312[[#This Row],[SOTILGAN NARXI]]-Таблица312[[#This Row],[OLINGAN NARXI $]]-Таблица312[[#This Row],[RASXOD]]</f>
        <v>0</v>
      </c>
      <c r="Q12" s="6"/>
    </row>
    <row r="13" spans="1:17" x14ac:dyDescent="0.3">
      <c r="A13" s="107">
        <v>12</v>
      </c>
      <c r="B13" s="23"/>
      <c r="C13" s="6"/>
      <c r="D13" s="23"/>
      <c r="F13" s="3"/>
      <c r="G13" s="1"/>
      <c r="H13" s="5"/>
      <c r="M13" s="5"/>
      <c r="N13" s="58">
        <f>Таблица312[[#This Row],[RASXOD]]+Таблица312[[#This Row],[OLINGAN NARXI $]]</f>
        <v>0</v>
      </c>
      <c r="P13" s="4">
        <f>Таблица312[[#This Row],[SOTILGAN NARXI]]-Таблица312[[#This Row],[OLINGAN NARXI $]]-Таблица312[[#This Row],[RASXOD]]</f>
        <v>0</v>
      </c>
      <c r="Q13" s="6"/>
    </row>
    <row r="14" spans="1:17" x14ac:dyDescent="0.3">
      <c r="A14" s="107">
        <v>13</v>
      </c>
      <c r="B14" s="23"/>
      <c r="C14" s="6"/>
      <c r="D14" s="23"/>
      <c r="F14" s="3"/>
      <c r="G14" s="1"/>
      <c r="H14" s="5"/>
      <c r="M14" s="5"/>
      <c r="N14" s="58">
        <f>Таблица312[[#This Row],[RASXOD]]+Таблица312[[#This Row],[OLINGAN NARXI $]]</f>
        <v>0</v>
      </c>
      <c r="P14" s="4">
        <f>Таблица312[[#This Row],[SOTILGAN NARXI]]-Таблица312[[#This Row],[OLINGAN NARXI $]]-Таблица312[[#This Row],[RASXOD]]</f>
        <v>0</v>
      </c>
      <c r="Q14" s="6"/>
    </row>
    <row r="15" spans="1:17" x14ac:dyDescent="0.3">
      <c r="A15" s="107">
        <v>14</v>
      </c>
      <c r="B15" s="23"/>
      <c r="C15" s="6"/>
      <c r="D15" s="23"/>
      <c r="F15" s="3"/>
      <c r="G15" s="1"/>
      <c r="H15" s="5"/>
      <c r="M15" s="5"/>
      <c r="N15" s="58">
        <f>Таблица312[[#This Row],[RASXOD]]+Таблица312[[#This Row],[OLINGAN NARXI $]]</f>
        <v>0</v>
      </c>
      <c r="P15" s="4">
        <f>Таблица312[[#This Row],[SOTILGAN NARXI]]-Таблица312[[#This Row],[OLINGAN NARXI $]]-Таблица312[[#This Row],[RASXOD]]</f>
        <v>0</v>
      </c>
      <c r="Q15" s="6"/>
    </row>
    <row r="16" spans="1:17" x14ac:dyDescent="0.3">
      <c r="A16" s="107">
        <v>15</v>
      </c>
      <c r="B16" s="23"/>
      <c r="C16" s="6"/>
      <c r="D16" s="23"/>
      <c r="F16" s="3"/>
      <c r="G16" s="1"/>
      <c r="H16" s="5"/>
      <c r="M16" s="5"/>
      <c r="N16" s="58">
        <f>Таблица312[[#This Row],[RASXOD]]+Таблица312[[#This Row],[OLINGAN NARXI $]]</f>
        <v>0</v>
      </c>
      <c r="P16" s="4">
        <f>Таблица312[[#This Row],[SOTILGAN NARXI]]-Таблица312[[#This Row],[OLINGAN NARXI $]]-Таблица312[[#This Row],[RASXOD]]</f>
        <v>0</v>
      </c>
      <c r="Q16" s="6"/>
    </row>
    <row r="17" spans="1:17" x14ac:dyDescent="0.3">
      <c r="A17" s="107">
        <v>16</v>
      </c>
      <c r="B17" s="23"/>
      <c r="C17" s="6"/>
      <c r="D17" s="23"/>
      <c r="F17" s="3"/>
      <c r="G17" s="1"/>
      <c r="H17" s="5"/>
      <c r="M17" s="5"/>
      <c r="N17" s="58">
        <f>Таблица312[[#This Row],[RASXOD]]+Таблица312[[#This Row],[OLINGAN NARXI $]]</f>
        <v>0</v>
      </c>
      <c r="P17" s="4">
        <f>Таблица312[[#This Row],[SOTILGAN NARXI]]-Таблица312[[#This Row],[OLINGAN NARXI $]]-Таблица312[[#This Row],[RASXOD]]</f>
        <v>0</v>
      </c>
      <c r="Q17" s="6"/>
    </row>
    <row r="18" spans="1:17" x14ac:dyDescent="0.3">
      <c r="A18" s="107">
        <v>17</v>
      </c>
      <c r="B18" s="23"/>
      <c r="C18" s="6"/>
      <c r="D18" s="23"/>
      <c r="F18" s="3"/>
      <c r="G18" s="1"/>
      <c r="H18" s="5"/>
      <c r="M18" s="5"/>
      <c r="N18" s="58">
        <f>Таблица312[[#This Row],[RASXOD]]+Таблица312[[#This Row],[OLINGAN NARXI $]]</f>
        <v>0</v>
      </c>
      <c r="P18" s="4">
        <f>Таблица312[[#This Row],[SOTILGAN NARXI]]-Таблица312[[#This Row],[OLINGAN NARXI $]]-Таблица312[[#This Row],[RASXOD]]</f>
        <v>0</v>
      </c>
      <c r="Q18" s="6"/>
    </row>
    <row r="19" spans="1:17" x14ac:dyDescent="0.3">
      <c r="A19" s="107">
        <v>18</v>
      </c>
      <c r="B19" s="23"/>
      <c r="C19" s="6"/>
      <c r="D19" s="23"/>
      <c r="F19" s="3"/>
      <c r="G19" s="1"/>
      <c r="H19" s="5"/>
      <c r="M19" s="5"/>
      <c r="N19" s="58">
        <f>Таблица312[[#This Row],[RASXOD]]+Таблица312[[#This Row],[OLINGAN NARXI $]]</f>
        <v>0</v>
      </c>
      <c r="P19" s="4">
        <f>Таблица312[[#This Row],[SOTILGAN NARXI]]-Таблица312[[#This Row],[OLINGAN NARXI $]]-Таблица312[[#This Row],[RASXOD]]</f>
        <v>0</v>
      </c>
      <c r="Q19" s="6"/>
    </row>
    <row r="20" spans="1:17" x14ac:dyDescent="0.3">
      <c r="A20" s="107"/>
      <c r="B20" s="23"/>
      <c r="C20" s="88" t="s">
        <v>1529</v>
      </c>
      <c r="D20" s="154" t="s">
        <v>1530</v>
      </c>
      <c r="E20" s="15" t="s">
        <v>1531</v>
      </c>
      <c r="F20" s="148" t="s">
        <v>1528</v>
      </c>
      <c r="G20" s="15" t="s">
        <v>1401</v>
      </c>
      <c r="H20" s="16" t="s">
        <v>1527</v>
      </c>
      <c r="M20" s="5"/>
      <c r="N20" s="58">
        <f>Таблица312[[#This Row],[RASXOD]]+Таблица312[[#This Row],[OLINGAN NARXI $]]</f>
        <v>0</v>
      </c>
      <c r="P20" s="4">
        <f>Таблица312[[#This Row],[SOTILGAN NARXI]]-Таблица312[[#This Row],[OLINGAN NARXI $]]-Таблица312[[#This Row],[RASXOD]]</f>
        <v>0</v>
      </c>
      <c r="Q20" s="6"/>
    </row>
    <row r="21" spans="1:17" x14ac:dyDescent="0.3">
      <c r="A21" s="107"/>
      <c r="B21" s="23"/>
      <c r="C21" s="86"/>
      <c r="D21" s="87"/>
      <c r="E21" s="187"/>
      <c r="F21" s="149" t="s">
        <v>226</v>
      </c>
      <c r="G21" s="87">
        <v>1138.94</v>
      </c>
      <c r="H21" s="146"/>
      <c r="M21" s="5"/>
      <c r="N21" s="58">
        <f>Таблица312[[#This Row],[RASXOD]]+Таблица312[[#This Row],[OLINGAN NARXI $]]</f>
        <v>0</v>
      </c>
      <c r="P21" s="4">
        <f>Таблица312[[#This Row],[SOTILGAN NARXI]]-Таблица312[[#This Row],[OLINGAN NARXI $]]-Таблица312[[#This Row],[RASXOD]]</f>
        <v>0</v>
      </c>
      <c r="Q21" s="6"/>
    </row>
    <row r="22" spans="1:17" x14ac:dyDescent="0.3">
      <c r="A22" s="107"/>
      <c r="B22" s="23"/>
      <c r="C22" s="86"/>
      <c r="D22" s="87"/>
      <c r="E22" s="87"/>
      <c r="F22" s="149" t="s">
        <v>1614</v>
      </c>
      <c r="G22" s="87">
        <v>102.5</v>
      </c>
      <c r="H22" s="146"/>
      <c r="M22" s="5"/>
      <c r="N22" s="58">
        <f>Таблица312[[#This Row],[RASXOD]]+Таблица312[[#This Row],[OLINGAN NARXI $]]</f>
        <v>0</v>
      </c>
      <c r="P22" s="4">
        <f>Таблица312[[#This Row],[SOTILGAN NARXI]]-Таблица312[[#This Row],[OLINGAN NARXI $]]-Таблица312[[#This Row],[RASXOD]]</f>
        <v>0</v>
      </c>
      <c r="Q22" s="6"/>
    </row>
    <row r="23" spans="1:17" x14ac:dyDescent="0.3">
      <c r="A23" s="107"/>
      <c r="B23" s="23"/>
      <c r="C23" s="86"/>
      <c r="D23" s="87"/>
      <c r="E23" s="87"/>
      <c r="F23" s="152"/>
      <c r="G23" s="87"/>
      <c r="H23" s="146"/>
      <c r="M23" s="5"/>
      <c r="N23" s="58">
        <f>Таблица312[[#This Row],[RASXOD]]+Таблица312[[#This Row],[OLINGAN NARXI $]]</f>
        <v>0</v>
      </c>
      <c r="P23" s="4">
        <f>Таблица312[[#This Row],[SOTILGAN NARXI]]-Таблица312[[#This Row],[OLINGAN NARXI $]]-Таблица312[[#This Row],[RASXOD]]</f>
        <v>0</v>
      </c>
      <c r="Q23" s="6"/>
    </row>
    <row r="24" spans="1:17" x14ac:dyDescent="0.3">
      <c r="A24" s="107"/>
      <c r="B24" s="23"/>
      <c r="C24" s="86"/>
      <c r="D24" s="87"/>
      <c r="E24" s="87"/>
      <c r="F24" s="152"/>
      <c r="G24" s="87"/>
      <c r="H24" s="146"/>
      <c r="M24" s="5"/>
      <c r="N24" s="58">
        <f>Таблица312[[#This Row],[RASXOD]]+Таблица312[[#This Row],[OLINGAN NARXI $]]</f>
        <v>0</v>
      </c>
      <c r="P24" s="4">
        <f>Таблица312[[#This Row],[SOTILGAN NARXI]]-Таблица312[[#This Row],[OLINGAN NARXI $]]-Таблица312[[#This Row],[RASXOD]]</f>
        <v>0</v>
      </c>
      <c r="Q24" s="6"/>
    </row>
    <row r="25" spans="1:17" x14ac:dyDescent="0.3">
      <c r="A25" s="107"/>
      <c r="B25" s="23"/>
      <c r="C25" s="86"/>
      <c r="D25" s="208"/>
      <c r="E25" s="87"/>
      <c r="F25" s="152"/>
      <c r="G25" s="87"/>
      <c r="H25" s="209"/>
      <c r="M25" s="5"/>
      <c r="N25" s="58">
        <f>Таблица312[[#This Row],[RASXOD]]+Таблица312[[#This Row],[OLINGAN NARXI $]]</f>
        <v>0</v>
      </c>
      <c r="P25" s="4">
        <f>Таблица312[[#This Row],[SOTILGAN NARXI]]-Таблица312[[#This Row],[OLINGAN NARXI $]]-Таблица312[[#This Row],[RASXOD]]</f>
        <v>0</v>
      </c>
      <c r="Q25" s="6"/>
    </row>
    <row r="26" spans="1:17" x14ac:dyDescent="0.3">
      <c r="A26" s="107"/>
      <c r="B26" s="23"/>
      <c r="C26" s="86"/>
      <c r="D26" s="208"/>
      <c r="E26" s="87"/>
      <c r="F26" s="152"/>
      <c r="G26" s="87"/>
      <c r="H26" s="209"/>
      <c r="M26" s="5"/>
      <c r="N26" s="58">
        <f>Таблица312[[#This Row],[RASXOD]]+Таблица312[[#This Row],[OLINGAN NARXI $]]</f>
        <v>0</v>
      </c>
      <c r="P26" s="4">
        <f>Таблица312[[#This Row],[SOTILGAN NARXI]]-Таблица312[[#This Row],[OLINGAN NARXI $]]-Таблица312[[#This Row],[RASXOD]]</f>
        <v>0</v>
      </c>
      <c r="Q26" s="6"/>
    </row>
    <row r="27" spans="1:17" x14ac:dyDescent="0.3">
      <c r="A27" s="107"/>
      <c r="B27" s="23"/>
      <c r="C27" s="86"/>
      <c r="D27" s="87"/>
      <c r="E27" s="87"/>
      <c r="F27" s="149"/>
      <c r="G27" s="87"/>
      <c r="H27" s="146"/>
      <c r="M27" s="5"/>
      <c r="N27" s="58">
        <f>Таблица312[[#This Row],[RASXOD]]+Таблица312[[#This Row],[OLINGAN NARXI $]]</f>
        <v>0</v>
      </c>
      <c r="P27" s="4">
        <f>Таблица312[[#This Row],[SOTILGAN NARXI]]-Таблица312[[#This Row],[OLINGAN NARXI $]]-Таблица312[[#This Row],[RASXOD]]</f>
        <v>0</v>
      </c>
      <c r="Q27" s="6"/>
    </row>
    <row r="28" spans="1:17" x14ac:dyDescent="0.3">
      <c r="A28" s="107"/>
      <c r="B28" s="23"/>
      <c r="C28" s="86"/>
      <c r="D28" s="87"/>
      <c r="E28" s="87"/>
      <c r="F28" s="149"/>
      <c r="G28" s="87"/>
      <c r="H28" s="146"/>
      <c r="M28" s="5"/>
      <c r="N28" s="58">
        <f>Таблица312[[#This Row],[RASXOD]]+Таблица312[[#This Row],[OLINGAN NARXI $]]</f>
        <v>0</v>
      </c>
      <c r="P28" s="4">
        <f>Таблица312[[#This Row],[SOTILGAN NARXI]]-Таблица312[[#This Row],[OLINGAN NARXI $]]-Таблица312[[#This Row],[RASXOD]]</f>
        <v>0</v>
      </c>
      <c r="Q28" s="6"/>
    </row>
    <row r="29" spans="1:17" x14ac:dyDescent="0.3">
      <c r="A29" s="107"/>
      <c r="B29" s="23"/>
      <c r="C29" s="86"/>
      <c r="D29" s="87"/>
      <c r="E29" s="153"/>
      <c r="F29" s="151" t="s">
        <v>1449</v>
      </c>
      <c r="G29" s="15">
        <v>4700</v>
      </c>
      <c r="H29" s="146"/>
      <c r="J29" s="5"/>
      <c r="L29" s="5"/>
      <c r="M29" s="5"/>
      <c r="N29" s="58">
        <f>Таблица312[[#This Row],[RASXOD]]+Таблица312[[#This Row],[OLINGAN NARXI $]]</f>
        <v>0</v>
      </c>
      <c r="P29" s="4">
        <f>Таблица312[[#This Row],[SOTILGAN NARXI]]-Таблица312[[#This Row],[OLINGAN NARXI $]]-Таблица312[[#This Row],[RASXOD]]</f>
        <v>0</v>
      </c>
      <c r="Q29" s="6"/>
    </row>
    <row r="30" spans="1:17" x14ac:dyDescent="0.3">
      <c r="A30" s="23"/>
      <c r="B30" s="23"/>
      <c r="C30" s="6"/>
      <c r="D30" s="23"/>
      <c r="E30" s="3"/>
      <c r="F30" s="151" t="s">
        <v>1448</v>
      </c>
      <c r="G30" s="15">
        <f>Таблица312[[#Totals],[ASAD QOSHDI]]</f>
        <v>3465</v>
      </c>
      <c r="H30" s="146"/>
      <c r="J30" s="5"/>
      <c r="M30" s="5"/>
      <c r="N30" s="58">
        <f>Таблица312[[#This Row],[RASXOD]]+Таблица312[[#This Row],[OLINGAN NARXI $]]</f>
        <v>0</v>
      </c>
      <c r="P30" s="4">
        <f>Таблица312[[#This Row],[SOTILGAN NARXI]]-Таблица312[[#This Row],[OLINGAN NARXI $]]-Таблица312[[#This Row],[RASXOD]]</f>
        <v>0</v>
      </c>
      <c r="Q30" s="6"/>
    </row>
    <row r="31" spans="1:17" x14ac:dyDescent="0.3">
      <c r="A31" s="23"/>
      <c r="B31" s="23"/>
      <c r="C31" s="6"/>
      <c r="E31" s="3"/>
      <c r="F31" s="151" t="s">
        <v>1447</v>
      </c>
      <c r="G31" s="15">
        <f>G29-G30-G21-G23-G22-G24-G27-G28-G25-G26</f>
        <v>-6.4400000000000546</v>
      </c>
      <c r="H31" s="5"/>
      <c r="J31" s="5"/>
      <c r="K31" s="55">
        <f>SUM(K2:K30)</f>
        <v>3465</v>
      </c>
      <c r="L31" s="55">
        <f>SUM(L2:L30)</f>
        <v>2795</v>
      </c>
      <c r="M31" s="5"/>
      <c r="N31" s="119">
        <f>SUM(N2:N30)</f>
        <v>6260</v>
      </c>
      <c r="P31" s="118"/>
      <c r="Q31" s="6"/>
    </row>
    <row r="32" spans="1:17" x14ac:dyDescent="0.3">
      <c r="A32" s="23"/>
      <c r="E32" s="3"/>
      <c r="G32" s="5"/>
      <c r="J32" s="5"/>
      <c r="K32" s="5"/>
      <c r="L32" s="5"/>
      <c r="M32" s="5"/>
      <c r="N32" s="1"/>
      <c r="P32" s="6"/>
    </row>
    <row r="33" spans="1:17" ht="14.25" customHeight="1" x14ac:dyDescent="0.3">
      <c r="A33" s="23"/>
      <c r="E33" s="3"/>
      <c r="G33" s="5"/>
      <c r="J33" s="5"/>
      <c r="K33" s="5"/>
      <c r="L33" s="5"/>
      <c r="M33" s="5"/>
      <c r="P33" s="6"/>
    </row>
    <row r="34" spans="1:17" ht="15.75" customHeight="1" x14ac:dyDescent="0.3">
      <c r="A34" s="23"/>
      <c r="E34" s="3"/>
      <c r="G34" s="5"/>
      <c r="J34" s="5"/>
      <c r="K34" s="5"/>
      <c r="L34" s="5"/>
      <c r="M34" s="5"/>
      <c r="P34" s="6"/>
    </row>
    <row r="35" spans="1:17" s="126" customFormat="1" ht="28.8" x14ac:dyDescent="0.55000000000000004">
      <c r="A35" s="120"/>
      <c r="B35" s="121" t="s">
        <v>1379</v>
      </c>
      <c r="C35" s="122"/>
      <c r="D35" s="122"/>
      <c r="E35" s="123"/>
      <c r="F35" s="122"/>
      <c r="G35" s="124"/>
      <c r="H35" s="125"/>
      <c r="I35" s="125"/>
      <c r="J35" s="124"/>
      <c r="K35" s="124"/>
      <c r="L35" s="125"/>
      <c r="M35" s="125"/>
      <c r="N35" s="125"/>
      <c r="O35" s="125"/>
      <c r="P35" s="121"/>
    </row>
    <row r="36" spans="1:17" ht="17.25" customHeight="1" x14ac:dyDescent="0.3">
      <c r="A36" s="1" t="s">
        <v>1232</v>
      </c>
      <c r="B36" s="1" t="s">
        <v>0</v>
      </c>
      <c r="C36" s="6" t="s">
        <v>2</v>
      </c>
      <c r="D36" s="1" t="s">
        <v>1</v>
      </c>
      <c r="E36" s="1" t="s">
        <v>3</v>
      </c>
      <c r="F36" s="3" t="s">
        <v>4</v>
      </c>
      <c r="G36" s="1" t="s">
        <v>5</v>
      </c>
      <c r="H36" s="2" t="s">
        <v>6</v>
      </c>
      <c r="I36" s="1" t="s">
        <v>7</v>
      </c>
      <c r="J36" s="1" t="s">
        <v>8</v>
      </c>
      <c r="K36" s="1" t="s">
        <v>1370</v>
      </c>
      <c r="L36" s="1" t="s">
        <v>1371</v>
      </c>
      <c r="M36" s="2" t="s">
        <v>10</v>
      </c>
      <c r="N36" s="2" t="s">
        <v>980</v>
      </c>
      <c r="O36" s="1" t="s">
        <v>9</v>
      </c>
      <c r="P36" s="1" t="s">
        <v>11</v>
      </c>
      <c r="Q36" s="1" t="s">
        <v>12</v>
      </c>
    </row>
    <row r="37" spans="1:17" x14ac:dyDescent="0.3">
      <c r="A37" s="107">
        <v>1</v>
      </c>
      <c r="B37" s="23" t="s">
        <v>16</v>
      </c>
      <c r="C37" s="6" t="s">
        <v>1375</v>
      </c>
      <c r="D37" s="23" t="s">
        <v>35</v>
      </c>
      <c r="E37" s="1" t="s">
        <v>22</v>
      </c>
      <c r="F37" s="3">
        <v>353665900821144</v>
      </c>
      <c r="G37" s="1"/>
      <c r="H37" s="5">
        <v>45829</v>
      </c>
      <c r="I37" s="4">
        <v>550</v>
      </c>
      <c r="K37" s="4">
        <v>275</v>
      </c>
      <c r="L37" s="4">
        <v>275</v>
      </c>
      <c r="M37" s="5">
        <v>45830</v>
      </c>
      <c r="N37" s="58">
        <v>550</v>
      </c>
      <c r="O37" s="4">
        <v>600</v>
      </c>
      <c r="P37" s="4">
        <v>50</v>
      </c>
      <c r="Q37" s="6" t="s">
        <v>1374</v>
      </c>
    </row>
    <row r="38" spans="1:17" x14ac:dyDescent="0.3">
      <c r="A38" s="107">
        <v>2</v>
      </c>
      <c r="B38" s="23" t="s">
        <v>16</v>
      </c>
      <c r="C38" s="6" t="s">
        <v>1125</v>
      </c>
      <c r="D38" s="23" t="s">
        <v>18</v>
      </c>
      <c r="E38" s="1" t="s">
        <v>15</v>
      </c>
      <c r="F38" s="3">
        <v>358849708129612</v>
      </c>
      <c r="G38" s="1"/>
      <c r="H38" s="5">
        <v>45829</v>
      </c>
      <c r="I38" s="4">
        <v>530</v>
      </c>
      <c r="K38" s="4">
        <v>265</v>
      </c>
      <c r="L38" s="4">
        <v>265</v>
      </c>
      <c r="M38" s="5">
        <v>45830</v>
      </c>
      <c r="N38" s="58">
        <v>530</v>
      </c>
      <c r="O38" s="4">
        <v>570</v>
      </c>
      <c r="P38" s="4">
        <v>40</v>
      </c>
      <c r="Q38" s="6" t="s">
        <v>1376</v>
      </c>
    </row>
    <row r="39" spans="1:17" x14ac:dyDescent="0.3">
      <c r="A39" s="107">
        <v>3</v>
      </c>
      <c r="B39" s="23" t="s">
        <v>16</v>
      </c>
      <c r="C39" s="6" t="s">
        <v>25</v>
      </c>
      <c r="D39" s="23" t="s">
        <v>26</v>
      </c>
      <c r="E39" s="1" t="s">
        <v>22</v>
      </c>
      <c r="F39" s="3">
        <v>356642159245215</v>
      </c>
      <c r="G39" s="1"/>
      <c r="H39" s="5">
        <v>45829</v>
      </c>
      <c r="I39" s="4">
        <v>870</v>
      </c>
      <c r="K39" s="4">
        <v>435</v>
      </c>
      <c r="L39" s="4">
        <v>435</v>
      </c>
      <c r="M39" s="5">
        <v>45830</v>
      </c>
      <c r="N39" s="58">
        <v>770</v>
      </c>
      <c r="O39" s="4">
        <v>820</v>
      </c>
      <c r="P39" s="4">
        <v>50</v>
      </c>
      <c r="Q39" s="6" t="s">
        <v>1374</v>
      </c>
    </row>
    <row r="40" spans="1:17" x14ac:dyDescent="0.3">
      <c r="A40" s="107">
        <v>4</v>
      </c>
      <c r="B40" s="23" t="s">
        <v>16</v>
      </c>
      <c r="C40" s="6" t="s">
        <v>25</v>
      </c>
      <c r="D40" s="23" t="s">
        <v>65</v>
      </c>
      <c r="E40" s="1" t="s">
        <v>22</v>
      </c>
      <c r="F40" s="3">
        <v>354449449759571</v>
      </c>
      <c r="G40" s="1"/>
      <c r="H40" s="5">
        <v>45829</v>
      </c>
      <c r="I40" s="4">
        <v>740</v>
      </c>
      <c r="K40" s="4">
        <v>370</v>
      </c>
      <c r="L40" s="4">
        <v>370</v>
      </c>
      <c r="M40" s="5">
        <v>45831</v>
      </c>
      <c r="N40" s="58">
        <v>740</v>
      </c>
      <c r="O40" s="4">
        <v>810</v>
      </c>
      <c r="P40" s="4">
        <v>70</v>
      </c>
      <c r="Q40" s="6" t="s">
        <v>1376</v>
      </c>
    </row>
    <row r="41" spans="1:17" x14ac:dyDescent="0.3">
      <c r="A41" s="107">
        <v>5</v>
      </c>
      <c r="B41" s="23" t="s">
        <v>16</v>
      </c>
      <c r="C41" s="6" t="s">
        <v>25</v>
      </c>
      <c r="D41" s="23" t="s">
        <v>26</v>
      </c>
      <c r="E41" s="1" t="s">
        <v>22</v>
      </c>
      <c r="F41" s="3">
        <v>357439143349685</v>
      </c>
      <c r="G41" s="1"/>
      <c r="H41" s="5">
        <v>45831</v>
      </c>
      <c r="I41" s="4">
        <v>820</v>
      </c>
      <c r="K41" s="4">
        <v>410</v>
      </c>
      <c r="L41" s="4">
        <v>410</v>
      </c>
      <c r="M41" s="5">
        <v>45831</v>
      </c>
      <c r="N41" s="58">
        <v>820</v>
      </c>
      <c r="O41" s="4">
        <v>840</v>
      </c>
      <c r="P41" s="4">
        <v>20</v>
      </c>
      <c r="Q41" s="6" t="s">
        <v>1389</v>
      </c>
    </row>
    <row r="42" spans="1:17" x14ac:dyDescent="0.3">
      <c r="A42" s="107">
        <v>6</v>
      </c>
      <c r="B42" s="23" t="s">
        <v>16</v>
      </c>
      <c r="C42" s="6" t="s">
        <v>1368</v>
      </c>
      <c r="D42" s="23" t="s">
        <v>45</v>
      </c>
      <c r="E42" s="1" t="s">
        <v>15</v>
      </c>
      <c r="F42" s="3">
        <v>354991558880292</v>
      </c>
      <c r="G42" s="1" t="s">
        <v>1372</v>
      </c>
      <c r="H42" s="5">
        <v>45829</v>
      </c>
      <c r="I42" s="4">
        <v>250</v>
      </c>
      <c r="J42" s="4">
        <v>20</v>
      </c>
      <c r="K42" s="4">
        <v>125</v>
      </c>
      <c r="L42" s="4">
        <v>125</v>
      </c>
      <c r="M42" s="5">
        <v>45835</v>
      </c>
      <c r="N42" s="58">
        <v>270</v>
      </c>
      <c r="O42" s="4">
        <v>310</v>
      </c>
      <c r="P42" s="4">
        <v>40</v>
      </c>
      <c r="Q42" s="6" t="s">
        <v>1373</v>
      </c>
    </row>
    <row r="43" spans="1:17" x14ac:dyDescent="0.3">
      <c r="A43" s="107">
        <v>7</v>
      </c>
      <c r="B43" s="23" t="s">
        <v>16</v>
      </c>
      <c r="C43" s="6" t="s">
        <v>81</v>
      </c>
      <c r="D43" s="23" t="s">
        <v>1397</v>
      </c>
      <c r="E43" s="1" t="s">
        <v>22</v>
      </c>
      <c r="F43" s="3">
        <v>350302397277050</v>
      </c>
      <c r="G43" s="1"/>
      <c r="H43" s="5">
        <v>45835</v>
      </c>
      <c r="I43" s="4">
        <v>380</v>
      </c>
      <c r="K43" s="4">
        <v>190</v>
      </c>
      <c r="L43" s="4">
        <v>190</v>
      </c>
      <c r="M43" s="5">
        <v>45835</v>
      </c>
      <c r="N43" s="58">
        <v>380</v>
      </c>
      <c r="O43" s="4">
        <v>450</v>
      </c>
      <c r="P43" s="4">
        <v>70</v>
      </c>
      <c r="Q43" s="6" t="s">
        <v>1396</v>
      </c>
    </row>
    <row r="44" spans="1:17" x14ac:dyDescent="0.3">
      <c r="A44" s="107">
        <v>8</v>
      </c>
      <c r="B44" s="23" t="s">
        <v>16</v>
      </c>
      <c r="C44" s="6" t="s">
        <v>32</v>
      </c>
      <c r="D44" s="23" t="s">
        <v>26</v>
      </c>
      <c r="E44" s="1" t="s">
        <v>22</v>
      </c>
      <c r="F44" s="3">
        <v>353233956393847</v>
      </c>
      <c r="G44" s="1"/>
      <c r="H44" s="5">
        <v>45831</v>
      </c>
      <c r="I44" s="4">
        <v>690</v>
      </c>
      <c r="K44" s="4">
        <v>345</v>
      </c>
      <c r="L44" s="4">
        <v>345</v>
      </c>
      <c r="M44" s="5">
        <v>45836</v>
      </c>
      <c r="N44" s="58">
        <v>690</v>
      </c>
      <c r="O44" s="4">
        <v>740</v>
      </c>
      <c r="P44" s="4">
        <v>50</v>
      </c>
      <c r="Q44" s="6" t="s">
        <v>1391</v>
      </c>
    </row>
    <row r="45" spans="1:17" x14ac:dyDescent="0.3">
      <c r="A45" s="107">
        <v>9</v>
      </c>
      <c r="B45" s="23" t="s">
        <v>16</v>
      </c>
      <c r="C45" s="6" t="s">
        <v>1368</v>
      </c>
      <c r="D45" s="23" t="s">
        <v>45</v>
      </c>
      <c r="E45" s="1" t="s">
        <v>15</v>
      </c>
      <c r="F45" s="3">
        <v>354991558880292</v>
      </c>
      <c r="G45" s="1" t="s">
        <v>1372</v>
      </c>
      <c r="H45" s="5">
        <v>45829</v>
      </c>
      <c r="I45" s="4">
        <v>250</v>
      </c>
      <c r="J45" s="4">
        <v>36</v>
      </c>
      <c r="K45" s="4">
        <v>143</v>
      </c>
      <c r="L45" s="4">
        <v>143</v>
      </c>
      <c r="M45" s="5">
        <v>45836</v>
      </c>
      <c r="N45" s="58">
        <v>286</v>
      </c>
      <c r="O45" s="4">
        <v>360</v>
      </c>
      <c r="P45" s="4">
        <v>50</v>
      </c>
      <c r="Q45" s="6"/>
    </row>
    <row r="46" spans="1:17" x14ac:dyDescent="0.3">
      <c r="A46" s="107">
        <v>10</v>
      </c>
      <c r="B46" s="23" t="s">
        <v>16</v>
      </c>
      <c r="C46" s="6" t="s">
        <v>25</v>
      </c>
      <c r="D46" s="23" t="s">
        <v>26</v>
      </c>
      <c r="E46" s="1" t="s">
        <v>22</v>
      </c>
      <c r="F46" s="3">
        <v>358560152818358</v>
      </c>
      <c r="G46" s="1"/>
      <c r="H46" s="5">
        <v>45837</v>
      </c>
      <c r="I46" s="4">
        <v>810</v>
      </c>
      <c r="K46" s="4">
        <v>405</v>
      </c>
      <c r="L46" s="4">
        <v>405</v>
      </c>
      <c r="M46" s="5">
        <v>45838</v>
      </c>
      <c r="N46" s="58">
        <v>810</v>
      </c>
      <c r="O46" s="4">
        <v>876</v>
      </c>
      <c r="P46" s="4">
        <v>66</v>
      </c>
      <c r="Q46" s="6" t="s">
        <v>1402</v>
      </c>
    </row>
    <row r="47" spans="1:17" x14ac:dyDescent="0.3">
      <c r="A47" s="107">
        <v>11</v>
      </c>
      <c r="B47" s="23" t="s">
        <v>16</v>
      </c>
      <c r="C47" s="6" t="s">
        <v>350</v>
      </c>
      <c r="D47" s="23" t="s">
        <v>65</v>
      </c>
      <c r="E47" s="1" t="s">
        <v>22</v>
      </c>
      <c r="F47" s="3">
        <v>359206408334373</v>
      </c>
      <c r="G47" s="1"/>
      <c r="H47" s="5">
        <v>45835</v>
      </c>
      <c r="I47" s="4">
        <v>380</v>
      </c>
      <c r="K47" s="4">
        <v>190</v>
      </c>
      <c r="L47" s="4">
        <v>190</v>
      </c>
      <c r="M47" s="5">
        <v>45840</v>
      </c>
      <c r="N47" s="58">
        <v>380</v>
      </c>
      <c r="O47" s="4">
        <v>450</v>
      </c>
      <c r="P47" s="4">
        <v>70</v>
      </c>
      <c r="Q47" s="6" t="s">
        <v>1396</v>
      </c>
    </row>
    <row r="48" spans="1:17" x14ac:dyDescent="0.3">
      <c r="A48" s="107">
        <v>12</v>
      </c>
      <c r="B48" s="23" t="s">
        <v>16</v>
      </c>
      <c r="C48" s="6" t="s">
        <v>319</v>
      </c>
      <c r="D48" s="23" t="s">
        <v>18</v>
      </c>
      <c r="E48" s="1" t="s">
        <v>15</v>
      </c>
      <c r="F48" s="3">
        <v>357676151404544</v>
      </c>
      <c r="G48" s="1"/>
      <c r="H48" s="5">
        <v>45838</v>
      </c>
      <c r="I48" s="4">
        <v>240</v>
      </c>
      <c r="K48" s="4">
        <v>120</v>
      </c>
      <c r="L48" s="4">
        <v>120</v>
      </c>
      <c r="M48" s="5">
        <v>45840</v>
      </c>
      <c r="N48" s="58">
        <v>240</v>
      </c>
      <c r="O48" s="4">
        <v>260</v>
      </c>
      <c r="P48" s="4">
        <v>20</v>
      </c>
      <c r="Q48" s="6" t="s">
        <v>1406</v>
      </c>
    </row>
    <row r="49" spans="1:17" x14ac:dyDescent="0.3">
      <c r="A49" s="107">
        <v>13</v>
      </c>
      <c r="B49" s="23" t="s">
        <v>16</v>
      </c>
      <c r="C49" s="6" t="s">
        <v>1125</v>
      </c>
      <c r="D49" s="23" t="s">
        <v>35</v>
      </c>
      <c r="E49" s="1" t="s">
        <v>15</v>
      </c>
      <c r="F49" s="3">
        <v>350060001056530</v>
      </c>
      <c r="G49" s="1" t="s">
        <v>145</v>
      </c>
      <c r="H49" s="5">
        <v>45838</v>
      </c>
      <c r="I49" s="4">
        <v>460</v>
      </c>
      <c r="K49" s="4">
        <v>230</v>
      </c>
      <c r="L49" s="4">
        <v>230</v>
      </c>
      <c r="M49" s="5">
        <v>45843</v>
      </c>
      <c r="N49" s="58">
        <v>460</v>
      </c>
      <c r="O49" s="4">
        <v>510</v>
      </c>
      <c r="P49" s="4">
        <v>50</v>
      </c>
      <c r="Q49" s="6" t="s">
        <v>1391</v>
      </c>
    </row>
    <row r="50" spans="1:17" x14ac:dyDescent="0.3">
      <c r="A50" s="107">
        <v>14</v>
      </c>
      <c r="B50" s="23" t="s">
        <v>16</v>
      </c>
      <c r="C50" s="6" t="s">
        <v>1368</v>
      </c>
      <c r="D50" s="23" t="s">
        <v>21</v>
      </c>
      <c r="E50" s="1" t="s">
        <v>15</v>
      </c>
      <c r="F50" s="3">
        <v>356696720292593</v>
      </c>
      <c r="G50" s="1" t="s">
        <v>430</v>
      </c>
      <c r="H50" s="5">
        <v>45842</v>
      </c>
      <c r="I50" s="4">
        <v>260</v>
      </c>
      <c r="K50" s="4">
        <v>0</v>
      </c>
      <c r="L50" s="4">
        <v>260</v>
      </c>
      <c r="M50" s="5">
        <v>45846</v>
      </c>
      <c r="N50" s="58">
        <v>260</v>
      </c>
      <c r="O50" s="4">
        <v>290</v>
      </c>
      <c r="P50" s="4">
        <v>30</v>
      </c>
      <c r="Q50" s="6" t="s">
        <v>1406</v>
      </c>
    </row>
    <row r="51" spans="1:17" x14ac:dyDescent="0.3">
      <c r="A51" s="107">
        <v>15</v>
      </c>
      <c r="B51" s="23" t="s">
        <v>16</v>
      </c>
      <c r="C51" s="6" t="s">
        <v>88</v>
      </c>
      <c r="D51" s="23" t="s">
        <v>1397</v>
      </c>
      <c r="E51" s="1" t="s">
        <v>22</v>
      </c>
      <c r="F51" s="3">
        <v>354090447521249</v>
      </c>
      <c r="G51" s="1"/>
      <c r="H51" s="5">
        <v>45841</v>
      </c>
      <c r="I51" s="4">
        <v>410</v>
      </c>
      <c r="K51" s="4">
        <v>205</v>
      </c>
      <c r="L51" s="4">
        <v>205</v>
      </c>
      <c r="M51" s="5">
        <v>45846</v>
      </c>
      <c r="N51" s="58">
        <v>410</v>
      </c>
      <c r="O51" s="4">
        <v>450</v>
      </c>
      <c r="P51" s="4">
        <v>40</v>
      </c>
      <c r="Q51" s="6"/>
    </row>
    <row r="52" spans="1:17" x14ac:dyDescent="0.3">
      <c r="A52" s="107">
        <v>16</v>
      </c>
      <c r="B52" s="23" t="s">
        <v>16</v>
      </c>
      <c r="C52" s="6" t="s">
        <v>418</v>
      </c>
      <c r="D52" s="23" t="s">
        <v>583</v>
      </c>
      <c r="E52" s="1" t="s">
        <v>22</v>
      </c>
      <c r="F52" s="3">
        <v>356821695216373</v>
      </c>
      <c r="G52" s="1"/>
      <c r="H52" s="5">
        <v>45840</v>
      </c>
      <c r="I52" s="4">
        <v>900</v>
      </c>
      <c r="K52" s="4">
        <v>450</v>
      </c>
      <c r="L52" s="4">
        <v>450</v>
      </c>
      <c r="M52" s="5">
        <v>45846</v>
      </c>
      <c r="N52" s="58">
        <v>900</v>
      </c>
      <c r="O52" s="4">
        <v>950</v>
      </c>
      <c r="P52" s="4">
        <v>50</v>
      </c>
      <c r="Q52" s="6" t="s">
        <v>1422</v>
      </c>
    </row>
    <row r="53" spans="1:17" x14ac:dyDescent="0.3">
      <c r="A53" s="107">
        <v>17</v>
      </c>
      <c r="B53" s="23" t="s">
        <v>16</v>
      </c>
      <c r="C53" s="6" t="s">
        <v>32</v>
      </c>
      <c r="D53" s="23" t="s">
        <v>26</v>
      </c>
      <c r="E53" s="1" t="s">
        <v>22</v>
      </c>
      <c r="F53" s="3">
        <v>351253393857958</v>
      </c>
      <c r="G53" s="1"/>
      <c r="H53" s="5">
        <v>45831</v>
      </c>
      <c r="I53" s="4">
        <v>670</v>
      </c>
      <c r="K53" s="4">
        <v>335</v>
      </c>
      <c r="L53" s="4">
        <v>335</v>
      </c>
      <c r="M53" s="5">
        <v>45847</v>
      </c>
      <c r="N53" s="58">
        <v>670</v>
      </c>
      <c r="O53" s="4">
        <v>730</v>
      </c>
      <c r="P53" s="4">
        <v>60</v>
      </c>
      <c r="Q53" s="6">
        <v>900992443</v>
      </c>
    </row>
    <row r="54" spans="1:17" x14ac:dyDescent="0.3">
      <c r="A54" s="107">
        <v>18</v>
      </c>
      <c r="B54" s="23" t="s">
        <v>16</v>
      </c>
      <c r="C54" s="6" t="s">
        <v>25</v>
      </c>
      <c r="D54" s="23" t="s">
        <v>26</v>
      </c>
      <c r="E54" s="1" t="s">
        <v>22</v>
      </c>
      <c r="F54" s="3">
        <v>357926951056329</v>
      </c>
      <c r="G54" s="1"/>
      <c r="H54" s="5">
        <v>45846</v>
      </c>
      <c r="I54" s="4">
        <v>810</v>
      </c>
      <c r="K54" s="4">
        <v>405</v>
      </c>
      <c r="L54" s="4">
        <v>405</v>
      </c>
      <c r="M54" s="5">
        <v>45849</v>
      </c>
      <c r="N54" s="58">
        <v>810</v>
      </c>
      <c r="O54" s="4">
        <v>870</v>
      </c>
      <c r="P54" s="4">
        <v>60</v>
      </c>
      <c r="Q54" s="6" t="s">
        <v>1438</v>
      </c>
    </row>
    <row r="55" spans="1:17" x14ac:dyDescent="0.3">
      <c r="A55" s="107">
        <v>19</v>
      </c>
      <c r="B55" s="23" t="s">
        <v>16</v>
      </c>
      <c r="C55" s="6" t="s">
        <v>25</v>
      </c>
      <c r="D55" s="23" t="s">
        <v>18</v>
      </c>
      <c r="E55" s="1" t="s">
        <v>22</v>
      </c>
      <c r="F55" s="3">
        <v>351073873235933</v>
      </c>
      <c r="G55" s="1"/>
      <c r="H55" s="5">
        <v>45830</v>
      </c>
      <c r="I55" s="4">
        <v>810</v>
      </c>
      <c r="K55" s="4">
        <v>405</v>
      </c>
      <c r="L55" s="4">
        <v>405</v>
      </c>
      <c r="M55" s="5">
        <v>45849</v>
      </c>
      <c r="N55" s="58">
        <v>810</v>
      </c>
      <c r="O55" s="4">
        <v>870</v>
      </c>
      <c r="P55" s="4">
        <v>60</v>
      </c>
      <c r="Q55" s="6" t="s">
        <v>1384</v>
      </c>
    </row>
    <row r="56" spans="1:17" x14ac:dyDescent="0.3">
      <c r="A56" s="107">
        <v>20</v>
      </c>
      <c r="B56" s="23" t="s">
        <v>16</v>
      </c>
      <c r="C56" s="6" t="s">
        <v>32</v>
      </c>
      <c r="D56" s="23" t="s">
        <v>26</v>
      </c>
      <c r="E56" s="1" t="s">
        <v>22</v>
      </c>
      <c r="F56" s="3">
        <v>358301851481952</v>
      </c>
      <c r="G56" s="1"/>
      <c r="H56" s="5">
        <v>45846</v>
      </c>
      <c r="I56" s="4">
        <v>650</v>
      </c>
      <c r="K56" s="4">
        <v>325</v>
      </c>
      <c r="L56" s="4">
        <v>325</v>
      </c>
      <c r="M56" s="5">
        <v>45850</v>
      </c>
      <c r="N56" s="58">
        <v>650</v>
      </c>
      <c r="O56" s="4">
        <v>700</v>
      </c>
      <c r="P56" s="4">
        <v>50</v>
      </c>
      <c r="Q56" s="6">
        <v>909094048</v>
      </c>
    </row>
    <row r="57" spans="1:17" x14ac:dyDescent="0.3">
      <c r="A57" s="107">
        <v>21</v>
      </c>
      <c r="B57" s="6" t="s">
        <v>16</v>
      </c>
      <c r="C57" s="6" t="s">
        <v>81</v>
      </c>
      <c r="D57" s="23" t="s">
        <v>65</v>
      </c>
      <c r="E57" s="1" t="s">
        <v>22</v>
      </c>
      <c r="F57" s="3">
        <v>356673373109770</v>
      </c>
      <c r="G57" s="1"/>
      <c r="H57" s="5">
        <v>45836</v>
      </c>
      <c r="I57" s="4">
        <v>420</v>
      </c>
      <c r="K57" s="4">
        <v>210</v>
      </c>
      <c r="L57" s="4">
        <v>210</v>
      </c>
      <c r="M57" s="5">
        <v>45851</v>
      </c>
      <c r="N57" s="58">
        <v>420</v>
      </c>
      <c r="O57" s="4">
        <v>480</v>
      </c>
      <c r="P57" s="4">
        <v>60</v>
      </c>
      <c r="Q57" s="6"/>
    </row>
    <row r="58" spans="1:17" x14ac:dyDescent="0.3">
      <c r="A58" s="107">
        <v>22</v>
      </c>
      <c r="B58" s="23" t="s">
        <v>16</v>
      </c>
      <c r="C58" s="6" t="s">
        <v>81</v>
      </c>
      <c r="D58" s="23" t="s">
        <v>18</v>
      </c>
      <c r="E58" s="1" t="s">
        <v>15</v>
      </c>
      <c r="F58" s="3">
        <v>354509710690894</v>
      </c>
      <c r="G58" s="1"/>
      <c r="H58" s="5">
        <v>45851</v>
      </c>
      <c r="I58" s="4">
        <v>290</v>
      </c>
      <c r="K58" s="4">
        <v>145</v>
      </c>
      <c r="L58" s="4">
        <v>145</v>
      </c>
      <c r="M58" s="5">
        <v>45853</v>
      </c>
      <c r="N58" s="58">
        <v>290</v>
      </c>
      <c r="O58" s="4">
        <v>367</v>
      </c>
      <c r="P58" s="4">
        <v>77</v>
      </c>
      <c r="Q58" s="6">
        <v>904808899</v>
      </c>
    </row>
    <row r="59" spans="1:17" x14ac:dyDescent="0.3">
      <c r="A59" s="107">
        <v>23</v>
      </c>
      <c r="B59" s="23" t="s">
        <v>16</v>
      </c>
      <c r="C59" s="6" t="s">
        <v>1000</v>
      </c>
      <c r="D59" s="23" t="s">
        <v>583</v>
      </c>
      <c r="E59" s="1" t="s">
        <v>22</v>
      </c>
      <c r="F59" s="3">
        <v>354267951194668</v>
      </c>
      <c r="G59" s="1"/>
      <c r="H59" s="5">
        <v>45849</v>
      </c>
      <c r="I59" s="4">
        <v>1080</v>
      </c>
      <c r="K59" s="4">
        <v>540</v>
      </c>
      <c r="L59" s="4">
        <v>540</v>
      </c>
      <c r="M59" s="5">
        <v>45853</v>
      </c>
      <c r="N59" s="58">
        <v>1080</v>
      </c>
      <c r="O59" s="4">
        <v>1130</v>
      </c>
      <c r="P59" s="4">
        <v>50</v>
      </c>
      <c r="Q59" s="6" t="s">
        <v>1476</v>
      </c>
    </row>
    <row r="60" spans="1:17" x14ac:dyDescent="0.3">
      <c r="A60" s="107">
        <v>24</v>
      </c>
      <c r="B60" s="23" t="s">
        <v>1460</v>
      </c>
      <c r="C60" s="6" t="s">
        <v>1047</v>
      </c>
      <c r="D60" s="23"/>
      <c r="E60" s="1" t="s">
        <v>22</v>
      </c>
      <c r="F60" s="3">
        <v>351351026641037</v>
      </c>
      <c r="G60" s="1"/>
      <c r="H60" s="5">
        <v>45852</v>
      </c>
      <c r="I60" s="4">
        <v>203</v>
      </c>
      <c r="K60" s="4">
        <v>101.5</v>
      </c>
      <c r="L60" s="4">
        <v>101.5</v>
      </c>
      <c r="M60" s="5">
        <v>45854</v>
      </c>
      <c r="N60" s="58">
        <v>203</v>
      </c>
      <c r="O60" s="4">
        <v>234</v>
      </c>
      <c r="P60" s="4">
        <v>31</v>
      </c>
      <c r="Q60" s="6" t="s">
        <v>1467</v>
      </c>
    </row>
    <row r="61" spans="1:17" x14ac:dyDescent="0.3">
      <c r="A61" s="107">
        <v>25</v>
      </c>
      <c r="B61" s="23" t="s">
        <v>16</v>
      </c>
      <c r="C61" s="6" t="s">
        <v>81</v>
      </c>
      <c r="D61" s="23" t="s">
        <v>21</v>
      </c>
      <c r="E61" s="1" t="s">
        <v>15</v>
      </c>
      <c r="F61" s="3">
        <v>350017080877574</v>
      </c>
      <c r="G61" s="1" t="s">
        <v>636</v>
      </c>
      <c r="H61" s="5">
        <v>45853</v>
      </c>
      <c r="I61" s="4">
        <v>350</v>
      </c>
      <c r="J61" s="4">
        <v>50</v>
      </c>
      <c r="K61" s="4">
        <v>200</v>
      </c>
      <c r="L61" s="4">
        <v>200</v>
      </c>
      <c r="M61" s="5">
        <v>45856</v>
      </c>
      <c r="N61" s="58">
        <v>400</v>
      </c>
      <c r="O61" s="4">
        <v>450</v>
      </c>
      <c r="P61" s="4">
        <v>50</v>
      </c>
      <c r="Q61" s="6" t="s">
        <v>1470</v>
      </c>
    </row>
    <row r="62" spans="1:17" x14ac:dyDescent="0.3">
      <c r="A62" s="107">
        <v>26</v>
      </c>
      <c r="B62" s="23" t="s">
        <v>16</v>
      </c>
      <c r="C62" s="6" t="s">
        <v>1487</v>
      </c>
      <c r="D62" s="23" t="s">
        <v>35</v>
      </c>
      <c r="E62" s="1" t="s">
        <v>22</v>
      </c>
      <c r="F62" s="3">
        <v>357132530257567</v>
      </c>
      <c r="G62" s="1"/>
      <c r="H62" s="5">
        <v>45855</v>
      </c>
      <c r="I62" s="4">
        <v>640</v>
      </c>
      <c r="K62" s="4">
        <v>320</v>
      </c>
      <c r="L62" s="4">
        <v>320</v>
      </c>
      <c r="M62" s="5">
        <v>45856</v>
      </c>
      <c r="N62" s="58">
        <v>640</v>
      </c>
      <c r="O62" s="4">
        <v>680</v>
      </c>
      <c r="P62" s="4">
        <v>40</v>
      </c>
      <c r="Q62" s="6"/>
    </row>
    <row r="63" spans="1:17" x14ac:dyDescent="0.3">
      <c r="A63" s="107">
        <v>27</v>
      </c>
      <c r="B63" s="23" t="s">
        <v>16</v>
      </c>
      <c r="C63" s="6" t="s">
        <v>81</v>
      </c>
      <c r="D63" s="23" t="s">
        <v>21</v>
      </c>
      <c r="E63" s="1" t="s">
        <v>15</v>
      </c>
      <c r="F63" s="3">
        <v>355656502523988</v>
      </c>
      <c r="G63" s="1" t="s">
        <v>636</v>
      </c>
      <c r="H63" s="5">
        <v>45841</v>
      </c>
      <c r="I63" s="4">
        <v>370</v>
      </c>
      <c r="J63" s="4">
        <v>40</v>
      </c>
      <c r="K63" s="4">
        <v>205</v>
      </c>
      <c r="L63" s="4">
        <v>205</v>
      </c>
      <c r="M63" s="5">
        <v>45857</v>
      </c>
      <c r="N63" s="58">
        <v>410</v>
      </c>
      <c r="O63" s="4">
        <v>470</v>
      </c>
      <c r="P63" s="4">
        <v>60</v>
      </c>
      <c r="Q63" s="6" t="s">
        <v>661</v>
      </c>
    </row>
    <row r="64" spans="1:17" x14ac:dyDescent="0.3">
      <c r="A64" s="107">
        <v>28</v>
      </c>
      <c r="B64" s="23" t="s">
        <v>16</v>
      </c>
      <c r="C64" s="6" t="s">
        <v>81</v>
      </c>
      <c r="D64" s="23" t="s">
        <v>65</v>
      </c>
      <c r="E64" s="1" t="s">
        <v>22</v>
      </c>
      <c r="F64" s="3">
        <v>351150162965592</v>
      </c>
      <c r="G64" s="1"/>
      <c r="H64" s="5">
        <v>45852</v>
      </c>
      <c r="I64" s="4">
        <v>435</v>
      </c>
      <c r="K64" s="4">
        <v>217.5</v>
      </c>
      <c r="L64" s="4">
        <v>217.5</v>
      </c>
      <c r="M64" s="5">
        <v>45858</v>
      </c>
      <c r="N64" s="58">
        <v>435</v>
      </c>
      <c r="O64" s="4">
        <v>468</v>
      </c>
      <c r="P64" s="4">
        <v>33</v>
      </c>
      <c r="Q64" s="6" t="s">
        <v>1234</v>
      </c>
    </row>
    <row r="65" spans="1:17" x14ac:dyDescent="0.3">
      <c r="A65" s="107">
        <v>29</v>
      </c>
      <c r="B65" s="23" t="s">
        <v>16</v>
      </c>
      <c r="C65" s="6" t="s">
        <v>303</v>
      </c>
      <c r="D65" s="23" t="s">
        <v>18</v>
      </c>
      <c r="E65" s="1" t="s">
        <v>15</v>
      </c>
      <c r="F65" s="3">
        <v>357504149672149</v>
      </c>
      <c r="G65" s="1"/>
      <c r="H65" s="5">
        <v>45853</v>
      </c>
      <c r="I65" s="4">
        <v>350</v>
      </c>
      <c r="K65" s="4">
        <v>175</v>
      </c>
      <c r="L65" s="4">
        <v>175</v>
      </c>
      <c r="M65" s="5">
        <v>45858</v>
      </c>
      <c r="N65" s="58">
        <v>350</v>
      </c>
      <c r="O65" s="4">
        <v>393</v>
      </c>
      <c r="P65" s="4">
        <v>43</v>
      </c>
      <c r="Q65" s="6" t="s">
        <v>1469</v>
      </c>
    </row>
    <row r="66" spans="1:17" x14ac:dyDescent="0.3">
      <c r="A66" s="107">
        <v>30</v>
      </c>
      <c r="B66" s="23" t="s">
        <v>16</v>
      </c>
      <c r="C66" s="6" t="s">
        <v>128</v>
      </c>
      <c r="D66" s="23" t="s">
        <v>26</v>
      </c>
      <c r="E66" s="1" t="s">
        <v>22</v>
      </c>
      <c r="F66" s="3">
        <v>353233951622356</v>
      </c>
      <c r="G66" s="1"/>
      <c r="H66" s="5">
        <v>45856</v>
      </c>
      <c r="I66" s="4">
        <v>700</v>
      </c>
      <c r="K66" s="4">
        <v>350</v>
      </c>
      <c r="L66" s="4">
        <v>350</v>
      </c>
      <c r="M66" s="5">
        <v>45858</v>
      </c>
      <c r="N66" s="58">
        <v>700</v>
      </c>
      <c r="O66" s="4">
        <v>770</v>
      </c>
      <c r="P66" s="4">
        <v>70</v>
      </c>
      <c r="Q66" s="6" t="s">
        <v>1493</v>
      </c>
    </row>
    <row r="67" spans="1:17" x14ac:dyDescent="0.3">
      <c r="A67" s="107">
        <v>31</v>
      </c>
      <c r="B67" s="23" t="s">
        <v>16</v>
      </c>
      <c r="C67" s="6" t="s">
        <v>104</v>
      </c>
      <c r="D67" s="23" t="s">
        <v>65</v>
      </c>
      <c r="E67" s="1" t="s">
        <v>22</v>
      </c>
      <c r="F67" s="3">
        <v>354692279020461</v>
      </c>
      <c r="G67" s="1"/>
      <c r="H67" s="5">
        <v>45853</v>
      </c>
      <c r="I67" s="4">
        <v>330</v>
      </c>
      <c r="K67" s="4">
        <v>165</v>
      </c>
      <c r="L67" s="4">
        <v>165</v>
      </c>
      <c r="M67" s="5">
        <v>45858</v>
      </c>
      <c r="N67" s="58">
        <v>330</v>
      </c>
      <c r="O67" s="4">
        <v>400</v>
      </c>
      <c r="P67" s="4">
        <v>70</v>
      </c>
      <c r="Q67" s="6" t="s">
        <v>1482</v>
      </c>
    </row>
    <row r="68" spans="1:17" x14ac:dyDescent="0.3">
      <c r="A68" s="107">
        <v>32</v>
      </c>
      <c r="B68" s="23" t="s">
        <v>16</v>
      </c>
      <c r="C68" s="6" t="s">
        <v>1125</v>
      </c>
      <c r="D68" s="23" t="s">
        <v>21</v>
      </c>
      <c r="E68" s="1" t="s">
        <v>15</v>
      </c>
      <c r="F68" s="3">
        <v>351083739173335</v>
      </c>
      <c r="G68" s="1"/>
      <c r="H68" s="5">
        <v>45841</v>
      </c>
      <c r="I68" s="4">
        <v>500</v>
      </c>
      <c r="K68" s="4">
        <v>250</v>
      </c>
      <c r="L68" s="4">
        <v>250</v>
      </c>
      <c r="M68" s="5">
        <v>45858</v>
      </c>
      <c r="N68" s="58">
        <v>500</v>
      </c>
      <c r="O68" s="4">
        <v>580</v>
      </c>
      <c r="P68" s="4">
        <v>80</v>
      </c>
      <c r="Q68" s="6"/>
    </row>
    <row r="69" spans="1:17" x14ac:dyDescent="0.3">
      <c r="A69" s="107">
        <v>33</v>
      </c>
      <c r="B69" s="23" t="s">
        <v>16</v>
      </c>
      <c r="C69" s="6" t="s">
        <v>1214</v>
      </c>
      <c r="D69" s="23" t="s">
        <v>65</v>
      </c>
      <c r="E69" s="1" t="s">
        <v>22</v>
      </c>
      <c r="F69" s="3">
        <v>352966745691978</v>
      </c>
      <c r="G69" s="1"/>
      <c r="H69" s="5">
        <v>45830</v>
      </c>
      <c r="I69" s="4">
        <v>450</v>
      </c>
      <c r="K69" s="4">
        <v>225</v>
      </c>
      <c r="L69" s="4">
        <v>225</v>
      </c>
      <c r="M69" s="5">
        <v>45859</v>
      </c>
      <c r="N69" s="58">
        <v>450</v>
      </c>
      <c r="O69" s="4">
        <v>530</v>
      </c>
      <c r="P69" s="4">
        <v>80</v>
      </c>
      <c r="Q69" s="6" t="s">
        <v>469</v>
      </c>
    </row>
    <row r="70" spans="1:17" x14ac:dyDescent="0.3">
      <c r="A70" s="107">
        <v>34</v>
      </c>
      <c r="B70" s="23" t="s">
        <v>16</v>
      </c>
      <c r="C70" s="6" t="s">
        <v>129</v>
      </c>
      <c r="D70" s="23" t="s">
        <v>65</v>
      </c>
      <c r="E70" s="1" t="s">
        <v>22</v>
      </c>
      <c r="F70" s="3">
        <v>358592373856008</v>
      </c>
      <c r="G70" s="1"/>
      <c r="H70" s="5">
        <v>45856</v>
      </c>
      <c r="I70" s="4">
        <v>530</v>
      </c>
      <c r="K70" s="4">
        <v>265</v>
      </c>
      <c r="L70" s="4">
        <v>265</v>
      </c>
      <c r="M70" s="5">
        <v>45859</v>
      </c>
      <c r="N70" s="58">
        <v>530</v>
      </c>
      <c r="O70" s="4">
        <v>614</v>
      </c>
      <c r="P70" s="4">
        <v>84</v>
      </c>
      <c r="Q70" s="6" t="s">
        <v>1500</v>
      </c>
    </row>
    <row r="71" spans="1:17" x14ac:dyDescent="0.3">
      <c r="A71" s="107">
        <v>35</v>
      </c>
      <c r="B71" s="23" t="s">
        <v>16</v>
      </c>
      <c r="C71" s="6" t="s">
        <v>81</v>
      </c>
      <c r="D71" s="23" t="s">
        <v>45</v>
      </c>
      <c r="E71" s="1" t="s">
        <v>15</v>
      </c>
      <c r="F71" s="3">
        <v>350017088246103</v>
      </c>
      <c r="G71" s="1" t="s">
        <v>1369</v>
      </c>
      <c r="H71" s="5">
        <v>45851</v>
      </c>
      <c r="I71" s="4">
        <v>460</v>
      </c>
      <c r="K71" s="4">
        <v>230</v>
      </c>
      <c r="L71" s="4">
        <v>230</v>
      </c>
      <c r="M71" s="5">
        <v>45860</v>
      </c>
      <c r="N71" s="58">
        <v>460</v>
      </c>
      <c r="O71" s="4">
        <v>505</v>
      </c>
      <c r="P71" s="4">
        <v>45</v>
      </c>
      <c r="Q71" s="6" t="s">
        <v>1465</v>
      </c>
    </row>
    <row r="72" spans="1:17" x14ac:dyDescent="0.3">
      <c r="A72" s="107">
        <v>36</v>
      </c>
      <c r="B72" s="23" t="s">
        <v>16</v>
      </c>
      <c r="C72" s="6" t="s">
        <v>81</v>
      </c>
      <c r="D72" s="23" t="s">
        <v>65</v>
      </c>
      <c r="E72" s="1" t="s">
        <v>15</v>
      </c>
      <c r="F72" s="3">
        <v>352129385161386</v>
      </c>
      <c r="G72" s="1"/>
      <c r="H72" s="5">
        <v>45858</v>
      </c>
      <c r="I72" s="4">
        <v>430</v>
      </c>
      <c r="K72" s="4">
        <v>215</v>
      </c>
      <c r="L72" s="4">
        <v>215</v>
      </c>
      <c r="M72" s="5">
        <v>45860</v>
      </c>
      <c r="N72" s="58">
        <v>430</v>
      </c>
      <c r="O72" s="4">
        <v>505</v>
      </c>
      <c r="P72" s="4">
        <v>75</v>
      </c>
      <c r="Q72" s="6" t="s">
        <v>1473</v>
      </c>
    </row>
    <row r="73" spans="1:17" x14ac:dyDescent="0.3">
      <c r="A73" s="107">
        <v>37</v>
      </c>
      <c r="B73" s="23" t="s">
        <v>16</v>
      </c>
      <c r="C73" s="6" t="s">
        <v>39</v>
      </c>
      <c r="D73" s="23" t="s">
        <v>21</v>
      </c>
      <c r="E73" s="1" t="s">
        <v>22</v>
      </c>
      <c r="F73" s="3">
        <v>354841660763813</v>
      </c>
      <c r="G73" s="1"/>
      <c r="H73" s="5">
        <v>45855</v>
      </c>
      <c r="I73" s="4">
        <v>635</v>
      </c>
      <c r="K73" s="4">
        <v>317.5</v>
      </c>
      <c r="L73" s="4">
        <v>317.5</v>
      </c>
      <c r="M73" s="5">
        <v>45861</v>
      </c>
      <c r="N73" s="58">
        <v>635</v>
      </c>
      <c r="O73" s="4">
        <v>700</v>
      </c>
      <c r="P73" s="4">
        <v>65</v>
      </c>
      <c r="Q73" s="6" t="s">
        <v>1488</v>
      </c>
    </row>
    <row r="74" spans="1:17" x14ac:dyDescent="0.3">
      <c r="A74" s="107">
        <v>38</v>
      </c>
      <c r="B74" s="23" t="s">
        <v>16</v>
      </c>
      <c r="C74" s="6" t="s">
        <v>81</v>
      </c>
      <c r="D74" s="23" t="s">
        <v>65</v>
      </c>
      <c r="E74" s="1" t="s">
        <v>15</v>
      </c>
      <c r="F74" s="3">
        <v>356084834487435</v>
      </c>
      <c r="G74" s="23"/>
      <c r="H74" s="5">
        <v>45854</v>
      </c>
      <c r="I74" s="4">
        <v>430</v>
      </c>
      <c r="K74" s="4">
        <v>215</v>
      </c>
      <c r="L74" s="4">
        <v>215</v>
      </c>
      <c r="M74" s="5">
        <v>45859</v>
      </c>
      <c r="N74" s="58">
        <v>430</v>
      </c>
      <c r="O74" s="4">
        <v>470</v>
      </c>
      <c r="P74" s="4">
        <v>40</v>
      </c>
      <c r="Q74" s="6" t="s">
        <v>1474</v>
      </c>
    </row>
    <row r="75" spans="1:17" x14ac:dyDescent="0.3">
      <c r="A75" s="107">
        <v>39</v>
      </c>
      <c r="B75" s="23" t="s">
        <v>16</v>
      </c>
      <c r="C75" s="6" t="s">
        <v>312</v>
      </c>
      <c r="D75" s="23" t="s">
        <v>65</v>
      </c>
      <c r="E75" s="1" t="s">
        <v>22</v>
      </c>
      <c r="F75" s="3">
        <v>356514419158548</v>
      </c>
      <c r="G75" s="1"/>
      <c r="H75" s="5">
        <v>45863</v>
      </c>
      <c r="I75" s="4">
        <v>570</v>
      </c>
      <c r="K75" s="4">
        <v>285</v>
      </c>
      <c r="L75" s="4">
        <v>285</v>
      </c>
      <c r="M75" s="5">
        <v>45868</v>
      </c>
      <c r="N75" s="58">
        <v>570</v>
      </c>
      <c r="O75" s="4">
        <v>640</v>
      </c>
      <c r="P75" s="4">
        <v>70</v>
      </c>
      <c r="Q75" s="6" t="s">
        <v>1522</v>
      </c>
    </row>
    <row r="76" spans="1:17" x14ac:dyDescent="0.3">
      <c r="A76" s="107">
        <v>40</v>
      </c>
      <c r="B76" s="23" t="s">
        <v>16</v>
      </c>
      <c r="C76" s="6" t="s">
        <v>1125</v>
      </c>
      <c r="D76" s="23" t="s">
        <v>21</v>
      </c>
      <c r="E76" s="1" t="s">
        <v>15</v>
      </c>
      <c r="F76" s="3">
        <v>350666976817894</v>
      </c>
      <c r="G76" s="23"/>
      <c r="H76" s="5">
        <v>45852</v>
      </c>
      <c r="I76" s="4">
        <v>400</v>
      </c>
      <c r="K76" s="4">
        <v>200</v>
      </c>
      <c r="L76" s="4">
        <v>200</v>
      </c>
      <c r="M76" s="5">
        <v>45869</v>
      </c>
      <c r="N76" s="58">
        <v>400</v>
      </c>
      <c r="O76" s="4">
        <v>480</v>
      </c>
      <c r="P76" s="4">
        <v>80</v>
      </c>
      <c r="Q76" s="6" t="s">
        <v>1475</v>
      </c>
    </row>
    <row r="77" spans="1:17" x14ac:dyDescent="0.3">
      <c r="A77" s="107">
        <v>41</v>
      </c>
      <c r="B77" s="23" t="s">
        <v>16</v>
      </c>
      <c r="C77" s="6" t="s">
        <v>1368</v>
      </c>
      <c r="D77" s="23" t="s">
        <v>45</v>
      </c>
      <c r="E77" s="1" t="s">
        <v>22</v>
      </c>
      <c r="F77" s="3">
        <v>353781188242018</v>
      </c>
      <c r="G77" s="23"/>
      <c r="H77" s="5">
        <v>45855</v>
      </c>
      <c r="I77" s="4">
        <v>320</v>
      </c>
      <c r="K77" s="4">
        <v>160</v>
      </c>
      <c r="L77" s="4">
        <v>160</v>
      </c>
      <c r="M77" s="5">
        <v>45869</v>
      </c>
      <c r="N77" s="58">
        <v>320</v>
      </c>
      <c r="O77" s="4">
        <v>379</v>
      </c>
      <c r="P77" s="4">
        <v>59</v>
      </c>
      <c r="Q77" s="6" t="s">
        <v>1489</v>
      </c>
    </row>
    <row r="78" spans="1:17" x14ac:dyDescent="0.3">
      <c r="A78" s="107">
        <v>7</v>
      </c>
      <c r="B78" s="23" t="s">
        <v>16</v>
      </c>
      <c r="C78" s="6" t="s">
        <v>267</v>
      </c>
      <c r="D78" s="23" t="s">
        <v>45</v>
      </c>
      <c r="E78" s="1" t="s">
        <v>15</v>
      </c>
      <c r="F78" s="3">
        <v>353955104083983</v>
      </c>
      <c r="G78" s="23" t="s">
        <v>1471</v>
      </c>
      <c r="H78" s="5">
        <v>45853</v>
      </c>
      <c r="I78" s="4">
        <v>210</v>
      </c>
      <c r="J78" s="4">
        <v>12</v>
      </c>
      <c r="K78" s="4">
        <v>111</v>
      </c>
      <c r="L78" s="4">
        <v>111</v>
      </c>
      <c r="M78" s="5">
        <v>45869</v>
      </c>
      <c r="N78" s="58">
        <v>222</v>
      </c>
      <c r="O78" s="4">
        <v>280</v>
      </c>
      <c r="P78" s="4">
        <v>58</v>
      </c>
      <c r="Q78" s="6" t="s">
        <v>1472</v>
      </c>
    </row>
    <row r="79" spans="1:17" x14ac:dyDescent="0.3">
      <c r="A79" s="107">
        <v>14</v>
      </c>
      <c r="B79" s="23" t="s">
        <v>16</v>
      </c>
      <c r="C79" s="6" t="s">
        <v>81</v>
      </c>
      <c r="D79" s="23" t="s">
        <v>18</v>
      </c>
      <c r="E79" s="1" t="s">
        <v>22</v>
      </c>
      <c r="F79" s="130">
        <v>353879233492149</v>
      </c>
      <c r="G79" s="1"/>
      <c r="H79" s="5">
        <v>45863</v>
      </c>
      <c r="I79" s="4">
        <v>470</v>
      </c>
      <c r="K79" s="4">
        <v>235</v>
      </c>
      <c r="L79" s="4">
        <v>235</v>
      </c>
      <c r="M79" s="5">
        <v>45871</v>
      </c>
      <c r="N79" s="58">
        <v>470</v>
      </c>
      <c r="O79" s="4">
        <v>520</v>
      </c>
      <c r="P79" s="4">
        <v>50</v>
      </c>
      <c r="Q79" s="6" t="s">
        <v>1521</v>
      </c>
    </row>
    <row r="80" spans="1:17" x14ac:dyDescent="0.3">
      <c r="A80" s="107">
        <v>16</v>
      </c>
      <c r="B80" s="23" t="s">
        <v>16</v>
      </c>
      <c r="C80" s="6" t="s">
        <v>88</v>
      </c>
      <c r="D80" s="23" t="s">
        <v>21</v>
      </c>
      <c r="E80" s="1" t="s">
        <v>15</v>
      </c>
      <c r="F80" s="130">
        <v>356646223938374</v>
      </c>
      <c r="G80" s="1"/>
      <c r="H80" s="5">
        <v>45863</v>
      </c>
      <c r="I80" s="4">
        <v>358</v>
      </c>
      <c r="K80" s="4">
        <v>179</v>
      </c>
      <c r="L80" s="4">
        <v>179</v>
      </c>
      <c r="M80" s="5">
        <v>45871</v>
      </c>
      <c r="N80" s="58">
        <v>358</v>
      </c>
      <c r="O80" s="4">
        <v>400</v>
      </c>
      <c r="P80" s="4">
        <v>42</v>
      </c>
      <c r="Q80" s="6" t="s">
        <v>1522</v>
      </c>
    </row>
    <row r="81" spans="1:17" x14ac:dyDescent="0.3">
      <c r="A81" s="107">
        <v>4</v>
      </c>
      <c r="B81" s="23" t="s">
        <v>1460</v>
      </c>
      <c r="C81" s="6" t="s">
        <v>1461</v>
      </c>
      <c r="D81" s="23" t="s">
        <v>1462</v>
      </c>
      <c r="E81" s="1" t="s">
        <v>22</v>
      </c>
      <c r="F81" s="130">
        <v>356280235581004</v>
      </c>
      <c r="G81" s="23" t="s">
        <v>1463</v>
      </c>
      <c r="H81" s="5">
        <v>45851</v>
      </c>
      <c r="I81" s="4">
        <v>102</v>
      </c>
      <c r="K81" s="4">
        <v>51</v>
      </c>
      <c r="L81" s="4">
        <v>51</v>
      </c>
      <c r="M81" s="5">
        <v>45873</v>
      </c>
      <c r="N81" s="58">
        <v>102</v>
      </c>
      <c r="O81" s="4">
        <v>141</v>
      </c>
      <c r="P81" s="4">
        <v>39</v>
      </c>
      <c r="Q81" s="6" t="s">
        <v>1464</v>
      </c>
    </row>
    <row r="82" spans="1:17" x14ac:dyDescent="0.3">
      <c r="A82" s="107">
        <v>11</v>
      </c>
      <c r="B82" s="23" t="s">
        <v>16</v>
      </c>
      <c r="C82" s="6" t="s">
        <v>1125</v>
      </c>
      <c r="D82" s="23" t="s">
        <v>21</v>
      </c>
      <c r="E82" s="1" t="s">
        <v>15</v>
      </c>
      <c r="F82" s="130">
        <v>356901459386321</v>
      </c>
      <c r="G82" s="23" t="s">
        <v>556</v>
      </c>
      <c r="H82" s="5">
        <v>45855</v>
      </c>
      <c r="I82" s="4">
        <v>520</v>
      </c>
      <c r="K82" s="4">
        <v>260</v>
      </c>
      <c r="L82" s="4">
        <v>260</v>
      </c>
      <c r="M82" s="5">
        <v>45873</v>
      </c>
      <c r="N82" s="58">
        <v>520</v>
      </c>
      <c r="O82" s="4">
        <v>580</v>
      </c>
      <c r="P82" s="4">
        <v>60</v>
      </c>
      <c r="Q82" s="6" t="s">
        <v>1473</v>
      </c>
    </row>
    <row r="83" spans="1:17" x14ac:dyDescent="0.3">
      <c r="A83" s="107">
        <v>21</v>
      </c>
      <c r="B83" s="23" t="s">
        <v>16</v>
      </c>
      <c r="C83" s="6" t="s">
        <v>81</v>
      </c>
      <c r="D83" s="23" t="s">
        <v>65</v>
      </c>
      <c r="E83" s="1" t="s">
        <v>22</v>
      </c>
      <c r="F83" s="3">
        <v>355843803019151</v>
      </c>
      <c r="G83" s="1"/>
      <c r="H83" s="5">
        <v>45871</v>
      </c>
      <c r="I83" s="4">
        <v>500</v>
      </c>
      <c r="K83" s="4">
        <v>250</v>
      </c>
      <c r="L83" s="4">
        <v>250</v>
      </c>
      <c r="M83" s="5">
        <v>45873</v>
      </c>
      <c r="N83" s="58">
        <v>500</v>
      </c>
      <c r="O83" s="4">
        <v>540</v>
      </c>
      <c r="P83" s="4">
        <v>40</v>
      </c>
      <c r="Q83" s="6" t="s">
        <v>1473</v>
      </c>
    </row>
    <row r="84" spans="1:17" x14ac:dyDescent="0.3">
      <c r="A84" s="107">
        <v>9</v>
      </c>
      <c r="B84" s="23" t="s">
        <v>16</v>
      </c>
      <c r="C84" s="6" t="s">
        <v>104</v>
      </c>
      <c r="D84" s="23" t="s">
        <v>65</v>
      </c>
      <c r="E84" s="1" t="s">
        <v>15</v>
      </c>
      <c r="F84" s="130">
        <v>353175866781720</v>
      </c>
      <c r="G84" s="23"/>
      <c r="H84" s="5">
        <v>45854</v>
      </c>
      <c r="I84" s="4">
        <v>350</v>
      </c>
      <c r="K84" s="4">
        <v>175</v>
      </c>
      <c r="L84" s="4">
        <v>175</v>
      </c>
      <c r="M84" s="5">
        <v>45874</v>
      </c>
      <c r="N84" s="58">
        <v>350</v>
      </c>
      <c r="O84" s="4">
        <v>440</v>
      </c>
      <c r="P84" s="4">
        <v>90</v>
      </c>
      <c r="Q84" s="6" t="s">
        <v>1483</v>
      </c>
    </row>
    <row r="85" spans="1:17" x14ac:dyDescent="0.3">
      <c r="A85" s="107">
        <v>16</v>
      </c>
      <c r="B85" s="23" t="s">
        <v>16</v>
      </c>
      <c r="C85" s="6" t="s">
        <v>81</v>
      </c>
      <c r="D85" s="23" t="s">
        <v>97</v>
      </c>
      <c r="E85" s="1" t="s">
        <v>22</v>
      </c>
      <c r="F85" s="3">
        <v>352835987158022</v>
      </c>
      <c r="G85" s="1"/>
      <c r="H85" s="5">
        <v>45873</v>
      </c>
      <c r="I85" s="4">
        <v>470</v>
      </c>
      <c r="K85" s="4">
        <v>235</v>
      </c>
      <c r="L85" s="4">
        <v>235</v>
      </c>
      <c r="M85" s="5">
        <v>45875</v>
      </c>
      <c r="N85" s="58">
        <v>470</v>
      </c>
      <c r="O85" s="4">
        <v>550</v>
      </c>
      <c r="P85" s="4">
        <v>80</v>
      </c>
      <c r="Q85" s="6" t="s">
        <v>1234</v>
      </c>
    </row>
    <row r="86" spans="1:17" x14ac:dyDescent="0.3">
      <c r="A86" s="107">
        <v>2</v>
      </c>
      <c r="B86" s="23" t="s">
        <v>16</v>
      </c>
      <c r="C86" s="6" t="s">
        <v>1084</v>
      </c>
      <c r="D86" s="23" t="s">
        <v>21</v>
      </c>
      <c r="E86" s="1" t="s">
        <v>22</v>
      </c>
      <c r="F86" s="130">
        <v>351901546298732</v>
      </c>
      <c r="G86" s="23"/>
      <c r="H86" s="5">
        <v>45842</v>
      </c>
      <c r="I86" s="4">
        <v>620</v>
      </c>
      <c r="K86" s="4">
        <v>310</v>
      </c>
      <c r="L86" s="4">
        <v>310</v>
      </c>
      <c r="M86" s="5">
        <v>45876</v>
      </c>
      <c r="N86" s="58">
        <v>620</v>
      </c>
      <c r="O86" s="4">
        <v>700</v>
      </c>
      <c r="P86" s="4">
        <v>80</v>
      </c>
      <c r="Q86" s="6" t="s">
        <v>1429</v>
      </c>
    </row>
    <row r="87" spans="1:17" x14ac:dyDescent="0.3">
      <c r="A87" s="107">
        <v>7</v>
      </c>
      <c r="B87" s="23" t="s">
        <v>16</v>
      </c>
      <c r="C87" s="6" t="s">
        <v>1083</v>
      </c>
      <c r="D87" s="23" t="s">
        <v>35</v>
      </c>
      <c r="E87" s="1" t="s">
        <v>22</v>
      </c>
      <c r="F87" s="130">
        <v>355960225661038</v>
      </c>
      <c r="G87" s="23" t="s">
        <v>556</v>
      </c>
      <c r="H87" s="5">
        <v>45854</v>
      </c>
      <c r="I87" s="4">
        <v>520</v>
      </c>
      <c r="K87" s="4">
        <v>260</v>
      </c>
      <c r="L87" s="4">
        <v>260</v>
      </c>
      <c r="M87" s="5">
        <v>45876</v>
      </c>
      <c r="N87" s="58">
        <v>520</v>
      </c>
      <c r="O87" s="4">
        <v>600</v>
      </c>
      <c r="P87" s="4">
        <v>80</v>
      </c>
      <c r="Q87" s="6" t="s">
        <v>1473</v>
      </c>
    </row>
    <row r="88" spans="1:17" x14ac:dyDescent="0.3">
      <c r="A88" s="107">
        <v>19</v>
      </c>
      <c r="B88" s="23" t="s">
        <v>16</v>
      </c>
      <c r="C88" s="6" t="s">
        <v>17</v>
      </c>
      <c r="D88" s="23" t="s">
        <v>97</v>
      </c>
      <c r="E88" s="1" t="s">
        <v>15</v>
      </c>
      <c r="F88" s="3">
        <v>353242103823093</v>
      </c>
      <c r="G88" s="1" t="s">
        <v>61</v>
      </c>
      <c r="H88" s="5">
        <v>45874</v>
      </c>
      <c r="I88" s="4">
        <v>245</v>
      </c>
      <c r="K88" s="4">
        <v>122.5</v>
      </c>
      <c r="L88" s="4">
        <v>122.5</v>
      </c>
      <c r="M88" s="5">
        <v>45876</v>
      </c>
      <c r="N88" s="58">
        <v>245</v>
      </c>
      <c r="O88" s="4">
        <v>270</v>
      </c>
      <c r="P88" s="4">
        <v>25</v>
      </c>
      <c r="Q88" s="6" t="s">
        <v>1585</v>
      </c>
    </row>
    <row r="89" spans="1:17" x14ac:dyDescent="0.3">
      <c r="A89" s="107">
        <v>9</v>
      </c>
      <c r="B89" s="23" t="s">
        <v>16</v>
      </c>
      <c r="C89" s="6" t="s">
        <v>1368</v>
      </c>
      <c r="D89" s="23" t="s">
        <v>65</v>
      </c>
      <c r="E89" s="1" t="s">
        <v>22</v>
      </c>
      <c r="F89" s="130">
        <v>356692113187284</v>
      </c>
      <c r="G89" s="23"/>
      <c r="H89" s="5">
        <v>45857</v>
      </c>
      <c r="I89" s="4">
        <v>270</v>
      </c>
      <c r="K89" s="4">
        <v>135</v>
      </c>
      <c r="L89" s="4">
        <v>135</v>
      </c>
      <c r="M89" s="5">
        <v>45879</v>
      </c>
      <c r="N89" s="58">
        <v>270</v>
      </c>
      <c r="O89" s="4">
        <v>320</v>
      </c>
      <c r="P89" s="4">
        <v>50</v>
      </c>
      <c r="Q89" s="6" t="s">
        <v>1391</v>
      </c>
    </row>
    <row r="90" spans="1:17" x14ac:dyDescent="0.3">
      <c r="A90" s="107">
        <v>8</v>
      </c>
      <c r="B90" s="23" t="s">
        <v>16</v>
      </c>
      <c r="C90" s="6" t="s">
        <v>1368</v>
      </c>
      <c r="D90" s="23" t="s">
        <v>21</v>
      </c>
      <c r="E90" s="1" t="s">
        <v>15</v>
      </c>
      <c r="F90" s="130">
        <v>356691112536194</v>
      </c>
      <c r="G90" s="23"/>
      <c r="H90" s="5">
        <v>45855</v>
      </c>
      <c r="I90" s="4">
        <v>320</v>
      </c>
      <c r="K90" s="4">
        <v>160</v>
      </c>
      <c r="L90" s="4">
        <v>160</v>
      </c>
      <c r="M90" s="5">
        <v>45879</v>
      </c>
      <c r="N90" s="58">
        <v>320</v>
      </c>
      <c r="O90" s="4">
        <v>360</v>
      </c>
      <c r="P90" s="4">
        <v>40</v>
      </c>
      <c r="Q90" s="6" t="s">
        <v>1473</v>
      </c>
    </row>
    <row r="91" spans="1:17" x14ac:dyDescent="0.3">
      <c r="A91" s="107">
        <v>7</v>
      </c>
      <c r="B91" s="23" t="s">
        <v>16</v>
      </c>
      <c r="C91" s="6" t="s">
        <v>312</v>
      </c>
      <c r="D91" s="23" t="s">
        <v>65</v>
      </c>
      <c r="E91" s="1" t="s">
        <v>15</v>
      </c>
      <c r="F91" s="130">
        <v>356942219826487</v>
      </c>
      <c r="G91" s="1"/>
      <c r="H91" s="5">
        <v>45863</v>
      </c>
      <c r="I91" s="4">
        <v>570</v>
      </c>
      <c r="K91" s="4">
        <v>285</v>
      </c>
      <c r="L91" s="4">
        <v>285</v>
      </c>
      <c r="M91" s="5">
        <v>45879</v>
      </c>
      <c r="N91" s="58">
        <v>570</v>
      </c>
      <c r="O91" s="4">
        <v>620</v>
      </c>
      <c r="P91" s="4">
        <v>50</v>
      </c>
      <c r="Q91" s="6" t="s">
        <v>1522</v>
      </c>
    </row>
    <row r="92" spans="1:17" x14ac:dyDescent="0.3">
      <c r="A92" s="107">
        <v>5</v>
      </c>
      <c r="B92" s="23" t="s">
        <v>16</v>
      </c>
      <c r="C92" s="6" t="s">
        <v>81</v>
      </c>
      <c r="D92" s="23" t="s">
        <v>65</v>
      </c>
      <c r="E92" s="1" t="s">
        <v>15</v>
      </c>
      <c r="F92" s="130">
        <v>354509713519165</v>
      </c>
      <c r="G92" s="23"/>
      <c r="H92" s="5">
        <v>45854</v>
      </c>
      <c r="I92" s="4">
        <v>450</v>
      </c>
      <c r="K92" s="4">
        <v>225</v>
      </c>
      <c r="L92" s="4">
        <v>225</v>
      </c>
      <c r="M92" s="5">
        <v>45879</v>
      </c>
      <c r="N92" s="58">
        <v>450</v>
      </c>
      <c r="O92" s="4">
        <v>530</v>
      </c>
      <c r="P92" s="4">
        <v>80</v>
      </c>
      <c r="Q92" s="6" t="s">
        <v>1473</v>
      </c>
    </row>
    <row r="93" spans="1:17" x14ac:dyDescent="0.3">
      <c r="A93" s="107">
        <v>1</v>
      </c>
      <c r="B93" s="23" t="s">
        <v>16</v>
      </c>
      <c r="C93" s="6" t="s">
        <v>312</v>
      </c>
      <c r="D93" s="23" t="s">
        <v>18</v>
      </c>
      <c r="E93" s="1" t="s">
        <v>15</v>
      </c>
      <c r="F93" s="130">
        <v>355325323630550</v>
      </c>
      <c r="G93" s="23"/>
      <c r="H93" s="5">
        <v>45839</v>
      </c>
      <c r="I93" s="4">
        <v>500</v>
      </c>
      <c r="K93" s="4">
        <v>250</v>
      </c>
      <c r="L93" s="4">
        <v>250</v>
      </c>
      <c r="M93" s="5">
        <v>45882</v>
      </c>
      <c r="N93" s="58">
        <v>500</v>
      </c>
      <c r="O93" s="4">
        <v>600</v>
      </c>
      <c r="P93" s="4">
        <v>100</v>
      </c>
      <c r="Q93" s="6" t="s">
        <v>1418</v>
      </c>
    </row>
    <row r="94" spans="1:17" x14ac:dyDescent="0.3">
      <c r="A94" s="107">
        <v>12</v>
      </c>
      <c r="B94" s="23" t="s">
        <v>16</v>
      </c>
      <c r="C94" s="6" t="s">
        <v>25</v>
      </c>
      <c r="D94" s="23" t="s">
        <v>1602</v>
      </c>
      <c r="E94" s="1" t="s">
        <v>22</v>
      </c>
      <c r="F94" s="3">
        <v>359732436669316</v>
      </c>
      <c r="G94" s="1"/>
      <c r="H94" s="5">
        <v>45879</v>
      </c>
      <c r="I94" s="4">
        <v>850</v>
      </c>
      <c r="K94" s="4">
        <v>425</v>
      </c>
      <c r="L94" s="4">
        <v>425</v>
      </c>
      <c r="M94" s="5">
        <v>45884</v>
      </c>
      <c r="N94" s="58">
        <v>850</v>
      </c>
      <c r="O94" s="4">
        <v>900</v>
      </c>
      <c r="P94" s="4">
        <v>50</v>
      </c>
      <c r="Q94" s="6" t="s">
        <v>1603</v>
      </c>
    </row>
    <row r="95" spans="1:17" x14ac:dyDescent="0.3">
      <c r="A95" s="107">
        <v>3</v>
      </c>
      <c r="B95" s="23" t="s">
        <v>16</v>
      </c>
      <c r="C95" s="6" t="s">
        <v>81</v>
      </c>
      <c r="D95" s="23" t="s">
        <v>21</v>
      </c>
      <c r="E95" s="1" t="s">
        <v>15</v>
      </c>
      <c r="F95" s="130">
        <v>359206402850176</v>
      </c>
      <c r="G95" s="23"/>
      <c r="H95" s="5">
        <v>45853</v>
      </c>
      <c r="I95" s="4">
        <v>420</v>
      </c>
      <c r="K95" s="4">
        <v>210</v>
      </c>
      <c r="L95" s="4">
        <v>210</v>
      </c>
      <c r="M95" s="5">
        <v>45884</v>
      </c>
      <c r="N95" s="58">
        <v>420</v>
      </c>
      <c r="O95" s="4">
        <v>490</v>
      </c>
      <c r="P95" s="4">
        <v>70</v>
      </c>
      <c r="Q95" s="6" t="s">
        <v>1470</v>
      </c>
    </row>
    <row r="96" spans="1:17" x14ac:dyDescent="0.3">
      <c r="A96" s="107">
        <v>2</v>
      </c>
      <c r="B96" s="23" t="s">
        <v>16</v>
      </c>
      <c r="C96" s="6" t="s">
        <v>303</v>
      </c>
      <c r="D96" s="23" t="s">
        <v>1318</v>
      </c>
      <c r="E96" s="1" t="s">
        <v>22</v>
      </c>
      <c r="F96" s="130">
        <v>355041880172007</v>
      </c>
      <c r="G96" s="23"/>
      <c r="H96" s="5">
        <v>45851</v>
      </c>
      <c r="I96" s="4">
        <v>400</v>
      </c>
      <c r="K96" s="4">
        <v>200</v>
      </c>
      <c r="L96" s="4">
        <v>200</v>
      </c>
      <c r="M96" s="5">
        <v>45884</v>
      </c>
      <c r="N96" s="58">
        <v>400</v>
      </c>
      <c r="O96" s="4">
        <v>460</v>
      </c>
      <c r="P96" s="4">
        <v>60</v>
      </c>
      <c r="Q96" s="6" t="s">
        <v>1465</v>
      </c>
    </row>
    <row r="97" spans="1:17" x14ac:dyDescent="0.3">
      <c r="A97" s="107">
        <v>8</v>
      </c>
      <c r="B97" s="23" t="s">
        <v>16</v>
      </c>
      <c r="C97" s="6" t="s">
        <v>132</v>
      </c>
      <c r="D97" s="23" t="s">
        <v>35</v>
      </c>
      <c r="E97" s="1" t="s">
        <v>22</v>
      </c>
      <c r="F97" s="3">
        <v>354696400119522</v>
      </c>
      <c r="G97" s="1"/>
      <c r="H97" s="5">
        <v>45874</v>
      </c>
      <c r="I97" s="4">
        <v>245</v>
      </c>
      <c r="K97" s="4">
        <v>122.5</v>
      </c>
      <c r="L97" s="4">
        <v>122.5</v>
      </c>
      <c r="M97" s="5">
        <v>45887</v>
      </c>
      <c r="N97" s="58">
        <v>245</v>
      </c>
      <c r="O97" s="4">
        <v>280</v>
      </c>
      <c r="P97" s="4">
        <v>35</v>
      </c>
      <c r="Q97" s="6" t="s">
        <v>1585</v>
      </c>
    </row>
    <row r="98" spans="1:17" x14ac:dyDescent="0.3">
      <c r="A98" s="107">
        <v>12</v>
      </c>
      <c r="B98" s="23" t="s">
        <v>16</v>
      </c>
      <c r="C98" s="6" t="s">
        <v>250</v>
      </c>
      <c r="D98" s="23" t="s">
        <v>18</v>
      </c>
      <c r="E98" s="1" t="s">
        <v>15</v>
      </c>
      <c r="F98" s="3">
        <v>353042096141358</v>
      </c>
      <c r="G98" s="1"/>
      <c r="H98" s="5">
        <v>45887</v>
      </c>
      <c r="I98" s="4">
        <v>130</v>
      </c>
      <c r="K98" s="4">
        <v>65</v>
      </c>
      <c r="L98" s="4">
        <v>65</v>
      </c>
      <c r="M98" s="5">
        <v>45888</v>
      </c>
      <c r="N98" s="58">
        <v>130</v>
      </c>
      <c r="O98" s="4">
        <v>198.8</v>
      </c>
      <c r="P98" s="4">
        <v>68.8</v>
      </c>
      <c r="Q98" s="6" t="s">
        <v>1636</v>
      </c>
    </row>
    <row r="99" spans="1:17" x14ac:dyDescent="0.3">
      <c r="A99" s="107">
        <v>3</v>
      </c>
      <c r="B99" s="23" t="s">
        <v>16</v>
      </c>
      <c r="C99" s="6" t="s">
        <v>88</v>
      </c>
      <c r="D99" s="23" t="s">
        <v>21</v>
      </c>
      <c r="E99" s="1" t="s">
        <v>15</v>
      </c>
      <c r="F99" s="3">
        <v>351044639024861</v>
      </c>
      <c r="G99" s="1"/>
      <c r="H99" s="5">
        <v>45863</v>
      </c>
      <c r="I99" s="4">
        <v>330</v>
      </c>
      <c r="K99" s="4">
        <v>165</v>
      </c>
      <c r="L99" s="4">
        <v>165</v>
      </c>
      <c r="M99" s="5">
        <v>45888</v>
      </c>
      <c r="N99" s="58">
        <v>330</v>
      </c>
      <c r="O99" s="4">
        <v>400</v>
      </c>
      <c r="P99" s="4">
        <v>70</v>
      </c>
      <c r="Q99" s="6" t="s">
        <v>1523</v>
      </c>
    </row>
    <row r="100" spans="1:17" x14ac:dyDescent="0.3">
      <c r="A100" s="107"/>
      <c r="B100" s="23" t="s">
        <v>16</v>
      </c>
      <c r="C100" s="6" t="s">
        <v>1000</v>
      </c>
      <c r="D100" s="23" t="s">
        <v>583</v>
      </c>
      <c r="E100" s="1" t="s">
        <v>22</v>
      </c>
      <c r="F100" s="3">
        <v>355506724698151</v>
      </c>
      <c r="G100" s="1"/>
      <c r="H100" s="5">
        <v>45889</v>
      </c>
      <c r="I100" s="4">
        <v>1200</v>
      </c>
      <c r="K100" s="4">
        <v>110</v>
      </c>
      <c r="L100" s="4">
        <v>1090</v>
      </c>
      <c r="M100" s="5">
        <v>45891</v>
      </c>
      <c r="N100" s="58">
        <v>1200</v>
      </c>
      <c r="O100" s="4">
        <v>1240</v>
      </c>
      <c r="P100" s="4">
        <v>40</v>
      </c>
      <c r="Q100" s="6" t="s">
        <v>1659</v>
      </c>
    </row>
    <row r="101" spans="1:17" x14ac:dyDescent="0.3">
      <c r="A101" s="107"/>
      <c r="B101" s="23" t="s">
        <v>16</v>
      </c>
      <c r="C101" s="6" t="s">
        <v>312</v>
      </c>
      <c r="D101" s="23" t="s">
        <v>45</v>
      </c>
      <c r="E101" s="1" t="s">
        <v>15</v>
      </c>
      <c r="F101" s="3">
        <v>5368</v>
      </c>
      <c r="G101" s="1"/>
      <c r="H101" s="5">
        <v>45890</v>
      </c>
      <c r="I101" s="4">
        <v>615</v>
      </c>
      <c r="K101" s="4">
        <v>307.2</v>
      </c>
      <c r="L101" s="4">
        <v>307.2</v>
      </c>
      <c r="M101" s="5">
        <v>45891</v>
      </c>
      <c r="N101" s="58">
        <v>615</v>
      </c>
      <c r="O101" s="4">
        <v>675</v>
      </c>
      <c r="P101" s="4">
        <v>60</v>
      </c>
      <c r="Q101" s="6" t="s">
        <v>1659</v>
      </c>
    </row>
    <row r="102" spans="1:17" x14ac:dyDescent="0.3">
      <c r="A102" s="107">
        <v>3</v>
      </c>
      <c r="B102" s="23" t="s">
        <v>16</v>
      </c>
      <c r="C102" s="6" t="s">
        <v>312</v>
      </c>
      <c r="D102" s="23" t="s">
        <v>45</v>
      </c>
      <c r="E102" s="1" t="s">
        <v>22</v>
      </c>
      <c r="F102" s="3">
        <v>352996436702479</v>
      </c>
      <c r="G102" s="1"/>
      <c r="H102" s="5">
        <v>45863</v>
      </c>
      <c r="I102" s="4">
        <v>570</v>
      </c>
      <c r="K102" s="4">
        <v>285</v>
      </c>
      <c r="L102" s="4">
        <v>285</v>
      </c>
      <c r="M102" s="5">
        <v>45891</v>
      </c>
      <c r="N102" s="58">
        <v>570</v>
      </c>
      <c r="O102" s="4">
        <v>620</v>
      </c>
      <c r="P102" s="4">
        <v>50</v>
      </c>
      <c r="Q102" s="6" t="s">
        <v>1522</v>
      </c>
    </row>
    <row r="103" spans="1:17" x14ac:dyDescent="0.3">
      <c r="A103" s="107">
        <v>9</v>
      </c>
      <c r="B103" s="23" t="s">
        <v>16</v>
      </c>
      <c r="C103" s="6" t="s">
        <v>25</v>
      </c>
      <c r="D103" s="23" t="s">
        <v>26</v>
      </c>
      <c r="E103" s="1" t="s">
        <v>22</v>
      </c>
      <c r="F103" s="3">
        <v>355458124225492</v>
      </c>
      <c r="G103" s="1"/>
      <c r="H103" s="5">
        <v>45886</v>
      </c>
      <c r="I103" s="4">
        <v>940</v>
      </c>
      <c r="K103" s="4">
        <v>470</v>
      </c>
      <c r="L103" s="4">
        <v>470</v>
      </c>
      <c r="M103" s="5">
        <v>45892</v>
      </c>
      <c r="N103" s="58">
        <v>940</v>
      </c>
      <c r="O103" s="4">
        <v>970</v>
      </c>
      <c r="P103" s="4">
        <v>30</v>
      </c>
      <c r="Q103" s="6" t="s">
        <v>1641</v>
      </c>
    </row>
    <row r="104" spans="1:17" x14ac:dyDescent="0.3">
      <c r="A104" s="107">
        <v>4</v>
      </c>
      <c r="B104" s="23" t="s">
        <v>16</v>
      </c>
      <c r="C104" s="6" t="s">
        <v>1368</v>
      </c>
      <c r="D104" s="23" t="s">
        <v>65</v>
      </c>
      <c r="E104" s="1" t="s">
        <v>15</v>
      </c>
      <c r="F104" s="3">
        <v>353076694810519</v>
      </c>
      <c r="G104" s="1"/>
      <c r="H104" s="5">
        <v>45863</v>
      </c>
      <c r="I104" s="4">
        <v>310</v>
      </c>
      <c r="K104" s="4">
        <v>155</v>
      </c>
      <c r="L104" s="4">
        <v>155</v>
      </c>
      <c r="M104" s="5">
        <v>45892</v>
      </c>
      <c r="N104" s="58">
        <v>310</v>
      </c>
      <c r="O104" s="4">
        <v>370</v>
      </c>
      <c r="P104" s="4">
        <v>60</v>
      </c>
      <c r="Q104" s="6" t="s">
        <v>1473</v>
      </c>
    </row>
    <row r="105" spans="1:17" x14ac:dyDescent="0.3">
      <c r="A105" s="107">
        <v>1</v>
      </c>
      <c r="B105" s="92" t="s">
        <v>16</v>
      </c>
      <c r="C105" s="93" t="s">
        <v>132</v>
      </c>
      <c r="D105" s="92" t="s">
        <v>21</v>
      </c>
      <c r="E105" s="94" t="s">
        <v>15</v>
      </c>
      <c r="F105" s="95">
        <v>359458689927561</v>
      </c>
      <c r="G105" s="92" t="s">
        <v>1454</v>
      </c>
      <c r="H105" s="96">
        <v>45851</v>
      </c>
      <c r="I105" s="97">
        <v>160</v>
      </c>
      <c r="J105" s="97">
        <v>39</v>
      </c>
      <c r="K105" s="97">
        <v>100</v>
      </c>
      <c r="L105" s="97">
        <v>100</v>
      </c>
      <c r="M105" s="96" t="s">
        <v>973</v>
      </c>
      <c r="N105" s="98">
        <v>199</v>
      </c>
      <c r="O105" s="97">
        <v>250</v>
      </c>
      <c r="P105" s="97">
        <v>50</v>
      </c>
      <c r="Q105" s="93">
        <v>950705729</v>
      </c>
    </row>
    <row r="106" spans="1:17" x14ac:dyDescent="0.3">
      <c r="A106" s="107">
        <v>3</v>
      </c>
      <c r="B106" s="23" t="s">
        <v>16</v>
      </c>
      <c r="C106" s="6" t="s">
        <v>1368</v>
      </c>
      <c r="D106" s="23" t="s">
        <v>21</v>
      </c>
      <c r="E106" s="1" t="s">
        <v>15</v>
      </c>
      <c r="F106" s="3">
        <v>356688114608732</v>
      </c>
      <c r="G106" s="1"/>
      <c r="H106" s="5">
        <v>45863</v>
      </c>
      <c r="I106" s="4">
        <v>310</v>
      </c>
      <c r="K106" s="4">
        <v>155</v>
      </c>
      <c r="L106" s="4">
        <v>155</v>
      </c>
      <c r="M106" s="5">
        <v>45897</v>
      </c>
      <c r="N106" s="58">
        <v>310</v>
      </c>
      <c r="O106" s="4">
        <v>360</v>
      </c>
      <c r="P106" s="4">
        <v>50</v>
      </c>
      <c r="Q106" s="6" t="s">
        <v>1473</v>
      </c>
    </row>
    <row r="107" spans="1:17" x14ac:dyDescent="0.3">
      <c r="A107" s="107"/>
      <c r="B107" s="23"/>
      <c r="C107" s="6"/>
      <c r="D107" s="23"/>
      <c r="F107" s="3"/>
      <c r="G107" s="1"/>
      <c r="H107" s="5"/>
      <c r="M107" s="5"/>
      <c r="N107" s="58"/>
      <c r="P107" s="4">
        <f>Таблица31213[[#This Row],[SOTILGAN NARXI]]-Таблица31213[[#This Row],[OLINGAN NARXI $]]-Таблица31213[[#This Row],[RASXOD]]</f>
        <v>0</v>
      </c>
      <c r="Q107" s="6"/>
    </row>
    <row r="108" spans="1:17" x14ac:dyDescent="0.3">
      <c r="A108" s="107"/>
      <c r="B108" s="23"/>
      <c r="C108" s="6"/>
      <c r="D108" s="23"/>
      <c r="F108" s="3"/>
      <c r="G108" s="1"/>
      <c r="H108" s="5"/>
      <c r="M108" s="5"/>
      <c r="N108" s="58"/>
      <c r="P108" s="4">
        <f>Таблица31213[[#This Row],[SOTILGAN NARXI]]-Таблица31213[[#This Row],[OLINGAN NARXI $]]-Таблица31213[[#This Row],[RASXOD]]</f>
        <v>0</v>
      </c>
      <c r="Q108" s="6"/>
    </row>
    <row r="109" spans="1:17" x14ac:dyDescent="0.3">
      <c r="A109" s="107"/>
      <c r="B109" s="23"/>
      <c r="C109" s="6"/>
      <c r="D109" s="23"/>
      <c r="F109" s="3"/>
      <c r="G109" s="1"/>
      <c r="H109" s="5"/>
      <c r="M109" s="5"/>
      <c r="N109" s="58"/>
      <c r="P109" s="4">
        <f>Таблица31213[[#This Row],[SOTILGAN NARXI]]-Таблица31213[[#This Row],[OLINGAN NARXI $]]-Таблица31213[[#This Row],[RASXOD]]</f>
        <v>0</v>
      </c>
      <c r="Q109" s="6"/>
    </row>
    <row r="110" spans="1:17" x14ac:dyDescent="0.3">
      <c r="A110" s="107"/>
      <c r="B110" s="23"/>
      <c r="C110" s="6"/>
      <c r="D110" s="23"/>
      <c r="F110" s="3"/>
      <c r="G110" s="1"/>
      <c r="H110" s="5"/>
      <c r="M110" s="5"/>
      <c r="N110" s="58"/>
      <c r="P110" s="4">
        <f>Таблица31213[[#This Row],[SOTILGAN NARXI]]-Таблица31213[[#This Row],[OLINGAN NARXI $]]-Таблица31213[[#This Row],[RASXOD]]</f>
        <v>0</v>
      </c>
      <c r="Q110" s="6"/>
    </row>
    <row r="111" spans="1:17" x14ac:dyDescent="0.3">
      <c r="A111" s="107"/>
      <c r="B111" s="23"/>
      <c r="C111" s="6"/>
      <c r="D111" s="23"/>
      <c r="F111" s="3"/>
      <c r="G111" s="1"/>
      <c r="H111" s="5"/>
      <c r="M111" s="5"/>
      <c r="N111" s="58"/>
      <c r="P111" s="4">
        <f>Таблица31213[[#This Row],[SOTILGAN NARXI]]-Таблица31213[[#This Row],[OLINGAN NARXI $]]-Таблица31213[[#This Row],[RASXOD]]</f>
        <v>0</v>
      </c>
      <c r="Q111" s="6"/>
    </row>
    <row r="112" spans="1:17" x14ac:dyDescent="0.3">
      <c r="A112" s="107"/>
      <c r="B112" s="23"/>
      <c r="C112" s="6"/>
      <c r="D112" s="23"/>
      <c r="F112" s="3"/>
      <c r="G112" s="1"/>
      <c r="H112" s="5"/>
      <c r="M112" s="5"/>
      <c r="N112" s="58"/>
      <c r="P112" s="4">
        <f>Таблица31213[[#This Row],[SOTILGAN NARXI]]-Таблица31213[[#This Row],[OLINGAN NARXI $]]-Таблица31213[[#This Row],[RASXOD]]</f>
        <v>0</v>
      </c>
      <c r="Q112" s="6"/>
    </row>
    <row r="113" spans="1:17" x14ac:dyDescent="0.3">
      <c r="A113" s="107"/>
      <c r="B113" s="23"/>
      <c r="C113" s="6"/>
      <c r="D113" s="23"/>
      <c r="F113" s="3"/>
      <c r="G113" s="1"/>
      <c r="H113" s="5"/>
      <c r="M113" s="5"/>
      <c r="N113" s="58"/>
      <c r="P113" s="4">
        <f>Таблица31213[[#This Row],[SOTILGAN NARXI]]-Таблица31213[[#This Row],[OLINGAN NARXI $]]-Таблица31213[[#This Row],[RASXOD]]</f>
        <v>0</v>
      </c>
      <c r="Q113" s="6"/>
    </row>
    <row r="114" spans="1:17" x14ac:dyDescent="0.3">
      <c r="A114" s="107">
        <v>34</v>
      </c>
      <c r="B114" s="23"/>
      <c r="C114" s="6"/>
      <c r="D114" s="23"/>
      <c r="E114" s="3"/>
      <c r="F114" s="3"/>
      <c r="G114" s="2"/>
      <c r="H114" s="5"/>
      <c r="J114" s="5"/>
      <c r="L114" s="5"/>
      <c r="M114" s="5"/>
      <c r="N114" s="58"/>
      <c r="P114" s="4">
        <f>Таблица31213[[#This Row],[SOTILGAN NARXI]]-Таблица31213[[#This Row],[OLINGAN NARXI $]]-Таблица31213[[#This Row],[RASXOD]]</f>
        <v>0</v>
      </c>
      <c r="Q114" s="6"/>
    </row>
    <row r="115" spans="1:17" x14ac:dyDescent="0.3">
      <c r="A115" s="107">
        <v>35</v>
      </c>
      <c r="B115" s="23"/>
      <c r="C115" s="6"/>
      <c r="D115" s="23"/>
      <c r="E115" s="3"/>
      <c r="F115" s="3"/>
      <c r="G115" s="2"/>
      <c r="H115" s="5"/>
      <c r="J115" s="5"/>
      <c r="M115" s="5"/>
      <c r="N115" s="58"/>
      <c r="P115" s="4">
        <f>Таблица31213[[#This Row],[SOTILGAN NARXI]]-Таблица31213[[#This Row],[OLINGAN NARXI $]]-Таблица31213[[#This Row],[RASXOD]]</f>
        <v>0</v>
      </c>
      <c r="Q115" s="6"/>
    </row>
    <row r="116" spans="1:17" s="145" customFormat="1" x14ac:dyDescent="0.3">
      <c r="A116" s="139"/>
      <c r="B116" s="139"/>
      <c r="C116" s="71"/>
      <c r="D116" s="140"/>
      <c r="E116" s="141"/>
      <c r="F116" s="141"/>
      <c r="G116" s="68"/>
      <c r="H116" s="142"/>
      <c r="I116" s="143"/>
      <c r="J116" s="142"/>
      <c r="K116" s="21">
        <f>SUM(K37:K115)</f>
        <v>16632.7</v>
      </c>
      <c r="L116" s="21">
        <f>SUM(L37:L115)</f>
        <v>17872.7</v>
      </c>
      <c r="M116" s="142"/>
      <c r="N116" s="144"/>
      <c r="O116" s="146">
        <f>SUM(O37:O115)</f>
        <v>38365.800000000003</v>
      </c>
      <c r="P116" s="147">
        <f>SUM(P37:P115)</f>
        <v>3915.8</v>
      </c>
      <c r="Q116" s="71"/>
    </row>
    <row r="117" spans="1:17" x14ac:dyDescent="0.3">
      <c r="A117" s="23"/>
      <c r="E117" s="3"/>
      <c r="G117" s="5"/>
      <c r="J117" s="5"/>
      <c r="K117" s="5"/>
      <c r="L117" s="5"/>
      <c r="M117" s="5"/>
      <c r="P117" s="6"/>
    </row>
    <row r="118" spans="1:17" x14ac:dyDescent="0.3">
      <c r="A118" s="23"/>
      <c r="E118" s="3"/>
      <c r="G118" s="5"/>
      <c r="J118" s="5"/>
      <c r="K118" s="5"/>
      <c r="L118" s="5"/>
      <c r="M118" s="5"/>
      <c r="P118" s="6"/>
    </row>
    <row r="119" spans="1:17" x14ac:dyDescent="0.3">
      <c r="A119" s="23"/>
      <c r="E119" s="3"/>
      <c r="G119" s="5"/>
      <c r="J119" s="5"/>
      <c r="K119" s="5"/>
      <c r="L119" s="5"/>
      <c r="M119" s="5"/>
      <c r="P119" s="6"/>
    </row>
    <row r="120" spans="1:17" x14ac:dyDescent="0.3">
      <c r="A120" s="23"/>
      <c r="E120" s="3"/>
      <c r="G120" s="5"/>
      <c r="J120" s="5"/>
      <c r="K120" s="5"/>
      <c r="L120" s="5"/>
      <c r="M120" s="5"/>
      <c r="P120" s="6"/>
    </row>
    <row r="121" spans="1:17" x14ac:dyDescent="0.3">
      <c r="A121" s="23"/>
      <c r="E121" s="3"/>
      <c r="G121" s="5"/>
      <c r="J121" s="5"/>
      <c r="K121" s="5"/>
      <c r="L121" s="5"/>
      <c r="M121" s="5"/>
      <c r="P121" s="6"/>
    </row>
    <row r="122" spans="1:17" x14ac:dyDescent="0.3">
      <c r="A122" s="23"/>
      <c r="E122" s="3"/>
      <c r="G122" s="5"/>
      <c r="J122" s="5"/>
      <c r="K122" s="5"/>
      <c r="L122" s="5"/>
      <c r="M122" s="5"/>
      <c r="P122" s="6"/>
    </row>
    <row r="123" spans="1:17" x14ac:dyDescent="0.3">
      <c r="A123" s="23"/>
      <c r="E123" s="3"/>
      <c r="G123" s="5"/>
      <c r="J123" s="5"/>
      <c r="K123" s="5"/>
      <c r="L123" s="5"/>
      <c r="M123" s="5"/>
      <c r="P123" s="6"/>
    </row>
    <row r="124" spans="1:17" x14ac:dyDescent="0.3">
      <c r="A124" s="23"/>
      <c r="E124" s="3"/>
      <c r="G124" s="5"/>
      <c r="J124" s="5"/>
      <c r="K124" s="5"/>
      <c r="L124" s="5"/>
      <c r="M124" s="5"/>
      <c r="P124" s="6"/>
    </row>
    <row r="125" spans="1:17" x14ac:dyDescent="0.3">
      <c r="A125" s="23"/>
      <c r="E125" s="3"/>
      <c r="G125" s="5"/>
      <c r="J125" s="5"/>
      <c r="K125" s="5"/>
      <c r="L125" s="5"/>
      <c r="M125" s="5"/>
      <c r="P125" s="6"/>
    </row>
    <row r="126" spans="1:17" x14ac:dyDescent="0.3">
      <c r="A126" s="23"/>
      <c r="E126" s="3"/>
      <c r="G126" s="5"/>
      <c r="J126" s="5"/>
      <c r="K126" s="5"/>
      <c r="L126" s="5"/>
      <c r="M126" s="5"/>
      <c r="P126" s="6"/>
    </row>
    <row r="127" spans="1:17" x14ac:dyDescent="0.3">
      <c r="A127" s="23"/>
      <c r="E127" s="3"/>
      <c r="G127" s="5"/>
      <c r="J127" s="5"/>
      <c r="K127" s="5"/>
      <c r="L127" s="5"/>
      <c r="M127" s="5"/>
      <c r="P127" s="6"/>
    </row>
    <row r="128" spans="1:17" x14ac:dyDescent="0.3">
      <c r="A128" s="23"/>
      <c r="E128" s="3"/>
      <c r="G128" s="5"/>
      <c r="J128" s="5"/>
      <c r="K128" s="5"/>
      <c r="L128" s="5"/>
      <c r="M128" s="5"/>
      <c r="P128" s="6"/>
    </row>
    <row r="129" spans="1:16" x14ac:dyDescent="0.3">
      <c r="A129" s="23"/>
      <c r="E129" s="3"/>
      <c r="G129" s="5"/>
      <c r="J129" s="5"/>
      <c r="K129" s="5"/>
      <c r="L129" s="5"/>
      <c r="M129" s="5"/>
      <c r="P129" s="6"/>
    </row>
    <row r="130" spans="1:16" x14ac:dyDescent="0.3">
      <c r="A130" s="23"/>
      <c r="E130" s="3"/>
      <c r="G130" s="5"/>
      <c r="J130" s="5"/>
      <c r="K130" s="5"/>
      <c r="L130" s="5"/>
      <c r="M130" s="5"/>
      <c r="P130" s="6"/>
    </row>
    <row r="131" spans="1:16" x14ac:dyDescent="0.3">
      <c r="A131" s="23"/>
      <c r="E131" s="3"/>
      <c r="G131" s="5"/>
      <c r="J131" s="5"/>
      <c r="K131" s="5"/>
      <c r="L131" s="5"/>
      <c r="M131" s="5"/>
      <c r="P131" s="6"/>
    </row>
    <row r="132" spans="1:16" x14ac:dyDescent="0.3">
      <c r="A132" s="23"/>
      <c r="E132" s="3"/>
      <c r="G132" s="5"/>
      <c r="J132" s="5"/>
      <c r="K132" s="5"/>
      <c r="L132" s="5"/>
      <c r="M132" s="5"/>
      <c r="P132" s="6"/>
    </row>
    <row r="133" spans="1:16" x14ac:dyDescent="0.3">
      <c r="A133" s="23"/>
      <c r="E133" s="3"/>
      <c r="G133" s="5"/>
      <c r="J133" s="5"/>
      <c r="K133" s="5"/>
      <c r="L133" s="5"/>
      <c r="M133" s="5"/>
      <c r="P133" s="6"/>
    </row>
    <row r="134" spans="1:16" x14ac:dyDescent="0.3">
      <c r="A134" s="23"/>
      <c r="E134" s="3"/>
      <c r="G134" s="5"/>
      <c r="J134" s="5"/>
      <c r="K134" s="5"/>
      <c r="L134" s="5"/>
      <c r="M134" s="5"/>
      <c r="P134" s="6"/>
    </row>
    <row r="135" spans="1:16" x14ac:dyDescent="0.3">
      <c r="A135" s="23"/>
      <c r="E135" s="3"/>
      <c r="G135" s="5"/>
      <c r="J135" s="5"/>
      <c r="K135" s="5"/>
      <c r="L135" s="5"/>
      <c r="M135" s="5"/>
      <c r="P135" s="6"/>
    </row>
    <row r="136" spans="1:16" x14ac:dyDescent="0.3">
      <c r="A136" s="23"/>
      <c r="E136" s="3"/>
      <c r="G136" s="5"/>
      <c r="J136" s="5"/>
      <c r="K136" s="5"/>
      <c r="L136" s="5"/>
      <c r="M136" s="5"/>
      <c r="P136" s="6"/>
    </row>
    <row r="137" spans="1:16" x14ac:dyDescent="0.3">
      <c r="A137" s="23"/>
      <c r="E137" s="3"/>
      <c r="G137" s="5"/>
      <c r="J137" s="5"/>
      <c r="K137" s="5"/>
      <c r="L137" s="5"/>
      <c r="M137" s="5"/>
      <c r="P137" s="6"/>
    </row>
    <row r="138" spans="1:16" x14ac:dyDescent="0.3">
      <c r="A138" s="23"/>
      <c r="E138" s="3"/>
      <c r="G138" s="5"/>
      <c r="J138" s="5"/>
      <c r="K138" s="5"/>
      <c r="L138" s="5"/>
      <c r="M138" s="5"/>
      <c r="P138" s="6"/>
    </row>
    <row r="139" spans="1:16" x14ac:dyDescent="0.3">
      <c r="A139" s="23"/>
      <c r="E139" s="3"/>
      <c r="G139" s="5"/>
      <c r="J139" s="5"/>
      <c r="K139" s="5"/>
      <c r="L139" s="5"/>
      <c r="M139" s="5"/>
      <c r="P139" s="6"/>
    </row>
    <row r="140" spans="1:16" x14ac:dyDescent="0.3">
      <c r="A140" s="23"/>
      <c r="E140" s="3"/>
      <c r="G140" s="5"/>
      <c r="J140" s="5"/>
      <c r="K140" s="5"/>
      <c r="L140" s="5"/>
      <c r="M140" s="5"/>
      <c r="P140" s="6"/>
    </row>
    <row r="141" spans="1:16" x14ac:dyDescent="0.3">
      <c r="A141" s="23"/>
      <c r="E141" s="3"/>
      <c r="G141" s="5"/>
      <c r="J141" s="5"/>
      <c r="K141" s="5"/>
      <c r="L141" s="5"/>
      <c r="M141" s="5"/>
      <c r="P141" s="6"/>
    </row>
    <row r="142" spans="1:16" x14ac:dyDescent="0.3">
      <c r="A142" s="23"/>
      <c r="E142" s="3"/>
      <c r="G142" s="5"/>
      <c r="J142" s="5"/>
      <c r="K142" s="5"/>
      <c r="L142" s="5"/>
      <c r="M142" s="5"/>
      <c r="P142" s="6"/>
    </row>
    <row r="143" spans="1:16" x14ac:dyDescent="0.3">
      <c r="A143" s="23"/>
      <c r="E143" s="3"/>
      <c r="G143" s="5"/>
      <c r="J143" s="5"/>
      <c r="K143" s="5"/>
      <c r="L143" s="5"/>
      <c r="M143" s="5"/>
      <c r="P143" s="6"/>
    </row>
    <row r="144" spans="1:16" x14ac:dyDescent="0.3">
      <c r="A144" s="23"/>
      <c r="E144" s="3"/>
      <c r="G144" s="5"/>
      <c r="J144" s="5"/>
      <c r="K144" s="5"/>
      <c r="L144" s="5"/>
      <c r="M144" s="5"/>
      <c r="P144" s="6"/>
    </row>
    <row r="145" spans="1:16" x14ac:dyDescent="0.3">
      <c r="A145" s="23"/>
      <c r="E145" s="3"/>
      <c r="G145" s="5"/>
      <c r="J145" s="5"/>
      <c r="K145" s="5"/>
      <c r="L145" s="5"/>
      <c r="M145" s="5"/>
      <c r="P145" s="6"/>
    </row>
    <row r="146" spans="1:16" x14ac:dyDescent="0.3">
      <c r="A146" s="23"/>
      <c r="E146" s="3"/>
      <c r="G146" s="5"/>
      <c r="J146" s="5"/>
      <c r="K146" s="5"/>
      <c r="L146" s="5"/>
      <c r="M146" s="5"/>
      <c r="P146" s="6"/>
    </row>
    <row r="147" spans="1:16" x14ac:dyDescent="0.3">
      <c r="A147" s="23"/>
      <c r="E147" s="3"/>
      <c r="G147" s="5"/>
      <c r="J147" s="5"/>
      <c r="K147" s="5"/>
      <c r="L147" s="5"/>
      <c r="M147" s="5"/>
      <c r="P147" s="6"/>
    </row>
    <row r="148" spans="1:16" x14ac:dyDescent="0.3">
      <c r="A148" s="23"/>
      <c r="E148" s="3"/>
      <c r="G148" s="5"/>
      <c r="J148" s="5"/>
      <c r="K148" s="5"/>
      <c r="L148" s="5"/>
      <c r="M148" s="5"/>
      <c r="P148" s="6"/>
    </row>
    <row r="149" spans="1:16" x14ac:dyDescent="0.3">
      <c r="A149" s="23"/>
      <c r="E149" s="3"/>
      <c r="G149" s="5"/>
      <c r="J149" s="5"/>
      <c r="K149" s="5"/>
      <c r="L149" s="5"/>
      <c r="M149" s="5"/>
      <c r="P149" s="6"/>
    </row>
    <row r="150" spans="1:16" x14ac:dyDescent="0.3">
      <c r="A150" s="23"/>
      <c r="E150" s="3"/>
      <c r="G150" s="5"/>
      <c r="J150" s="5"/>
      <c r="K150" s="5"/>
      <c r="L150" s="5"/>
      <c r="M150" s="5"/>
      <c r="P150" s="6"/>
    </row>
    <row r="151" spans="1:16" x14ac:dyDescent="0.3">
      <c r="A151" s="23"/>
      <c r="E151" s="3"/>
      <c r="G151" s="5"/>
      <c r="J151" s="5"/>
      <c r="K151" s="5"/>
      <c r="L151" s="5"/>
      <c r="M151" s="5"/>
      <c r="P151" s="6"/>
    </row>
    <row r="152" spans="1:16" x14ac:dyDescent="0.3">
      <c r="A152" s="23"/>
      <c r="E152" s="3"/>
      <c r="G152" s="5"/>
      <c r="J152" s="5"/>
      <c r="K152" s="5"/>
      <c r="L152" s="5"/>
      <c r="M152" s="5"/>
      <c r="P152" s="6"/>
    </row>
    <row r="153" spans="1:16" x14ac:dyDescent="0.3">
      <c r="A153" s="23"/>
      <c r="E153" s="3"/>
      <c r="G153" s="5"/>
      <c r="J153" s="5"/>
      <c r="K153" s="5"/>
      <c r="L153" s="5"/>
      <c r="M153" s="5"/>
      <c r="P153" s="6"/>
    </row>
    <row r="154" spans="1:16" x14ac:dyDescent="0.3">
      <c r="A154" s="23"/>
      <c r="E154" s="3"/>
      <c r="G154" s="5"/>
      <c r="J154" s="5"/>
      <c r="K154" s="5"/>
      <c r="L154" s="5"/>
      <c r="M154" s="5"/>
      <c r="P154" s="6"/>
    </row>
    <row r="155" spans="1:16" x14ac:dyDescent="0.3">
      <c r="A155" s="23"/>
      <c r="E155" s="3"/>
      <c r="G155" s="5"/>
      <c r="J155" s="5"/>
      <c r="K155" s="5"/>
      <c r="L155" s="5"/>
      <c r="M155" s="5"/>
      <c r="P155" s="6"/>
    </row>
    <row r="156" spans="1:16" x14ac:dyDescent="0.3">
      <c r="A156" s="23"/>
      <c r="E156" s="3"/>
      <c r="G156" s="5"/>
      <c r="J156" s="5"/>
      <c r="K156" s="5"/>
      <c r="L156" s="5"/>
      <c r="M156" s="5"/>
      <c r="P156" s="6"/>
    </row>
    <row r="157" spans="1:16" x14ac:dyDescent="0.3">
      <c r="A157" s="23"/>
      <c r="E157" s="3"/>
      <c r="G157" s="5"/>
      <c r="J157" s="5"/>
      <c r="K157" s="5"/>
      <c r="L157" s="5"/>
      <c r="M157" s="5"/>
      <c r="P157" s="6"/>
    </row>
    <row r="158" spans="1:16" x14ac:dyDescent="0.3">
      <c r="A158" s="23"/>
      <c r="E158" s="3"/>
      <c r="G158" s="5"/>
      <c r="J158" s="5"/>
      <c r="K158" s="5"/>
      <c r="L158" s="5"/>
      <c r="M158" s="5"/>
      <c r="P158" s="6"/>
    </row>
    <row r="159" spans="1:16" x14ac:dyDescent="0.3">
      <c r="A159" s="23"/>
      <c r="E159" s="3"/>
      <c r="G159" s="5"/>
      <c r="J159" s="5"/>
      <c r="K159" s="5"/>
      <c r="L159" s="5"/>
      <c r="M159" s="5"/>
      <c r="P159" s="6"/>
    </row>
    <row r="160" spans="1:16" x14ac:dyDescent="0.3">
      <c r="A160" s="23"/>
      <c r="E160" s="3"/>
      <c r="G160" s="5"/>
      <c r="J160" s="5"/>
      <c r="K160" s="5"/>
      <c r="L160" s="5"/>
      <c r="M160" s="5"/>
      <c r="P160" s="6"/>
    </row>
    <row r="161" spans="1:16" x14ac:dyDescent="0.3">
      <c r="A161" s="23"/>
      <c r="E161" s="3"/>
      <c r="G161" s="5"/>
      <c r="J161" s="5"/>
      <c r="K161" s="5"/>
      <c r="L161" s="5"/>
      <c r="M161" s="5"/>
      <c r="P161" s="6"/>
    </row>
    <row r="162" spans="1:16" x14ac:dyDescent="0.3">
      <c r="A162" s="23"/>
      <c r="E162" s="3"/>
      <c r="G162" s="5"/>
      <c r="J162" s="5"/>
      <c r="K162" s="5"/>
      <c r="L162" s="5"/>
      <c r="M162" s="5"/>
      <c r="P162" s="6"/>
    </row>
    <row r="163" spans="1:16" x14ac:dyDescent="0.3">
      <c r="A163" s="23"/>
      <c r="E163" s="3"/>
      <c r="G163" s="5"/>
      <c r="J163" s="5"/>
      <c r="K163" s="5"/>
      <c r="L163" s="5"/>
      <c r="M163" s="5"/>
      <c r="P163" s="6"/>
    </row>
    <row r="164" spans="1:16" x14ac:dyDescent="0.3">
      <c r="A164" s="23"/>
      <c r="E164" s="3"/>
      <c r="G164" s="5"/>
      <c r="J164" s="5"/>
      <c r="K164" s="5"/>
      <c r="L164" s="5"/>
      <c r="M164" s="5"/>
      <c r="P164" s="6"/>
    </row>
    <row r="165" spans="1:16" x14ac:dyDescent="0.3">
      <c r="A165" s="23"/>
      <c r="E165" s="3"/>
      <c r="G165" s="5"/>
      <c r="J165" s="5"/>
      <c r="K165" s="5"/>
      <c r="L165" s="5"/>
      <c r="M165" s="5"/>
      <c r="P165" s="6"/>
    </row>
  </sheetData>
  <phoneticPr fontId="1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04364-F708-423C-A6CB-FB88638DDC27}">
  <dimension ref="A1:R64"/>
  <sheetViews>
    <sheetView topLeftCell="A7" zoomScale="90" zoomScaleNormal="90" workbookViewId="0">
      <selection activeCell="G55" sqref="G55"/>
    </sheetView>
  </sheetViews>
  <sheetFormatPr defaultRowHeight="14.4" x14ac:dyDescent="0.3"/>
  <cols>
    <col min="1" max="1" width="4.21875" customWidth="1"/>
    <col min="2" max="2" width="11.109375" customWidth="1"/>
    <col min="3" max="3" width="10.44140625" customWidth="1"/>
    <col min="4" max="4" width="10.88671875" customWidth="1"/>
    <col min="5" max="5" width="7.44140625" customWidth="1"/>
    <col min="6" max="6" width="20" customWidth="1"/>
    <col min="7" max="7" width="19.77734375" customWidth="1"/>
    <col min="8" max="8" width="14.5546875" customWidth="1"/>
    <col min="9" max="9" width="11.88671875" customWidth="1"/>
    <col min="11" max="11" width="14.6640625" customWidth="1"/>
    <col min="12" max="12" width="10.109375" customWidth="1"/>
    <col min="13" max="13" width="14.77734375" customWidth="1"/>
    <col min="15" max="15" width="21.33203125" customWidth="1"/>
    <col min="16" max="16" width="16.33203125" customWidth="1"/>
    <col min="17" max="17" width="11.77734375" customWidth="1"/>
  </cols>
  <sheetData>
    <row r="1" spans="1:18" s="56" customFormat="1" x14ac:dyDescent="0.3">
      <c r="A1" s="161"/>
      <c r="B1" s="162" t="s">
        <v>1556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3"/>
    </row>
    <row r="2" spans="1:18" ht="15" thickBot="1" x14ac:dyDescent="0.35">
      <c r="A2" s="170"/>
      <c r="B2" s="171" t="s">
        <v>0</v>
      </c>
      <c r="C2" s="172" t="s">
        <v>2</v>
      </c>
      <c r="D2" s="171" t="s">
        <v>1</v>
      </c>
      <c r="E2" s="171" t="s">
        <v>3</v>
      </c>
      <c r="F2" s="173" t="s">
        <v>4</v>
      </c>
      <c r="G2" s="171" t="s">
        <v>5</v>
      </c>
      <c r="H2" s="174" t="s">
        <v>6</v>
      </c>
      <c r="I2" s="171" t="s">
        <v>7</v>
      </c>
      <c r="J2" s="171" t="s">
        <v>8</v>
      </c>
      <c r="K2" s="174" t="s">
        <v>10</v>
      </c>
      <c r="L2" s="174" t="s">
        <v>980</v>
      </c>
      <c r="M2" s="171" t="s">
        <v>9</v>
      </c>
      <c r="N2" s="171" t="s">
        <v>11</v>
      </c>
      <c r="O2" s="171" t="s">
        <v>12</v>
      </c>
      <c r="P2" s="171" t="s">
        <v>1559</v>
      </c>
      <c r="Q2" s="175" t="s">
        <v>1560</v>
      </c>
      <c r="R2" s="181" t="s">
        <v>1565</v>
      </c>
    </row>
    <row r="3" spans="1:18" s="205" customFormat="1" x14ac:dyDescent="0.3">
      <c r="A3" s="198"/>
      <c r="B3" s="198"/>
      <c r="C3" s="199"/>
      <c r="D3" s="200"/>
      <c r="E3" s="200"/>
      <c r="F3" s="201"/>
      <c r="G3" s="200"/>
      <c r="H3" s="202"/>
      <c r="I3" s="203"/>
      <c r="J3" s="203"/>
      <c r="K3" s="202"/>
      <c r="L3" s="204"/>
      <c r="M3" s="203"/>
      <c r="N3" s="203"/>
      <c r="O3" s="199"/>
    </row>
    <row r="4" spans="1:18" s="205" customFormat="1" x14ac:dyDescent="0.3">
      <c r="A4" s="198"/>
      <c r="B4" s="198"/>
      <c r="C4" s="199"/>
      <c r="D4" s="200"/>
      <c r="E4" s="200"/>
      <c r="F4" s="201"/>
      <c r="G4" s="200"/>
      <c r="H4" s="202"/>
      <c r="I4" s="203"/>
      <c r="J4" s="203"/>
      <c r="K4" s="202"/>
      <c r="L4" s="204"/>
      <c r="M4" s="203"/>
      <c r="N4" s="203"/>
      <c r="O4" s="199"/>
    </row>
    <row r="5" spans="1:18" s="205" customFormat="1" x14ac:dyDescent="0.3">
      <c r="A5" s="198"/>
      <c r="B5" s="198"/>
      <c r="C5" s="199"/>
      <c r="D5" s="200"/>
      <c r="E5" s="200"/>
      <c r="F5" s="201"/>
      <c r="G5" s="200"/>
      <c r="H5" s="202"/>
      <c r="I5" s="203"/>
      <c r="J5" s="203"/>
      <c r="K5" s="202"/>
      <c r="L5" s="204"/>
      <c r="M5" s="203"/>
      <c r="N5" s="203"/>
      <c r="O5" s="199"/>
    </row>
    <row r="6" spans="1:18" s="205" customFormat="1" x14ac:dyDescent="0.3">
      <c r="A6" s="198"/>
      <c r="B6" s="198"/>
      <c r="C6" s="199"/>
      <c r="D6" s="200"/>
      <c r="E6" s="200"/>
      <c r="F6" s="201"/>
      <c r="G6" s="200"/>
      <c r="H6" s="202"/>
      <c r="I6" s="203"/>
      <c r="J6" s="203"/>
      <c r="K6" s="202"/>
      <c r="L6" s="204"/>
      <c r="M6" s="203"/>
      <c r="N6" s="203"/>
      <c r="O6" s="199"/>
    </row>
    <row r="7" spans="1:18" s="205" customFormat="1" x14ac:dyDescent="0.3">
      <c r="A7" s="198"/>
      <c r="B7" s="198"/>
      <c r="C7" s="199"/>
      <c r="D7" s="200"/>
      <c r="E7" s="200"/>
      <c r="F7" s="201"/>
      <c r="G7" s="200"/>
      <c r="H7" s="202"/>
      <c r="I7" s="203"/>
      <c r="J7" s="203"/>
      <c r="K7" s="202"/>
      <c r="L7" s="204"/>
      <c r="M7" s="203"/>
      <c r="N7" s="203"/>
      <c r="O7" s="199"/>
    </row>
    <row r="8" spans="1:18" x14ac:dyDescent="0.3">
      <c r="A8" s="23"/>
      <c r="B8" s="23"/>
      <c r="C8" s="6"/>
      <c r="D8" s="1"/>
      <c r="E8" s="1"/>
      <c r="F8" s="3"/>
      <c r="G8" s="1"/>
      <c r="H8" s="5"/>
      <c r="I8" s="4"/>
      <c r="J8" s="4"/>
      <c r="K8" s="5"/>
      <c r="L8" s="58"/>
      <c r="M8" s="4"/>
      <c r="N8" s="4"/>
      <c r="O8" s="6"/>
    </row>
    <row r="9" spans="1:18" x14ac:dyDescent="0.3">
      <c r="A9" s="23"/>
      <c r="B9" s="23"/>
      <c r="C9" s="6"/>
      <c r="D9" s="1"/>
      <c r="E9" s="1"/>
      <c r="F9" s="3"/>
      <c r="G9" s="1"/>
      <c r="H9" s="5"/>
      <c r="I9" s="4"/>
      <c r="J9" s="4"/>
      <c r="K9" s="5"/>
      <c r="L9" s="58"/>
      <c r="M9" s="4"/>
      <c r="N9" s="4"/>
      <c r="O9" s="6"/>
    </row>
    <row r="10" spans="1:18" x14ac:dyDescent="0.3">
      <c r="A10" s="23"/>
      <c r="B10" s="23"/>
      <c r="C10" s="6"/>
      <c r="D10" s="1"/>
      <c r="E10" s="1"/>
      <c r="F10" s="3"/>
      <c r="G10" s="1"/>
      <c r="H10" s="5"/>
      <c r="I10" s="4"/>
      <c r="J10" s="4"/>
      <c r="K10" s="5"/>
      <c r="L10" s="58"/>
      <c r="M10" s="4"/>
      <c r="N10" s="4"/>
      <c r="O10" s="6"/>
      <c r="Q10" s="206"/>
      <c r="R10" s="1"/>
    </row>
    <row r="11" spans="1:18" x14ac:dyDescent="0.3">
      <c r="A11" s="23"/>
      <c r="B11" s="23"/>
      <c r="C11" s="6"/>
      <c r="D11" s="1"/>
      <c r="E11" s="1"/>
      <c r="F11" s="3"/>
      <c r="G11" s="1"/>
      <c r="H11" s="5"/>
      <c r="I11" s="4"/>
      <c r="J11" s="4"/>
      <c r="K11" s="5"/>
      <c r="L11" s="58"/>
      <c r="M11" s="4"/>
      <c r="N11" s="4"/>
      <c r="O11" s="6"/>
      <c r="Q11" s="206"/>
      <c r="R11" s="1"/>
    </row>
    <row r="12" spans="1:18" x14ac:dyDescent="0.3">
      <c r="A12" s="23"/>
      <c r="B12" s="23"/>
      <c r="C12" s="6"/>
      <c r="D12" s="1"/>
      <c r="E12" s="1"/>
      <c r="F12" s="3"/>
      <c r="G12" s="1"/>
      <c r="H12" s="5"/>
      <c r="I12" s="4"/>
      <c r="J12" s="4"/>
      <c r="K12" s="5"/>
      <c r="L12" s="58"/>
      <c r="M12" s="4"/>
      <c r="N12" s="4"/>
      <c r="O12" s="6"/>
    </row>
    <row r="13" spans="1:18" x14ac:dyDescent="0.3">
      <c r="A13" s="23"/>
      <c r="B13" s="23"/>
      <c r="C13" s="6"/>
      <c r="D13" s="1"/>
      <c r="E13" s="1"/>
      <c r="F13" s="3"/>
      <c r="G13" s="1"/>
      <c r="H13" s="5"/>
      <c r="I13" s="4"/>
      <c r="J13" s="4"/>
      <c r="K13" s="5"/>
      <c r="L13" s="58"/>
      <c r="M13" s="4"/>
      <c r="N13" s="4"/>
      <c r="O13" s="6"/>
      <c r="Q13" s="206"/>
      <c r="R13" s="1"/>
    </row>
    <row r="14" spans="1:18" x14ac:dyDescent="0.3">
      <c r="A14" s="23"/>
      <c r="B14" s="23"/>
      <c r="C14" s="6"/>
      <c r="D14" s="1"/>
      <c r="E14" s="1"/>
      <c r="F14" s="3"/>
      <c r="G14" s="1"/>
      <c r="H14" s="5"/>
      <c r="I14" s="4"/>
      <c r="J14" s="4"/>
      <c r="K14" s="5"/>
      <c r="L14" s="58"/>
      <c r="M14" s="4"/>
      <c r="N14" s="4"/>
      <c r="O14" s="6"/>
      <c r="Q14" s="206"/>
      <c r="R14" s="1"/>
    </row>
    <row r="15" spans="1:18" x14ac:dyDescent="0.3">
      <c r="A15" s="23"/>
      <c r="B15" s="23"/>
      <c r="C15" s="6"/>
      <c r="D15" s="1"/>
      <c r="E15" s="1"/>
      <c r="F15" s="3"/>
      <c r="G15" s="1"/>
      <c r="H15" s="5"/>
      <c r="I15" s="4"/>
      <c r="J15" s="4"/>
      <c r="K15" s="5"/>
      <c r="L15" s="58"/>
      <c r="M15" s="4"/>
      <c r="N15" s="4"/>
      <c r="O15" s="6"/>
      <c r="Q15" s="206"/>
      <c r="R15" s="1"/>
    </row>
    <row r="16" spans="1:18" x14ac:dyDescent="0.3">
      <c r="A16" s="23"/>
      <c r="B16" s="23"/>
      <c r="C16" s="6"/>
      <c r="D16" s="1"/>
      <c r="E16" s="1"/>
      <c r="F16" s="3"/>
      <c r="G16" s="1"/>
      <c r="H16" s="5"/>
      <c r="I16" s="4"/>
      <c r="J16" s="4"/>
      <c r="K16" s="5"/>
      <c r="L16" s="58"/>
      <c r="M16" s="4"/>
      <c r="N16" s="4"/>
      <c r="O16" s="6" t="s">
        <v>1503</v>
      </c>
      <c r="Q16" s="206"/>
      <c r="R16" s="1"/>
    </row>
    <row r="17" spans="1:18" x14ac:dyDescent="0.3">
      <c r="A17" s="23"/>
      <c r="B17" s="23"/>
      <c r="C17" s="6"/>
      <c r="D17" s="1"/>
      <c r="E17" s="1"/>
      <c r="F17" s="3"/>
      <c r="G17" s="1"/>
      <c r="H17" s="5"/>
      <c r="I17" s="4"/>
      <c r="J17" s="4"/>
      <c r="K17" s="5"/>
      <c r="L17" s="58"/>
      <c r="M17" s="4"/>
      <c r="N17" s="4"/>
      <c r="O17" s="6"/>
      <c r="Q17" s="206"/>
      <c r="R17" s="1"/>
    </row>
    <row r="18" spans="1:18" x14ac:dyDescent="0.3">
      <c r="L18" s="58"/>
      <c r="Q18" s="206"/>
      <c r="R18" s="1"/>
    </row>
    <row r="19" spans="1:18" x14ac:dyDescent="0.3">
      <c r="L19" s="58"/>
      <c r="Q19" s="206"/>
      <c r="R19" s="1"/>
    </row>
    <row r="20" spans="1:18" x14ac:dyDescent="0.3">
      <c r="L20" s="58"/>
      <c r="Q20" s="206"/>
      <c r="R20" s="1"/>
    </row>
    <row r="21" spans="1:18" x14ac:dyDescent="0.3">
      <c r="A21" s="23"/>
      <c r="B21" s="23"/>
      <c r="C21" s="6"/>
      <c r="D21" s="1"/>
      <c r="E21" s="1"/>
      <c r="F21" s="3"/>
      <c r="G21" s="1"/>
      <c r="H21" s="5"/>
      <c r="I21" s="4"/>
      <c r="J21" s="4"/>
      <c r="K21" s="5"/>
      <c r="L21" s="58"/>
      <c r="M21" s="4"/>
      <c r="N21" s="4"/>
      <c r="O21" s="6"/>
      <c r="Q21" s="206"/>
      <c r="R21" s="1"/>
    </row>
    <row r="22" spans="1:18" ht="15" thickBot="1" x14ac:dyDescent="0.35">
      <c r="A22" s="177"/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207"/>
      <c r="R22" s="1"/>
    </row>
    <row r="23" spans="1:18" s="56" customFormat="1" x14ac:dyDescent="0.3">
      <c r="A23" s="161"/>
      <c r="B23" s="162" t="s">
        <v>1557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3"/>
    </row>
    <row r="24" spans="1:18" ht="15" thickBot="1" x14ac:dyDescent="0.35">
      <c r="A24" s="164"/>
      <c r="B24" s="165" t="s">
        <v>0</v>
      </c>
      <c r="C24" s="166" t="s">
        <v>2</v>
      </c>
      <c r="D24" s="165" t="s">
        <v>1</v>
      </c>
      <c r="E24" s="165" t="s">
        <v>3</v>
      </c>
      <c r="F24" s="167" t="s">
        <v>4</v>
      </c>
      <c r="G24" s="165" t="s">
        <v>5</v>
      </c>
      <c r="H24" s="168" t="s">
        <v>6</v>
      </c>
      <c r="I24" s="165" t="s">
        <v>7</v>
      </c>
      <c r="J24" s="165" t="s">
        <v>8</v>
      </c>
      <c r="K24" s="168" t="s">
        <v>10</v>
      </c>
      <c r="L24" s="168" t="s">
        <v>980</v>
      </c>
      <c r="M24" s="165" t="s">
        <v>9</v>
      </c>
      <c r="N24" s="165" t="s">
        <v>11</v>
      </c>
      <c r="O24" s="165" t="s">
        <v>12</v>
      </c>
      <c r="P24" s="165" t="s">
        <v>1558</v>
      </c>
      <c r="Q24" s="169" t="s">
        <v>1561</v>
      </c>
      <c r="R24" s="181" t="s">
        <v>1528</v>
      </c>
    </row>
    <row r="25" spans="1:18" s="205" customFormat="1" x14ac:dyDescent="0.3">
      <c r="A25" s="198"/>
      <c r="B25" s="198"/>
      <c r="C25" s="199"/>
      <c r="D25" s="200"/>
      <c r="E25" s="200"/>
      <c r="F25" s="201"/>
      <c r="G25" s="200"/>
      <c r="H25" s="202"/>
      <c r="I25" s="203"/>
      <c r="J25" s="203"/>
      <c r="K25" s="202"/>
      <c r="L25" s="204"/>
      <c r="M25" s="203"/>
      <c r="N25" s="203"/>
      <c r="O25" s="199"/>
    </row>
    <row r="26" spans="1:18" s="205" customFormat="1" x14ac:dyDescent="0.3">
      <c r="A26" s="198"/>
      <c r="B26" s="198"/>
      <c r="C26" s="199"/>
      <c r="D26" s="200"/>
      <c r="E26" s="200"/>
      <c r="F26" s="201"/>
      <c r="G26" s="200"/>
      <c r="H26" s="202"/>
      <c r="I26" s="203"/>
      <c r="J26" s="203"/>
      <c r="K26" s="202"/>
      <c r="L26" s="204"/>
      <c r="M26" s="203"/>
      <c r="N26" s="203"/>
      <c r="O26" s="199"/>
    </row>
    <row r="27" spans="1:18" s="205" customFormat="1" x14ac:dyDescent="0.3">
      <c r="A27" s="198"/>
      <c r="B27" s="198"/>
      <c r="C27" s="199"/>
      <c r="D27" s="200"/>
      <c r="E27" s="200"/>
      <c r="F27" s="201"/>
      <c r="G27" s="200"/>
      <c r="H27" s="202"/>
      <c r="I27" s="203"/>
      <c r="J27" s="203"/>
      <c r="K27" s="202"/>
      <c r="L27" s="204"/>
      <c r="M27" s="203"/>
      <c r="N27" s="203"/>
      <c r="O27" s="199"/>
    </row>
    <row r="28" spans="1:18" s="205" customFormat="1" x14ac:dyDescent="0.3">
      <c r="A28" s="198"/>
      <c r="B28" s="198"/>
      <c r="C28" s="199"/>
      <c r="D28" s="200"/>
      <c r="E28" s="200"/>
      <c r="F28" s="201"/>
      <c r="G28" s="200"/>
      <c r="H28" s="202"/>
      <c r="I28" s="203"/>
      <c r="J28" s="203"/>
      <c r="K28" s="202"/>
      <c r="L28" s="204"/>
      <c r="M28" s="203"/>
      <c r="N28" s="203"/>
      <c r="O28" s="199"/>
    </row>
    <row r="29" spans="1:18" s="205" customFormat="1" x14ac:dyDescent="0.3">
      <c r="A29" s="198"/>
      <c r="B29" s="198"/>
      <c r="C29" s="199"/>
      <c r="D29" s="198"/>
      <c r="E29" s="200"/>
      <c r="F29" s="201"/>
      <c r="G29" s="200"/>
      <c r="H29" s="202"/>
      <c r="I29" s="203"/>
      <c r="J29" s="203"/>
      <c r="K29" s="202"/>
      <c r="L29" s="204"/>
      <c r="M29" s="203"/>
      <c r="N29" s="203"/>
      <c r="O29" s="199"/>
    </row>
    <row r="30" spans="1:18" s="205" customFormat="1" x14ac:dyDescent="0.3">
      <c r="A30" s="198"/>
      <c r="B30" s="198"/>
      <c r="C30" s="199"/>
      <c r="D30" s="198"/>
      <c r="E30" s="200"/>
      <c r="F30" s="201"/>
      <c r="G30" s="200"/>
      <c r="H30" s="202"/>
      <c r="I30" s="203"/>
      <c r="J30" s="203"/>
      <c r="K30" s="202"/>
      <c r="L30" s="204"/>
      <c r="M30" s="203"/>
      <c r="N30" s="203"/>
      <c r="O30" s="199"/>
    </row>
    <row r="31" spans="1:18" s="205" customFormat="1" x14ac:dyDescent="0.3">
      <c r="A31" s="198"/>
      <c r="B31" s="198"/>
      <c r="C31" s="199"/>
      <c r="D31" s="198"/>
      <c r="E31" s="200"/>
      <c r="F31" s="201"/>
      <c r="G31" s="198"/>
      <c r="H31" s="202"/>
      <c r="I31" s="203"/>
      <c r="J31" s="203"/>
      <c r="K31" s="202"/>
      <c r="L31" s="204"/>
      <c r="M31" s="203"/>
      <c r="N31" s="203"/>
      <c r="O31" s="199"/>
    </row>
    <row r="32" spans="1:18" s="205" customFormat="1" x14ac:dyDescent="0.3">
      <c r="A32" s="198"/>
      <c r="B32" s="198"/>
      <c r="C32" s="199"/>
      <c r="D32" s="198"/>
      <c r="E32" s="200"/>
      <c r="F32" s="201"/>
      <c r="G32" s="200"/>
      <c r="H32" s="202"/>
      <c r="I32" s="203"/>
      <c r="J32" s="203"/>
      <c r="K32" s="202"/>
      <c r="L32" s="204"/>
      <c r="M32" s="203"/>
      <c r="N32" s="203"/>
      <c r="O32" s="199"/>
    </row>
    <row r="33" spans="1:17" s="205" customFormat="1" x14ac:dyDescent="0.3">
      <c r="A33" s="198"/>
      <c r="B33" s="198"/>
      <c r="C33" s="199"/>
      <c r="D33" s="200"/>
      <c r="E33" s="200"/>
      <c r="F33" s="201"/>
      <c r="G33" s="200"/>
      <c r="H33" s="202"/>
      <c r="I33" s="203"/>
      <c r="J33" s="203"/>
      <c r="K33" s="202"/>
      <c r="L33" s="204"/>
      <c r="M33" s="203"/>
      <c r="N33" s="203"/>
      <c r="O33" s="199"/>
    </row>
    <row r="34" spans="1:17" s="205" customFormat="1" x14ac:dyDescent="0.3">
      <c r="A34" s="198"/>
      <c r="B34" s="198"/>
      <c r="C34" s="199"/>
      <c r="D34" s="200"/>
      <c r="E34" s="200"/>
      <c r="F34" s="201"/>
      <c r="G34" s="200"/>
      <c r="H34" s="202"/>
      <c r="I34" s="203"/>
      <c r="J34" s="203"/>
      <c r="K34" s="202"/>
      <c r="L34" s="204"/>
      <c r="M34" s="203"/>
      <c r="N34" s="203"/>
      <c r="O34" s="199"/>
    </row>
    <row r="35" spans="1:17" s="205" customFormat="1" x14ac:dyDescent="0.3">
      <c r="A35" s="198"/>
      <c r="B35" s="198"/>
      <c r="C35" s="199"/>
      <c r="D35" s="200"/>
      <c r="E35" s="200"/>
      <c r="F35" s="201"/>
      <c r="G35" s="200"/>
      <c r="H35" s="202"/>
      <c r="I35" s="203"/>
      <c r="J35" s="203"/>
      <c r="K35" s="202"/>
      <c r="L35" s="204"/>
      <c r="M35" s="203"/>
      <c r="N35" s="203"/>
      <c r="O35" s="199"/>
    </row>
    <row r="36" spans="1:17" s="205" customFormat="1" x14ac:dyDescent="0.3">
      <c r="A36" s="198"/>
      <c r="B36" s="198"/>
      <c r="C36" s="199"/>
      <c r="D36" s="200"/>
      <c r="E36" s="200"/>
      <c r="F36" s="201"/>
      <c r="G36" s="200"/>
      <c r="H36" s="202"/>
      <c r="I36" s="203"/>
      <c r="J36" s="203"/>
      <c r="K36" s="202"/>
      <c r="L36" s="204"/>
      <c r="M36" s="203"/>
      <c r="N36" s="203"/>
      <c r="O36" s="199"/>
    </row>
    <row r="37" spans="1:17" s="205" customFormat="1" x14ac:dyDescent="0.3">
      <c r="A37" s="198"/>
      <c r="B37" s="198"/>
      <c r="C37" s="199"/>
      <c r="D37" s="200"/>
      <c r="E37" s="200"/>
      <c r="F37" s="201"/>
      <c r="G37" s="200"/>
      <c r="H37" s="202"/>
      <c r="I37" s="203"/>
      <c r="J37" s="203"/>
      <c r="K37" s="202"/>
      <c r="L37" s="204"/>
      <c r="M37" s="203"/>
      <c r="N37" s="203"/>
      <c r="O37" s="199"/>
    </row>
    <row r="40" spans="1:17" x14ac:dyDescent="0.3">
      <c r="J40" t="s">
        <v>1503</v>
      </c>
    </row>
    <row r="45" spans="1:17" ht="15" thickBot="1" x14ac:dyDescent="0.35">
      <c r="A45" s="177"/>
      <c r="B45" s="177"/>
      <c r="C45" s="177"/>
      <c r="D45" s="177"/>
      <c r="E45" s="177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</row>
    <row r="46" spans="1:17" x14ac:dyDescent="0.3">
      <c r="B46" s="186" t="s">
        <v>1586</v>
      </c>
      <c r="C46" s="186" t="s">
        <v>981</v>
      </c>
      <c r="D46" s="186"/>
      <c r="E46" s="186"/>
      <c r="O46" s="176" t="s">
        <v>1708</v>
      </c>
      <c r="P46" s="34">
        <v>0</v>
      </c>
      <c r="Q46" s="176">
        <v>12500</v>
      </c>
    </row>
    <row r="47" spans="1:17" x14ac:dyDescent="0.3">
      <c r="B47" s="185">
        <v>45901</v>
      </c>
      <c r="C47" s="183"/>
      <c r="D47" s="184">
        <v>45916</v>
      </c>
      <c r="E47" s="182"/>
      <c r="O47" s="159" t="s">
        <v>1709</v>
      </c>
      <c r="P47" s="160">
        <f>P46+L50+L51+L52+L53+L54+L55+L56+L57+L58-P50-P51-P52-P53-P54-P55-P56-P57-P58-P59-P60-P62-P61-P63+M34+M33+M32+M31+M35+M36+M37+M38+M39+M40+M41+M42+M43+M44+M45+M30+M29+M28+M27+M26+M25-P25-P26-P35-P36-P37-P38-P39-P40-P41-P42-P43-P44-P45-P27-P28-P29-P30-P31-P34-P33-Q25--P32-Q26-Q27-Q28-Q29-Q30-Q31-Q32-Q33-Q34-Q35-Q36-Q37-Q38-Q39-Q40-Q41-Q42-Q43-Q44-Q45-L3-L4-L5-L6-L7-L8-L9-L10-L11-L12-L13-L14-L15-L16-L17-L18-L19-L20-L21+P3+P4+P5+P6+P7+P8+P9+P10+P11+P12+P13+P14+P15+P16+P17+P18+P19+P20+P21+Q3+Q4+Q5+Q6+Q7+Q8+Q9+Q10+Q11+Q12+Q13+Q14+Q15+Q16+Q17+Q18+Q19+Q20+Q21</f>
        <v>0</v>
      </c>
      <c r="Q47" s="159">
        <v>12500</v>
      </c>
    </row>
    <row r="48" spans="1:17" x14ac:dyDescent="0.3">
      <c r="B48" s="185">
        <v>45902</v>
      </c>
      <c r="C48" s="183"/>
      <c r="D48" s="184">
        <v>45917</v>
      </c>
      <c r="E48" s="182"/>
    </row>
    <row r="49" spans="2:17" ht="15.6" x14ac:dyDescent="0.3">
      <c r="B49" s="185">
        <v>45903</v>
      </c>
      <c r="C49" s="183"/>
      <c r="D49" s="184">
        <v>45918</v>
      </c>
      <c r="E49" s="182"/>
      <c r="K49" s="159" t="s">
        <v>1566</v>
      </c>
      <c r="L49" s="159" t="s">
        <v>981</v>
      </c>
      <c r="M49" s="159"/>
      <c r="O49" s="179" t="s">
        <v>8</v>
      </c>
      <c r="P49" s="179" t="s">
        <v>981</v>
      </c>
      <c r="Q49" s="159"/>
    </row>
    <row r="50" spans="2:17" x14ac:dyDescent="0.3">
      <c r="B50" s="185">
        <v>45904</v>
      </c>
      <c r="C50" s="183"/>
      <c r="D50" s="184">
        <v>45919</v>
      </c>
      <c r="E50" s="182"/>
      <c r="K50" s="178"/>
      <c r="L50" s="178"/>
      <c r="M50" s="178"/>
      <c r="O50" s="178"/>
      <c r="P50" s="180"/>
      <c r="Q50" s="178"/>
    </row>
    <row r="51" spans="2:17" x14ac:dyDescent="0.3">
      <c r="B51" s="185">
        <v>45905</v>
      </c>
      <c r="C51" s="183"/>
      <c r="D51" s="184">
        <v>45920</v>
      </c>
      <c r="E51" s="182"/>
      <c r="K51" s="178"/>
      <c r="L51" s="178"/>
      <c r="M51" s="178"/>
      <c r="O51" s="178"/>
      <c r="P51" s="180"/>
      <c r="Q51" s="178"/>
    </row>
    <row r="52" spans="2:17" x14ac:dyDescent="0.3">
      <c r="B52" s="185">
        <v>45906</v>
      </c>
      <c r="C52" s="183"/>
      <c r="D52" s="184">
        <v>45921</v>
      </c>
      <c r="E52" s="182"/>
      <c r="K52" s="178"/>
      <c r="L52" s="178"/>
      <c r="M52" s="178"/>
      <c r="O52" s="178"/>
      <c r="P52" s="180"/>
      <c r="Q52" s="178"/>
    </row>
    <row r="53" spans="2:17" x14ac:dyDescent="0.3">
      <c r="B53" s="185">
        <v>45907</v>
      </c>
      <c r="C53" s="183"/>
      <c r="D53" s="184">
        <v>45922</v>
      </c>
      <c r="E53" s="182"/>
      <c r="K53" s="178"/>
      <c r="L53" s="178"/>
      <c r="M53" s="178"/>
      <c r="O53" s="178"/>
      <c r="P53" s="180"/>
      <c r="Q53" s="178"/>
    </row>
    <row r="54" spans="2:17" x14ac:dyDescent="0.3">
      <c r="B54" s="185">
        <v>45908</v>
      </c>
      <c r="C54" s="183"/>
      <c r="D54" s="184">
        <v>45923</v>
      </c>
      <c r="E54" s="182"/>
      <c r="K54" s="178"/>
      <c r="L54" s="178"/>
      <c r="M54" s="178"/>
      <c r="O54" s="178"/>
      <c r="P54" s="180"/>
      <c r="Q54" s="178"/>
    </row>
    <row r="55" spans="2:17" x14ac:dyDescent="0.3">
      <c r="B55" s="185">
        <v>45909</v>
      </c>
      <c r="C55" s="183"/>
      <c r="D55" s="184">
        <v>45924</v>
      </c>
      <c r="E55" s="182"/>
      <c r="K55" s="178"/>
      <c r="L55" s="178"/>
      <c r="M55" s="178"/>
      <c r="O55" s="178"/>
      <c r="P55" s="180"/>
      <c r="Q55" s="178"/>
    </row>
    <row r="56" spans="2:17" x14ac:dyDescent="0.3">
      <c r="B56" s="185">
        <v>45910</v>
      </c>
      <c r="C56" s="183"/>
      <c r="D56" s="184">
        <v>45925</v>
      </c>
      <c r="E56" s="182"/>
      <c r="K56" s="178"/>
      <c r="L56" s="178"/>
      <c r="M56" s="178"/>
      <c r="O56" s="178"/>
      <c r="P56" s="180"/>
      <c r="Q56" s="178"/>
    </row>
    <row r="57" spans="2:17" x14ac:dyDescent="0.3">
      <c r="B57" s="185">
        <v>45911</v>
      </c>
      <c r="C57" s="183"/>
      <c r="D57" s="184">
        <v>45926</v>
      </c>
      <c r="E57" s="182"/>
      <c r="K57" s="178"/>
      <c r="L57" s="178"/>
      <c r="M57" s="178"/>
      <c r="O57" s="178"/>
      <c r="P57" s="180"/>
      <c r="Q57" s="178"/>
    </row>
    <row r="58" spans="2:17" x14ac:dyDescent="0.3">
      <c r="B58" s="185">
        <v>45912</v>
      </c>
      <c r="C58" s="183"/>
      <c r="D58" s="184">
        <v>45927</v>
      </c>
      <c r="E58" s="182"/>
      <c r="K58" s="178"/>
      <c r="L58" s="178"/>
      <c r="M58" s="178"/>
      <c r="O58" s="178"/>
      <c r="P58" s="180"/>
      <c r="Q58" s="178"/>
    </row>
    <row r="59" spans="2:17" x14ac:dyDescent="0.3">
      <c r="B59" s="185">
        <v>45913</v>
      </c>
      <c r="C59" s="183"/>
      <c r="D59" s="184">
        <v>45928</v>
      </c>
      <c r="E59" s="182"/>
      <c r="O59" s="178"/>
      <c r="P59" s="180"/>
      <c r="Q59" s="178"/>
    </row>
    <row r="60" spans="2:17" x14ac:dyDescent="0.3">
      <c r="B60" s="185">
        <v>45914</v>
      </c>
      <c r="C60" s="183"/>
      <c r="D60" s="184">
        <v>45929</v>
      </c>
      <c r="E60" s="182"/>
      <c r="O60" s="178"/>
      <c r="P60" s="180"/>
      <c r="Q60" s="178"/>
    </row>
    <row r="61" spans="2:17" x14ac:dyDescent="0.3">
      <c r="B61" s="185">
        <v>45915</v>
      </c>
      <c r="C61" s="183"/>
      <c r="D61" s="184">
        <v>45930</v>
      </c>
      <c r="E61" s="182"/>
      <c r="O61" s="178"/>
      <c r="P61" s="180"/>
      <c r="Q61" s="178"/>
    </row>
    <row r="62" spans="2:17" x14ac:dyDescent="0.3">
      <c r="B62" s="18"/>
      <c r="C62" s="18">
        <f>C47+C48+C49+C50+C51+C52+C53+C54+C55+C56+C57+C58+C59+C60+C61</f>
        <v>0</v>
      </c>
      <c r="D62" s="184"/>
      <c r="E62" s="182"/>
      <c r="O62" s="178"/>
      <c r="P62" s="180"/>
      <c r="Q62" s="178"/>
    </row>
    <row r="63" spans="2:17" x14ac:dyDescent="0.3">
      <c r="B63" s="1"/>
      <c r="C63" s="1"/>
      <c r="E63" s="159">
        <f>E47+E48+E49+E50+E51+E52+E53+E54+E55+E56+E57+E58+E59+E60+E61+E62</f>
        <v>0</v>
      </c>
      <c r="O63" s="178"/>
      <c r="P63" s="180"/>
      <c r="Q63" s="178"/>
    </row>
    <row r="64" spans="2:17" x14ac:dyDescent="0.3">
      <c r="B64" s="1"/>
      <c r="C64" s="19" t="s">
        <v>1587</v>
      </c>
      <c r="D64" s="159">
        <f>C62+E63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404E8-728F-40F5-A740-92266468EF83}">
  <dimension ref="A1:O186"/>
  <sheetViews>
    <sheetView tabSelected="1" zoomScale="79" zoomScaleNormal="79" workbookViewId="0">
      <selection activeCell="H64" sqref="H64"/>
    </sheetView>
  </sheetViews>
  <sheetFormatPr defaultRowHeight="14.4" x14ac:dyDescent="0.3"/>
  <cols>
    <col min="1" max="1" width="4" style="1" customWidth="1"/>
    <col min="2" max="2" width="13.88671875" style="6" bestFit="1" customWidth="1"/>
    <col min="3" max="3" width="15" style="1" customWidth="1"/>
    <col min="4" max="4" width="13.6640625" style="1" bestFit="1" customWidth="1"/>
    <col min="5" max="5" width="14.33203125" style="1" customWidth="1"/>
    <col min="6" max="6" width="27.44140625" style="1" customWidth="1"/>
    <col min="7" max="7" width="30.6640625" style="4" customWidth="1"/>
    <col min="8" max="8" width="21.33203125" style="4" customWidth="1"/>
    <col min="9" max="9" width="16.33203125" style="4" customWidth="1"/>
    <col min="10" max="10" width="12.44140625" style="4" customWidth="1"/>
    <col min="11" max="11" width="19.44140625" style="4" customWidth="1"/>
    <col min="12" max="12" width="14.33203125" style="4" customWidth="1"/>
    <col min="13" max="13" width="19.109375" style="4" customWidth="1"/>
    <col min="14" max="14" width="11.44140625" style="4" customWidth="1"/>
    <col min="15" max="15" width="28.77734375" customWidth="1"/>
  </cols>
  <sheetData>
    <row r="1" spans="1:15" ht="17.25" customHeight="1" x14ac:dyDescent="0.3">
      <c r="A1" s="1" t="s">
        <v>1232</v>
      </c>
      <c r="B1" s="1" t="s">
        <v>0</v>
      </c>
      <c r="C1" s="6" t="s">
        <v>2</v>
      </c>
      <c r="D1" s="1" t="s">
        <v>1</v>
      </c>
      <c r="E1" s="1" t="s">
        <v>3</v>
      </c>
      <c r="F1" s="3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2" t="s">
        <v>10</v>
      </c>
      <c r="L1" s="2" t="s">
        <v>980</v>
      </c>
      <c r="M1" s="1" t="s">
        <v>9</v>
      </c>
      <c r="N1" s="1" t="s">
        <v>11</v>
      </c>
      <c r="O1" s="1" t="s">
        <v>12</v>
      </c>
    </row>
    <row r="2" spans="1:15" s="237" customFormat="1" ht="21" customHeight="1" x14ac:dyDescent="0.3">
      <c r="A2" s="228"/>
      <c r="B2" s="229" t="s">
        <v>1691</v>
      </c>
      <c r="C2" s="230" t="s">
        <v>1689</v>
      </c>
      <c r="D2" s="231"/>
      <c r="E2" s="231"/>
      <c r="F2" s="232"/>
      <c r="G2" s="231"/>
      <c r="H2" s="233"/>
      <c r="I2" s="231"/>
      <c r="J2" s="231"/>
      <c r="K2" s="233"/>
      <c r="L2" s="234"/>
      <c r="M2" s="231"/>
      <c r="N2" s="235"/>
      <c r="O2" s="236"/>
    </row>
    <row r="3" spans="1:15" s="205" customFormat="1" x14ac:dyDescent="0.3">
      <c r="A3" s="218">
        <v>1</v>
      </c>
      <c r="B3" s="198" t="s">
        <v>16</v>
      </c>
      <c r="C3" s="199" t="s">
        <v>189</v>
      </c>
      <c r="D3" s="200" t="s">
        <v>1695</v>
      </c>
      <c r="E3" s="200" t="s">
        <v>22</v>
      </c>
      <c r="F3" s="201">
        <v>351109796678815</v>
      </c>
      <c r="G3" s="200"/>
      <c r="H3" s="202">
        <v>45898</v>
      </c>
      <c r="I3" s="203">
        <v>680</v>
      </c>
      <c r="J3" s="203"/>
      <c r="K3" s="202"/>
      <c r="L3" s="204">
        <f>Таблица316[[#This Row],[OLINGAN NARXI $]]+Таблица316[[#This Row],[RASXOD]]</f>
        <v>680</v>
      </c>
      <c r="M3" s="203"/>
      <c r="N3" s="204">
        <f>Таблица316[[#This Row],[SOTILGAN NARXI]]-Таблица316[[#This Row],[TAN NARXI]]</f>
        <v>-680</v>
      </c>
      <c r="O3" s="199" t="s">
        <v>1696</v>
      </c>
    </row>
    <row r="4" spans="1:15" s="205" customFormat="1" x14ac:dyDescent="0.3">
      <c r="A4" s="218">
        <v>2</v>
      </c>
      <c r="B4" s="198" t="s">
        <v>16</v>
      </c>
      <c r="C4" s="199" t="s">
        <v>1125</v>
      </c>
      <c r="D4" s="200" t="s">
        <v>1695</v>
      </c>
      <c r="E4" s="200" t="s">
        <v>15</v>
      </c>
      <c r="F4" s="201">
        <v>350060002078392</v>
      </c>
      <c r="G4" s="200" t="s">
        <v>1697</v>
      </c>
      <c r="H4" s="202">
        <v>45898</v>
      </c>
      <c r="I4" s="203">
        <v>470</v>
      </c>
      <c r="J4" s="203"/>
      <c r="K4" s="202"/>
      <c r="L4" s="204">
        <f>Таблица316[[#This Row],[OLINGAN NARXI $]]+Таблица316[[#This Row],[RASXOD]]</f>
        <v>470</v>
      </c>
      <c r="M4" s="203"/>
      <c r="N4" s="204">
        <f>Таблица316[[#This Row],[SOTILGAN NARXI]]-Таблица316[[#This Row],[TAN NARXI]]</f>
        <v>-470</v>
      </c>
      <c r="O4" s="199" t="s">
        <v>1698</v>
      </c>
    </row>
    <row r="5" spans="1:15" s="205" customFormat="1" x14ac:dyDescent="0.3">
      <c r="A5" s="218">
        <v>3</v>
      </c>
      <c r="B5" s="198" t="s">
        <v>16</v>
      </c>
      <c r="C5" s="199" t="s">
        <v>39</v>
      </c>
      <c r="D5" s="200" t="s">
        <v>21</v>
      </c>
      <c r="E5" s="200" t="s">
        <v>22</v>
      </c>
      <c r="F5" s="201">
        <v>359761976254411</v>
      </c>
      <c r="G5" s="200"/>
      <c r="H5" s="202">
        <v>45898</v>
      </c>
      <c r="I5" s="203">
        <v>740</v>
      </c>
      <c r="J5" s="203">
        <v>5</v>
      </c>
      <c r="K5" s="202"/>
      <c r="L5" s="204">
        <f>Таблица316[[#This Row],[OLINGAN NARXI $]]+Таблица316[[#This Row],[RASXOD]]</f>
        <v>745</v>
      </c>
      <c r="M5" s="203"/>
      <c r="N5" s="204">
        <f>Таблица316[[#This Row],[SOTILGAN NARXI]]-Таблица316[[#This Row],[TAN NARXI]]</f>
        <v>-745</v>
      </c>
      <c r="O5" s="199" t="s">
        <v>1699</v>
      </c>
    </row>
    <row r="6" spans="1:15" s="205" customFormat="1" x14ac:dyDescent="0.3">
      <c r="A6" s="218">
        <v>4</v>
      </c>
      <c r="B6" s="198" t="s">
        <v>16</v>
      </c>
      <c r="C6" s="199" t="s">
        <v>1701</v>
      </c>
      <c r="D6" s="200" t="s">
        <v>21</v>
      </c>
      <c r="E6" s="200" t="s">
        <v>15</v>
      </c>
      <c r="F6" s="201">
        <v>357333090020144</v>
      </c>
      <c r="G6" s="200" t="s">
        <v>1700</v>
      </c>
      <c r="H6" s="202">
        <v>45898</v>
      </c>
      <c r="I6" s="203">
        <v>60</v>
      </c>
      <c r="J6" s="203"/>
      <c r="K6" s="202"/>
      <c r="L6" s="204">
        <f>Таблица316[[#This Row],[OLINGAN NARXI $]]+Таблица316[[#This Row],[RASXOD]]</f>
        <v>60</v>
      </c>
      <c r="M6" s="203"/>
      <c r="N6" s="204">
        <f>Таблица316[[#This Row],[SOTILGAN NARXI]]-Таблица316[[#This Row],[TAN NARXI]]</f>
        <v>-60</v>
      </c>
      <c r="O6" s="199"/>
    </row>
    <row r="7" spans="1:15" s="205" customFormat="1" x14ac:dyDescent="0.3">
      <c r="A7" s="218">
        <v>5</v>
      </c>
      <c r="B7" s="198" t="s">
        <v>16</v>
      </c>
      <c r="C7" s="199" t="s">
        <v>1368</v>
      </c>
      <c r="D7" s="200" t="s">
        <v>65</v>
      </c>
      <c r="E7" s="200" t="s">
        <v>22</v>
      </c>
      <c r="F7" s="201">
        <v>356688119116202</v>
      </c>
      <c r="G7" s="200" t="s">
        <v>1578</v>
      </c>
      <c r="H7" s="202">
        <v>45898</v>
      </c>
      <c r="I7" s="203">
        <v>200</v>
      </c>
      <c r="J7" s="203"/>
      <c r="K7" s="202"/>
      <c r="L7" s="204">
        <f>Таблица316[[#This Row],[OLINGAN NARXI $]]+Таблица316[[#This Row],[RASXOD]]</f>
        <v>200</v>
      </c>
      <c r="M7" s="203"/>
      <c r="N7" s="204">
        <f>Таблица316[[#This Row],[SOTILGAN NARXI]]-Таблица316[[#This Row],[TAN NARXI]]</f>
        <v>-200</v>
      </c>
      <c r="O7" s="199"/>
    </row>
    <row r="8" spans="1:15" s="205" customFormat="1" x14ac:dyDescent="0.3">
      <c r="A8" s="218">
        <v>6</v>
      </c>
      <c r="B8" s="198" t="s">
        <v>16</v>
      </c>
      <c r="C8" s="199" t="s">
        <v>101</v>
      </c>
      <c r="D8" s="200" t="s">
        <v>18</v>
      </c>
      <c r="E8" s="200" t="s">
        <v>22</v>
      </c>
      <c r="F8" s="201">
        <v>353894107074964</v>
      </c>
      <c r="G8" s="200" t="s">
        <v>1702</v>
      </c>
      <c r="H8" s="202">
        <v>45898</v>
      </c>
      <c r="I8" s="203">
        <v>130</v>
      </c>
      <c r="J8" s="203">
        <v>24</v>
      </c>
      <c r="K8" s="202"/>
      <c r="L8" s="204">
        <f>Таблица316[[#This Row],[OLINGAN NARXI $]]+Таблица316[[#This Row],[RASXOD]]</f>
        <v>154</v>
      </c>
      <c r="M8" s="203"/>
      <c r="N8" s="204">
        <f>Таблица316[[#This Row],[SOTILGAN NARXI]]-Таблица316[[#This Row],[TAN NARXI]]</f>
        <v>-154</v>
      </c>
      <c r="O8" s="199"/>
    </row>
    <row r="9" spans="1:15" s="205" customFormat="1" x14ac:dyDescent="0.3">
      <c r="A9" s="218">
        <v>7</v>
      </c>
      <c r="B9" s="198" t="s">
        <v>16</v>
      </c>
      <c r="C9" s="199" t="s">
        <v>240</v>
      </c>
      <c r="D9" s="200" t="s">
        <v>18</v>
      </c>
      <c r="E9" s="200" t="s">
        <v>22</v>
      </c>
      <c r="F9" s="201">
        <v>352910112106590</v>
      </c>
      <c r="G9" s="200" t="s">
        <v>1578</v>
      </c>
      <c r="H9" s="202">
        <v>45898</v>
      </c>
      <c r="I9" s="203">
        <v>130</v>
      </c>
      <c r="J9" s="203"/>
      <c r="K9" s="202"/>
      <c r="L9" s="204">
        <f>Таблица316[[#This Row],[OLINGAN NARXI $]]+Таблица316[[#This Row],[RASXOD]]</f>
        <v>130</v>
      </c>
      <c r="M9" s="203"/>
      <c r="N9" s="204">
        <f>Таблица316[[#This Row],[SOTILGAN NARXI]]-Таблица316[[#This Row],[TAN NARXI]]</f>
        <v>-130</v>
      </c>
      <c r="O9" s="199"/>
    </row>
    <row r="10" spans="1:15" s="205" customFormat="1" x14ac:dyDescent="0.3">
      <c r="A10" s="218">
        <v>8</v>
      </c>
      <c r="B10" s="198" t="s">
        <v>16</v>
      </c>
      <c r="C10" s="199" t="s">
        <v>298</v>
      </c>
      <c r="D10" s="200" t="s">
        <v>21</v>
      </c>
      <c r="E10" s="200" t="s">
        <v>15</v>
      </c>
      <c r="F10" s="201">
        <v>356567081989525</v>
      </c>
      <c r="G10" s="200"/>
      <c r="H10" s="202">
        <v>45898</v>
      </c>
      <c r="I10" s="203">
        <v>68</v>
      </c>
      <c r="J10" s="203"/>
      <c r="K10" s="202"/>
      <c r="L10" s="204">
        <f>Таблица316[[#This Row],[OLINGAN NARXI $]]+Таблица316[[#This Row],[RASXOD]]</f>
        <v>68</v>
      </c>
      <c r="M10" s="203"/>
      <c r="N10" s="204">
        <f>Таблица316[[#This Row],[SOTILGAN NARXI]]-Таблица316[[#This Row],[TAN NARXI]]</f>
        <v>-68</v>
      </c>
      <c r="O10" s="199" t="s">
        <v>1710</v>
      </c>
    </row>
    <row r="11" spans="1:15" s="205" customFormat="1" x14ac:dyDescent="0.3">
      <c r="A11" s="218">
        <v>9</v>
      </c>
      <c r="B11" s="198" t="s">
        <v>16</v>
      </c>
      <c r="C11" s="199" t="s">
        <v>34</v>
      </c>
      <c r="D11" s="200" t="s">
        <v>1695</v>
      </c>
      <c r="E11" s="200" t="s">
        <v>22</v>
      </c>
      <c r="F11" s="201">
        <v>353425683908398</v>
      </c>
      <c r="G11" s="200" t="s">
        <v>430</v>
      </c>
      <c r="H11" s="202">
        <v>45899</v>
      </c>
      <c r="I11" s="203">
        <v>610</v>
      </c>
      <c r="J11" s="203"/>
      <c r="K11" s="202"/>
      <c r="L11" s="204">
        <f>Таблица316[[#This Row],[OLINGAN NARXI $]]+Таблица316[[#This Row],[RASXOD]]</f>
        <v>610</v>
      </c>
      <c r="M11" s="203"/>
      <c r="N11" s="204">
        <f>Таблица316[[#This Row],[SOTILGAN NARXI]]-Таблица316[[#This Row],[TAN NARXI]]</f>
        <v>-610</v>
      </c>
      <c r="O11" s="199" t="s">
        <v>1732</v>
      </c>
    </row>
    <row r="12" spans="1:15" s="205" customFormat="1" x14ac:dyDescent="0.3">
      <c r="A12" s="218">
        <v>10</v>
      </c>
      <c r="B12" s="198" t="s">
        <v>16</v>
      </c>
      <c r="C12" s="199" t="s">
        <v>34</v>
      </c>
      <c r="D12" s="200" t="s">
        <v>1695</v>
      </c>
      <c r="E12" s="200" t="s">
        <v>22</v>
      </c>
      <c r="F12" s="201">
        <v>353843244707226</v>
      </c>
      <c r="G12" s="200" t="s">
        <v>1733</v>
      </c>
      <c r="H12" s="202">
        <v>45899</v>
      </c>
      <c r="I12" s="203">
        <v>610</v>
      </c>
      <c r="J12" s="203"/>
      <c r="K12" s="202"/>
      <c r="L12" s="204">
        <f>Таблица316[[#This Row],[OLINGAN NARXI $]]+Таблица316[[#This Row],[RASXOD]]</f>
        <v>610</v>
      </c>
      <c r="M12" s="203"/>
      <c r="N12" s="204">
        <f>Таблица316[[#This Row],[SOTILGAN NARXI]]-Таблица316[[#This Row],[TAN NARXI]]</f>
        <v>-610</v>
      </c>
      <c r="O12" s="199" t="s">
        <v>1732</v>
      </c>
    </row>
    <row r="13" spans="1:15" s="205" customFormat="1" x14ac:dyDescent="0.3">
      <c r="A13" s="218">
        <v>11</v>
      </c>
      <c r="B13" s="198" t="s">
        <v>16</v>
      </c>
      <c r="C13" s="199" t="s">
        <v>34</v>
      </c>
      <c r="D13" s="200" t="s">
        <v>1695</v>
      </c>
      <c r="E13" s="200" t="s">
        <v>22</v>
      </c>
      <c r="F13" s="201">
        <v>353665903558354</v>
      </c>
      <c r="G13" s="200"/>
      <c r="H13" s="202">
        <v>45899</v>
      </c>
      <c r="I13" s="203">
        <v>650</v>
      </c>
      <c r="J13" s="203"/>
      <c r="K13" s="202"/>
      <c r="L13" s="204">
        <f>Таблица316[[#This Row],[OLINGAN NARXI $]]+Таблица316[[#This Row],[RASXOD]]</f>
        <v>650</v>
      </c>
      <c r="M13" s="203"/>
      <c r="N13" s="204">
        <f>Таблица316[[#This Row],[SOTILGAN NARXI]]-Таблица316[[#This Row],[TAN NARXI]]</f>
        <v>-650</v>
      </c>
      <c r="O13" s="199" t="s">
        <v>1563</v>
      </c>
    </row>
    <row r="14" spans="1:15" s="205" customFormat="1" x14ac:dyDescent="0.3">
      <c r="A14" s="218">
        <v>12</v>
      </c>
      <c r="B14" s="198" t="s">
        <v>16</v>
      </c>
      <c r="C14" s="199" t="s">
        <v>160</v>
      </c>
      <c r="D14" s="200" t="s">
        <v>583</v>
      </c>
      <c r="E14" s="200" t="s">
        <v>15</v>
      </c>
      <c r="F14" s="201">
        <v>350331589948152</v>
      </c>
      <c r="G14" s="200"/>
      <c r="H14" s="202">
        <v>45899</v>
      </c>
      <c r="I14" s="203">
        <v>860</v>
      </c>
      <c r="J14" s="203"/>
      <c r="K14" s="202"/>
      <c r="L14" s="204">
        <f>Таблица316[[#This Row],[OLINGAN NARXI $]]+Таблица316[[#This Row],[RASXOD]]</f>
        <v>860</v>
      </c>
      <c r="M14" s="203"/>
      <c r="N14" s="204">
        <f>Таблица316[[#This Row],[SOTILGAN NARXI]]-Таблица316[[#This Row],[TAN NARXI]]</f>
        <v>-860</v>
      </c>
      <c r="O14" s="199" t="s">
        <v>1734</v>
      </c>
    </row>
    <row r="15" spans="1:15" s="205" customFormat="1" x14ac:dyDescent="0.3">
      <c r="A15" s="218">
        <v>14</v>
      </c>
      <c r="B15" s="198" t="s">
        <v>16</v>
      </c>
      <c r="C15" s="199" t="s">
        <v>1000</v>
      </c>
      <c r="D15" s="200" t="s">
        <v>583</v>
      </c>
      <c r="E15" s="200" t="s">
        <v>22</v>
      </c>
      <c r="F15" s="201">
        <v>351037791297630</v>
      </c>
      <c r="G15" s="200"/>
      <c r="H15" s="202">
        <v>45899</v>
      </c>
      <c r="I15" s="203">
        <v>1080</v>
      </c>
      <c r="J15" s="203"/>
      <c r="K15" s="202"/>
      <c r="L15" s="204">
        <f>Таблица316[[#This Row],[OLINGAN NARXI $]]+Таблица316[[#This Row],[RASXOD]]</f>
        <v>1080</v>
      </c>
      <c r="M15" s="203"/>
      <c r="N15" s="204">
        <f>Таблица316[[#This Row],[SOTILGAN NARXI]]-Таблица316[[#This Row],[TAN NARXI]]</f>
        <v>-1080</v>
      </c>
      <c r="O15" s="199" t="s">
        <v>1736</v>
      </c>
    </row>
    <row r="16" spans="1:15" s="205" customFormat="1" x14ac:dyDescent="0.3">
      <c r="A16" s="218">
        <v>15</v>
      </c>
      <c r="B16" s="198" t="s">
        <v>16</v>
      </c>
      <c r="C16" s="199" t="s">
        <v>129</v>
      </c>
      <c r="D16" s="200" t="s">
        <v>65</v>
      </c>
      <c r="E16" s="200" t="s">
        <v>22</v>
      </c>
      <c r="F16" s="201">
        <v>350360638844385</v>
      </c>
      <c r="G16" s="200"/>
      <c r="H16" s="202">
        <v>45900</v>
      </c>
      <c r="I16" s="203">
        <v>560</v>
      </c>
      <c r="J16" s="203"/>
      <c r="K16" s="202"/>
      <c r="L16" s="204">
        <f>Таблица316[[#This Row],[OLINGAN NARXI $]]+Таблица316[[#This Row],[RASXOD]]</f>
        <v>560</v>
      </c>
      <c r="M16" s="203"/>
      <c r="N16" s="204">
        <f>Таблица316[[#This Row],[SOTILGAN NARXI]]-Таблица316[[#This Row],[TAN NARXI]]</f>
        <v>-560</v>
      </c>
      <c r="O16" s="199">
        <v>971672305</v>
      </c>
    </row>
    <row r="17" spans="1:15" s="205" customFormat="1" x14ac:dyDescent="0.3">
      <c r="A17" s="218">
        <v>16</v>
      </c>
      <c r="B17" s="198" t="s">
        <v>1460</v>
      </c>
      <c r="C17" s="199" t="s">
        <v>1154</v>
      </c>
      <c r="D17" s="200" t="s">
        <v>21</v>
      </c>
      <c r="E17" s="200" t="s">
        <v>22</v>
      </c>
      <c r="F17" s="201">
        <v>358212582827464</v>
      </c>
      <c r="G17" s="200"/>
      <c r="H17" s="202">
        <v>45900</v>
      </c>
      <c r="I17" s="203">
        <v>90</v>
      </c>
      <c r="J17" s="203"/>
      <c r="K17" s="202"/>
      <c r="L17" s="204">
        <f>Таблица316[[#This Row],[OLINGAN NARXI $]]+Таблица316[[#This Row],[RASXOD]]</f>
        <v>90</v>
      </c>
      <c r="M17" s="203"/>
      <c r="N17" s="204">
        <f>Таблица316[[#This Row],[SOTILGAN NARXI]]-Таблица316[[#This Row],[TAN NARXI]]</f>
        <v>-90</v>
      </c>
      <c r="O17" s="199"/>
    </row>
    <row r="18" spans="1:15" s="205" customFormat="1" x14ac:dyDescent="0.3">
      <c r="A18" s="218">
        <v>17</v>
      </c>
      <c r="B18" s="198" t="s">
        <v>16</v>
      </c>
      <c r="C18" s="199" t="s">
        <v>25</v>
      </c>
      <c r="D18" s="200" t="s">
        <v>26</v>
      </c>
      <c r="E18" s="200" t="s">
        <v>22</v>
      </c>
      <c r="F18" s="201">
        <v>358447238812161</v>
      </c>
      <c r="G18" s="200"/>
      <c r="H18" s="202">
        <v>45901</v>
      </c>
      <c r="I18" s="203">
        <v>900</v>
      </c>
      <c r="J18" s="203"/>
      <c r="K18" s="202"/>
      <c r="L18" s="204">
        <f>Таблица316[[#This Row],[OLINGAN NARXI $]]+Таблица316[[#This Row],[RASXOD]]</f>
        <v>900</v>
      </c>
      <c r="M18" s="203"/>
      <c r="N18" s="204">
        <f>Таблица316[[#This Row],[SOTILGAN NARXI]]-Таблица316[[#This Row],[TAN NARXI]]</f>
        <v>-900</v>
      </c>
      <c r="O18" s="199" t="s">
        <v>1743</v>
      </c>
    </row>
    <row r="19" spans="1:15" s="205" customFormat="1" x14ac:dyDescent="0.3">
      <c r="A19" s="218">
        <v>18</v>
      </c>
      <c r="B19" s="198" t="s">
        <v>207</v>
      </c>
      <c r="C19" s="199" t="s">
        <v>1753</v>
      </c>
      <c r="D19" s="200" t="s">
        <v>123</v>
      </c>
      <c r="E19" s="200" t="s">
        <v>15</v>
      </c>
      <c r="F19" s="201"/>
      <c r="G19" s="200" t="s">
        <v>1754</v>
      </c>
      <c r="H19" s="202">
        <v>45901</v>
      </c>
      <c r="I19" s="203">
        <v>300</v>
      </c>
      <c r="J19" s="203"/>
      <c r="K19" s="202"/>
      <c r="L19" s="204">
        <f>Таблица316[[#This Row],[OLINGAN NARXI $]]+Таблица316[[#This Row],[RASXOD]]</f>
        <v>300</v>
      </c>
      <c r="M19" s="203"/>
      <c r="N19" s="204">
        <f>Таблица316[[#This Row],[SOTILGAN NARXI]]-Таблица316[[#This Row],[TAN NARXI]]</f>
        <v>-300</v>
      </c>
      <c r="O19" s="199" t="s">
        <v>1755</v>
      </c>
    </row>
    <row r="20" spans="1:15" s="205" customFormat="1" x14ac:dyDescent="0.3">
      <c r="A20" s="218">
        <v>19</v>
      </c>
      <c r="B20" s="198" t="s">
        <v>16</v>
      </c>
      <c r="C20" s="199" t="s">
        <v>319</v>
      </c>
      <c r="D20" s="200" t="s">
        <v>1756</v>
      </c>
      <c r="E20" s="200" t="s">
        <v>22</v>
      </c>
      <c r="F20" s="201">
        <v>352243617080874</v>
      </c>
      <c r="G20" s="200"/>
      <c r="H20" s="202">
        <v>45901</v>
      </c>
      <c r="I20" s="203">
        <v>230</v>
      </c>
      <c r="J20" s="203"/>
      <c r="K20" s="202"/>
      <c r="L20" s="204">
        <f>Таблица316[[#This Row],[OLINGAN NARXI $]]+Таблица316[[#This Row],[RASXOD]]</f>
        <v>230</v>
      </c>
      <c r="M20" s="203"/>
      <c r="N20" s="204">
        <f>Таблица316[[#This Row],[SOTILGAN NARXI]]-Таблица316[[#This Row],[TAN NARXI]]</f>
        <v>-230</v>
      </c>
      <c r="O20" s="199" t="s">
        <v>1757</v>
      </c>
    </row>
    <row r="21" spans="1:15" s="205" customFormat="1" x14ac:dyDescent="0.3">
      <c r="A21" s="218">
        <v>20</v>
      </c>
      <c r="B21" s="198" t="s">
        <v>16</v>
      </c>
      <c r="C21" s="199" t="s">
        <v>319</v>
      </c>
      <c r="D21" s="200" t="s">
        <v>65</v>
      </c>
      <c r="E21" s="200" t="s">
        <v>22</v>
      </c>
      <c r="F21" s="201">
        <v>353067115680193</v>
      </c>
      <c r="G21" s="200" t="s">
        <v>1454</v>
      </c>
      <c r="H21" s="202">
        <v>45902</v>
      </c>
      <c r="I21" s="203">
        <v>260</v>
      </c>
      <c r="J21" s="203"/>
      <c r="K21" s="202"/>
      <c r="L21" s="204">
        <f>Таблица316[[#This Row],[OLINGAN NARXI $]]+Таблица316[[#This Row],[RASXOD]]</f>
        <v>260</v>
      </c>
      <c r="M21" s="203"/>
      <c r="N21" s="204">
        <f>Таблица316[[#This Row],[SOTILGAN NARXI]]-Таблица316[[#This Row],[TAN NARXI]]</f>
        <v>-260</v>
      </c>
      <c r="O21" s="199" t="s">
        <v>1759</v>
      </c>
    </row>
    <row r="22" spans="1:15" s="205" customFormat="1" x14ac:dyDescent="0.3">
      <c r="A22" s="218">
        <v>21</v>
      </c>
      <c r="B22" s="198" t="s">
        <v>16</v>
      </c>
      <c r="C22" s="199" t="s">
        <v>39</v>
      </c>
      <c r="D22" s="200" t="s">
        <v>21</v>
      </c>
      <c r="E22" s="200" t="s">
        <v>15</v>
      </c>
      <c r="F22" s="201">
        <v>358547325191300</v>
      </c>
      <c r="G22" s="200"/>
      <c r="H22" s="202">
        <v>45902</v>
      </c>
      <c r="I22" s="203">
        <v>670</v>
      </c>
      <c r="J22" s="203"/>
      <c r="K22" s="202"/>
      <c r="L22" s="204">
        <f>Таблица316[[#This Row],[OLINGAN NARXI $]]+Таблица316[[#This Row],[RASXOD]]</f>
        <v>670</v>
      </c>
      <c r="M22" s="203"/>
      <c r="N22" s="204">
        <f>Таблица316[[#This Row],[SOTILGAN NARXI]]-Таблица316[[#This Row],[TAN NARXI]]</f>
        <v>-670</v>
      </c>
      <c r="O22" s="199" t="s">
        <v>1759</v>
      </c>
    </row>
    <row r="23" spans="1:15" s="205" customFormat="1" x14ac:dyDescent="0.3">
      <c r="A23" s="218">
        <v>22</v>
      </c>
      <c r="B23" s="198" t="s">
        <v>16</v>
      </c>
      <c r="C23" s="199" t="s">
        <v>1125</v>
      </c>
      <c r="D23" s="200" t="s">
        <v>21</v>
      </c>
      <c r="E23" s="200" t="s">
        <v>15</v>
      </c>
      <c r="F23" s="201">
        <v>358287292311249</v>
      </c>
      <c r="G23" s="200"/>
      <c r="H23" s="202">
        <v>45902</v>
      </c>
      <c r="I23" s="203">
        <v>560</v>
      </c>
      <c r="J23" s="203"/>
      <c r="K23" s="202"/>
      <c r="L23" s="204">
        <f>Таблица316[[#This Row],[OLINGAN NARXI $]]+Таблица316[[#This Row],[RASXOD]]</f>
        <v>560</v>
      </c>
      <c r="M23" s="203"/>
      <c r="N23" s="204">
        <f>Таблица316[[#This Row],[SOTILGAN NARXI]]-Таблица316[[#This Row],[TAN NARXI]]</f>
        <v>-560</v>
      </c>
      <c r="O23" s="199" t="s">
        <v>1759</v>
      </c>
    </row>
    <row r="24" spans="1:15" s="205" customFormat="1" x14ac:dyDescent="0.3">
      <c r="A24" s="218">
        <v>23</v>
      </c>
      <c r="B24" s="198" t="s">
        <v>16</v>
      </c>
      <c r="C24" s="199" t="s">
        <v>1144</v>
      </c>
      <c r="D24" s="200" t="s">
        <v>21</v>
      </c>
      <c r="E24" s="200" t="s">
        <v>22</v>
      </c>
      <c r="F24" s="201">
        <v>355934727769771</v>
      </c>
      <c r="G24" s="200"/>
      <c r="H24" s="202">
        <v>45902</v>
      </c>
      <c r="I24" s="203">
        <v>1280</v>
      </c>
      <c r="J24" s="203"/>
      <c r="K24" s="202"/>
      <c r="L24" s="204">
        <f>Таблица316[[#This Row],[OLINGAN NARXI $]]+Таблица316[[#This Row],[RASXOD]]</f>
        <v>1280</v>
      </c>
      <c r="M24" s="203"/>
      <c r="N24" s="204">
        <f>Таблица316[[#This Row],[SOTILGAN NARXI]]-Таблица316[[#This Row],[TAN NARXI]]</f>
        <v>-1280</v>
      </c>
      <c r="O24" s="199" t="s">
        <v>1775</v>
      </c>
    </row>
    <row r="25" spans="1:15" s="205" customFormat="1" x14ac:dyDescent="0.3">
      <c r="A25" s="218">
        <v>24</v>
      </c>
      <c r="B25" s="198"/>
      <c r="C25" s="199"/>
      <c r="D25" s="200"/>
      <c r="E25" s="200"/>
      <c r="F25" s="201"/>
      <c r="G25" s="200"/>
      <c r="H25" s="202"/>
      <c r="I25" s="203"/>
      <c r="J25" s="203"/>
      <c r="K25" s="202"/>
      <c r="L25" s="204">
        <f>Таблица316[[#This Row],[OLINGAN NARXI $]]+Таблица316[[#This Row],[RASXOD]]</f>
        <v>0</v>
      </c>
      <c r="M25" s="203"/>
      <c r="N25" s="204">
        <f>Таблица316[[#This Row],[SOTILGAN NARXI]]-Таблица316[[#This Row],[TAN NARXI]]</f>
        <v>0</v>
      </c>
      <c r="O25" s="199"/>
    </row>
    <row r="26" spans="1:15" s="205" customFormat="1" x14ac:dyDescent="0.3">
      <c r="A26" s="218">
        <v>25</v>
      </c>
      <c r="B26" s="198"/>
      <c r="C26" s="199"/>
      <c r="D26" s="200"/>
      <c r="E26" s="200"/>
      <c r="F26" s="201"/>
      <c r="G26" s="200"/>
      <c r="H26" s="202"/>
      <c r="I26" s="203"/>
      <c r="J26" s="203"/>
      <c r="K26" s="202"/>
      <c r="L26" s="204">
        <f>Таблица316[[#This Row],[OLINGAN NARXI $]]+Таблица316[[#This Row],[RASXOD]]</f>
        <v>0</v>
      </c>
      <c r="M26" s="203"/>
      <c r="N26" s="204">
        <f>Таблица316[[#This Row],[SOTILGAN NARXI]]-Таблица316[[#This Row],[TAN NARXI]]</f>
        <v>0</v>
      </c>
      <c r="O26" s="199"/>
    </row>
    <row r="27" spans="1:15" s="205" customFormat="1" x14ac:dyDescent="0.3">
      <c r="A27" s="218">
        <v>26</v>
      </c>
      <c r="B27" s="198"/>
      <c r="C27" s="199"/>
      <c r="D27" s="200"/>
      <c r="E27" s="200"/>
      <c r="F27" s="201"/>
      <c r="G27" s="200"/>
      <c r="H27" s="202"/>
      <c r="I27" s="203"/>
      <c r="J27" s="203"/>
      <c r="K27" s="202"/>
      <c r="L27" s="204">
        <f>Таблица316[[#This Row],[OLINGAN NARXI $]]+Таблица316[[#This Row],[RASXOD]]</f>
        <v>0</v>
      </c>
      <c r="M27" s="203"/>
      <c r="N27" s="204">
        <f>Таблица316[[#This Row],[SOTILGAN NARXI]]-Таблица316[[#This Row],[TAN NARXI]]</f>
        <v>0</v>
      </c>
      <c r="O27" s="199"/>
    </row>
    <row r="28" spans="1:15" s="205" customFormat="1" x14ac:dyDescent="0.3">
      <c r="A28" s="218">
        <v>27</v>
      </c>
      <c r="B28" s="198"/>
      <c r="C28" s="199"/>
      <c r="D28" s="200"/>
      <c r="E28" s="200"/>
      <c r="F28" s="201"/>
      <c r="G28" s="200"/>
      <c r="H28" s="202"/>
      <c r="I28" s="203"/>
      <c r="J28" s="203"/>
      <c r="K28" s="202"/>
      <c r="L28" s="204">
        <f>Таблица316[[#This Row],[OLINGAN NARXI $]]+Таблица316[[#This Row],[RASXOD]]</f>
        <v>0</v>
      </c>
      <c r="M28" s="203"/>
      <c r="N28" s="204">
        <f>Таблица316[[#This Row],[SOTILGAN NARXI]]-Таблица316[[#This Row],[TAN NARXI]]</f>
        <v>0</v>
      </c>
      <c r="O28" s="199"/>
    </row>
    <row r="29" spans="1:15" s="205" customFormat="1" x14ac:dyDescent="0.3">
      <c r="A29" s="218">
        <v>28</v>
      </c>
      <c r="B29" s="198"/>
      <c r="C29" s="199"/>
      <c r="D29" s="200"/>
      <c r="E29" s="200"/>
      <c r="F29" s="201"/>
      <c r="G29" s="200" t="s">
        <v>1503</v>
      </c>
      <c r="H29" s="202"/>
      <c r="I29" s="203"/>
      <c r="J29" s="203"/>
      <c r="K29" s="202"/>
      <c r="L29" s="204">
        <f>Таблица316[[#This Row],[OLINGAN NARXI $]]+Таблица316[[#This Row],[RASXOD]]</f>
        <v>0</v>
      </c>
      <c r="M29" s="203"/>
      <c r="N29" s="204">
        <f>Таблица316[[#This Row],[SOTILGAN NARXI]]-Таблица316[[#This Row],[TAN NARXI]]</f>
        <v>0</v>
      </c>
      <c r="O29" s="199"/>
    </row>
    <row r="30" spans="1:15" s="205" customFormat="1" x14ac:dyDescent="0.3">
      <c r="A30" s="218">
        <v>29</v>
      </c>
      <c r="B30" s="198"/>
      <c r="C30" s="199"/>
      <c r="D30" s="200"/>
      <c r="E30" s="200"/>
      <c r="F30" s="201"/>
      <c r="G30" s="200"/>
      <c r="H30" s="202"/>
      <c r="I30" s="203"/>
      <c r="J30" s="203"/>
      <c r="K30" s="202"/>
      <c r="L30" s="204">
        <f>Таблица316[[#This Row],[OLINGAN NARXI $]]+Таблица316[[#This Row],[RASXOD]]</f>
        <v>0</v>
      </c>
      <c r="M30" s="203"/>
      <c r="N30" s="204">
        <f>Таблица316[[#This Row],[SOTILGAN NARXI]]-Таблица316[[#This Row],[TAN NARXI]]</f>
        <v>0</v>
      </c>
      <c r="O30" s="199"/>
    </row>
    <row r="31" spans="1:15" x14ac:dyDescent="0.3">
      <c r="A31" s="218">
        <v>30</v>
      </c>
      <c r="B31" s="107"/>
      <c r="C31" s="6"/>
      <c r="F31" s="3"/>
      <c r="G31" s="1"/>
      <c r="H31" s="5"/>
      <c r="K31" s="5"/>
      <c r="L31" s="204">
        <f>Таблица316[[#This Row],[OLINGAN NARXI $]]+Таблица316[[#This Row],[RASXOD]]</f>
        <v>0</v>
      </c>
      <c r="N31" s="204">
        <f>Таблица316[[#This Row],[SOTILGAN NARXI]]-Таблица316[[#This Row],[TAN NARXI]]</f>
        <v>0</v>
      </c>
      <c r="O31" s="6"/>
    </row>
    <row r="32" spans="1:15" x14ac:dyDescent="0.3">
      <c r="A32" s="23"/>
      <c r="B32" s="23"/>
      <c r="C32" s="6"/>
      <c r="F32" s="3"/>
      <c r="G32" s="1"/>
      <c r="H32" s="5"/>
      <c r="K32" s="5"/>
      <c r="L32" s="204"/>
      <c r="N32" s="204"/>
      <c r="O32" s="6"/>
    </row>
    <row r="33" spans="1:15" x14ac:dyDescent="0.3">
      <c r="A33" s="23"/>
      <c r="B33" s="23"/>
      <c r="C33" s="6"/>
      <c r="F33" s="3"/>
      <c r="G33" s="1"/>
      <c r="H33" s="5"/>
      <c r="K33" s="5"/>
      <c r="L33" s="204"/>
      <c r="N33" s="204"/>
      <c r="O33" s="6"/>
    </row>
    <row r="34" spans="1:15" s="243" customFormat="1" ht="20.25" customHeight="1" x14ac:dyDescent="0.3">
      <c r="A34" s="238"/>
      <c r="B34" s="229" t="s">
        <v>1688</v>
      </c>
      <c r="C34" s="230" t="s">
        <v>1689</v>
      </c>
      <c r="D34" s="231"/>
      <c r="E34" s="231"/>
      <c r="F34" s="232"/>
      <c r="G34" s="231"/>
      <c r="H34" s="239"/>
      <c r="I34" s="240"/>
      <c r="J34" s="240"/>
      <c r="K34" s="239"/>
      <c r="L34" s="241"/>
      <c r="M34" s="240"/>
      <c r="N34" s="244"/>
      <c r="O34" s="242"/>
    </row>
    <row r="35" spans="1:15" s="205" customFormat="1" x14ac:dyDescent="0.3">
      <c r="A35" s="218">
        <v>2</v>
      </c>
      <c r="B35" s="198" t="s">
        <v>16</v>
      </c>
      <c r="C35" s="199" t="s">
        <v>25</v>
      </c>
      <c r="D35" s="200" t="s">
        <v>65</v>
      </c>
      <c r="E35" s="200" t="s">
        <v>22</v>
      </c>
      <c r="F35" s="201">
        <v>351858379080787</v>
      </c>
      <c r="G35" s="200"/>
      <c r="H35" s="202">
        <v>45902</v>
      </c>
      <c r="I35" s="203">
        <v>1140</v>
      </c>
      <c r="J35" s="203"/>
      <c r="K35" s="202"/>
      <c r="L35" s="204">
        <f>Таблица316[[#This Row],[OLINGAN NARXI $]]+Таблица316[[#This Row],[RASXOD]]</f>
        <v>1140</v>
      </c>
      <c r="M35" s="203"/>
      <c r="N35" s="204">
        <f>Таблица316[[#This Row],[SOTILGAN NARXI]]-Таблица316[[#This Row],[TAN NARXI]]</f>
        <v>-1140</v>
      </c>
      <c r="O35" s="199" t="s">
        <v>1618</v>
      </c>
    </row>
    <row r="36" spans="1:15" s="205" customFormat="1" x14ac:dyDescent="0.3">
      <c r="A36" s="218">
        <v>3</v>
      </c>
      <c r="B36" s="198"/>
      <c r="C36" s="199"/>
      <c r="D36" s="200"/>
      <c r="E36" s="200"/>
      <c r="F36" s="201"/>
      <c r="G36" s="200"/>
      <c r="H36" s="202"/>
      <c r="I36" s="203"/>
      <c r="J36" s="203"/>
      <c r="K36" s="202"/>
      <c r="L36" s="204">
        <f>Таблица316[[#This Row],[OLINGAN NARXI $]]+Таблица316[[#This Row],[RASXOD]]</f>
        <v>0</v>
      </c>
      <c r="M36" s="203"/>
      <c r="N36" s="204">
        <f>Таблица316[[#This Row],[SOTILGAN NARXI]]-Таблица316[[#This Row],[TAN NARXI]]</f>
        <v>0</v>
      </c>
      <c r="O36" s="199"/>
    </row>
    <row r="37" spans="1:15" s="205" customFormat="1" ht="15.75" customHeight="1" x14ac:dyDescent="0.3">
      <c r="A37" s="218">
        <v>4</v>
      </c>
      <c r="B37" s="198"/>
      <c r="C37" s="199"/>
      <c r="D37" s="200"/>
      <c r="E37" s="200"/>
      <c r="F37" s="201"/>
      <c r="G37" s="200"/>
      <c r="H37" s="202"/>
      <c r="I37" s="203"/>
      <c r="J37" s="203"/>
      <c r="K37" s="202"/>
      <c r="L37" s="204">
        <f>Таблица316[[#This Row],[OLINGAN NARXI $]]+Таблица316[[#This Row],[RASXOD]]</f>
        <v>0</v>
      </c>
      <c r="M37" s="203"/>
      <c r="N37" s="204">
        <f>Таблица316[[#This Row],[SOTILGAN NARXI]]-Таблица316[[#This Row],[TAN NARXI]]</f>
        <v>0</v>
      </c>
      <c r="O37" s="199"/>
    </row>
    <row r="38" spans="1:15" s="205" customFormat="1" x14ac:dyDescent="0.3">
      <c r="A38" s="218">
        <v>5</v>
      </c>
      <c r="B38" s="198"/>
      <c r="C38" s="199"/>
      <c r="D38" s="200"/>
      <c r="E38" s="200"/>
      <c r="F38" s="201"/>
      <c r="G38" s="200"/>
      <c r="H38" s="202"/>
      <c r="I38" s="203"/>
      <c r="J38" s="203"/>
      <c r="K38" s="202"/>
      <c r="L38" s="204">
        <f>Таблица316[[#This Row],[OLINGAN NARXI $]]+Таблица316[[#This Row],[RASXOD]]</f>
        <v>0</v>
      </c>
      <c r="M38" s="203"/>
      <c r="N38" s="204">
        <f>Таблица316[[#This Row],[SOTILGAN NARXI]]-Таблица316[[#This Row],[TAN NARXI]]</f>
        <v>0</v>
      </c>
      <c r="O38" s="199"/>
    </row>
    <row r="39" spans="1:15" s="205" customFormat="1" x14ac:dyDescent="0.3">
      <c r="A39" s="218">
        <v>6</v>
      </c>
      <c r="B39" s="198"/>
      <c r="C39" s="199"/>
      <c r="D39" s="200"/>
      <c r="E39" s="200"/>
      <c r="F39" s="201"/>
      <c r="G39" s="200"/>
      <c r="H39" s="202"/>
      <c r="I39" s="203"/>
      <c r="J39" s="203"/>
      <c r="K39" s="202"/>
      <c r="L39" s="204">
        <f>Таблица316[[#This Row],[OLINGAN NARXI $]]+Таблица316[[#This Row],[RASXOD]]</f>
        <v>0</v>
      </c>
      <c r="M39" s="203"/>
      <c r="N39" s="204">
        <f>Таблица316[[#This Row],[SOTILGAN NARXI]]-Таблица316[[#This Row],[TAN NARXI]]</f>
        <v>0</v>
      </c>
      <c r="O39" s="199"/>
    </row>
    <row r="40" spans="1:15" s="205" customFormat="1" x14ac:dyDescent="0.3">
      <c r="A40" s="218">
        <v>7</v>
      </c>
      <c r="B40" s="198"/>
      <c r="C40" s="199"/>
      <c r="D40" s="200"/>
      <c r="E40" s="200"/>
      <c r="F40" s="201"/>
      <c r="G40" s="200"/>
      <c r="H40" s="202"/>
      <c r="I40" s="203"/>
      <c r="J40" s="203"/>
      <c r="K40" s="202"/>
      <c r="L40" s="204">
        <f>Таблица316[[#This Row],[OLINGAN NARXI $]]+Таблица316[[#This Row],[RASXOD]]</f>
        <v>0</v>
      </c>
      <c r="M40" s="203"/>
      <c r="N40" s="204">
        <f>Таблица316[[#This Row],[SOTILGAN NARXI]]-Таблица316[[#This Row],[TAN NARXI]]</f>
        <v>0</v>
      </c>
      <c r="O40" s="199"/>
    </row>
    <row r="41" spans="1:15" s="205" customFormat="1" x14ac:dyDescent="0.3">
      <c r="A41" s="218">
        <v>8</v>
      </c>
      <c r="B41" s="198"/>
      <c r="C41" s="199"/>
      <c r="D41" s="200"/>
      <c r="E41" s="200"/>
      <c r="F41" s="201"/>
      <c r="G41" s="200"/>
      <c r="H41" s="202"/>
      <c r="I41" s="203"/>
      <c r="J41" s="203"/>
      <c r="K41" s="202"/>
      <c r="L41" s="204">
        <f>Таблица316[[#This Row],[OLINGAN NARXI $]]+Таблица316[[#This Row],[RASXOD]]</f>
        <v>0</v>
      </c>
      <c r="M41" s="203"/>
      <c r="N41" s="204">
        <f>Таблица316[[#This Row],[SOTILGAN NARXI]]-Таблица316[[#This Row],[TAN NARXI]]</f>
        <v>0</v>
      </c>
      <c r="O41" s="199"/>
    </row>
    <row r="42" spans="1:15" s="205" customFormat="1" x14ac:dyDescent="0.3">
      <c r="A42" s="218">
        <v>9</v>
      </c>
      <c r="B42" s="198"/>
      <c r="C42" s="199"/>
      <c r="D42" s="200"/>
      <c r="E42" s="200"/>
      <c r="F42" s="201"/>
      <c r="G42" s="200"/>
      <c r="H42" s="202"/>
      <c r="I42" s="203"/>
      <c r="J42" s="203"/>
      <c r="K42" s="202"/>
      <c r="L42" s="204">
        <f>Таблица316[[#This Row],[OLINGAN NARXI $]]+Таблица316[[#This Row],[RASXOD]]</f>
        <v>0</v>
      </c>
      <c r="M42" s="203"/>
      <c r="N42" s="204">
        <f>Таблица316[[#This Row],[SOTILGAN NARXI]]-Таблица316[[#This Row],[TAN NARXI]]</f>
        <v>0</v>
      </c>
      <c r="O42" s="199"/>
    </row>
    <row r="43" spans="1:15" s="205" customFormat="1" x14ac:dyDescent="0.3">
      <c r="A43" s="218">
        <v>10</v>
      </c>
      <c r="B43" s="198"/>
      <c r="C43" s="199"/>
      <c r="D43" s="200"/>
      <c r="E43" s="200"/>
      <c r="F43" s="201"/>
      <c r="G43" s="200"/>
      <c r="H43" s="202"/>
      <c r="I43" s="203"/>
      <c r="J43" s="203"/>
      <c r="K43" s="202"/>
      <c r="L43" s="204">
        <f>Таблица316[[#This Row],[OLINGAN NARXI $]]+Таблица316[[#This Row],[RASXOD]]</f>
        <v>0</v>
      </c>
      <c r="M43" s="203"/>
      <c r="N43" s="204">
        <f>Таблица316[[#This Row],[SOTILGAN NARXI]]-Таблица316[[#This Row],[TAN NARXI]]</f>
        <v>0</v>
      </c>
      <c r="O43" s="199"/>
    </row>
    <row r="44" spans="1:15" x14ac:dyDescent="0.3">
      <c r="A44" s="107">
        <v>11</v>
      </c>
      <c r="B44" s="107"/>
      <c r="C44" s="6"/>
      <c r="F44" s="3"/>
      <c r="G44" s="1"/>
      <c r="H44" s="5"/>
      <c r="K44" s="5"/>
      <c r="L44" s="204">
        <f>Таблица316[[#This Row],[OLINGAN NARXI $]]+Таблица316[[#This Row],[RASXOD]]</f>
        <v>0</v>
      </c>
      <c r="N44" s="204">
        <f>Таблица316[[#This Row],[SOTILGAN NARXI]]-Таблица316[[#This Row],[TAN NARXI]]</f>
        <v>0</v>
      </c>
      <c r="O44" s="6"/>
    </row>
    <row r="45" spans="1:15" x14ac:dyDescent="0.3">
      <c r="A45" s="23"/>
      <c r="B45" s="23"/>
      <c r="C45" s="6"/>
      <c r="F45" s="216"/>
      <c r="G45" s="5"/>
      <c r="H45" s="219" t="s">
        <v>225</v>
      </c>
      <c r="I45" s="220"/>
      <c r="J45" s="30"/>
      <c r="K45" s="5"/>
      <c r="L45" s="204">
        <f>Таблица316[[#This Row],[OLINGAN NARXI $]]+Таблица316[[#This Row],[RASXOD]]</f>
        <v>0</v>
      </c>
      <c r="N45" s="204">
        <f>Таблица316[[#This Row],[SOTILGAN NARXI]]-Таблица316[[#This Row],[TAN NARXI]]</f>
        <v>0</v>
      </c>
      <c r="O45" s="6"/>
    </row>
    <row r="46" spans="1:15" x14ac:dyDescent="0.3">
      <c r="A46" s="23"/>
      <c r="B46" s="23"/>
      <c r="C46" s="6"/>
      <c r="F46" s="5"/>
      <c r="G46" s="2"/>
      <c r="H46" s="221" t="s">
        <v>1740</v>
      </c>
      <c r="I46" s="222">
        <v>21</v>
      </c>
      <c r="J46" s="24"/>
      <c r="K46" s="5"/>
      <c r="L46" s="204">
        <f>Таблица316[[#This Row],[OLINGAN NARXI $]]+Таблица316[[#This Row],[RASXOD]]</f>
        <v>21</v>
      </c>
      <c r="N46" s="204">
        <f>Таблица316[[#This Row],[SOTILGAN NARXI]]-Таблица316[[#This Row],[TAN NARXI]]</f>
        <v>-21</v>
      </c>
      <c r="O46" s="6"/>
    </row>
    <row r="47" spans="1:15" x14ac:dyDescent="0.3">
      <c r="A47" s="23"/>
      <c r="B47" s="23"/>
      <c r="C47" s="6"/>
      <c r="F47" s="5"/>
      <c r="G47" s="2"/>
      <c r="H47" s="221" t="s">
        <v>1742</v>
      </c>
      <c r="I47" s="222">
        <v>750</v>
      </c>
      <c r="J47" s="24"/>
      <c r="K47" s="5"/>
      <c r="L47" s="204">
        <f>Таблица316[[#This Row],[OLINGAN NARXI $]]+Таблица316[[#This Row],[RASXOD]]</f>
        <v>750</v>
      </c>
      <c r="N47" s="204">
        <f>Таблица316[[#This Row],[SOTILGAN NARXI]]-Таблица316[[#This Row],[TAN NARXI]]</f>
        <v>-750</v>
      </c>
      <c r="O47" s="6"/>
    </row>
    <row r="48" spans="1:15" x14ac:dyDescent="0.3">
      <c r="A48" s="23"/>
      <c r="B48" s="23"/>
      <c r="C48" s="6"/>
      <c r="F48" s="28"/>
      <c r="G48" s="2"/>
      <c r="H48" s="221" t="s">
        <v>1505</v>
      </c>
      <c r="I48" s="222">
        <v>420</v>
      </c>
      <c r="J48" s="24"/>
      <c r="K48" s="5"/>
      <c r="L48" s="204">
        <f>Таблица316[[#This Row],[OLINGAN NARXI $]]+Таблица316[[#This Row],[RASXOD]]</f>
        <v>420</v>
      </c>
      <c r="N48" s="204">
        <f>Таблица316[[#This Row],[SOTILGAN NARXI]]-Таблица316[[#This Row],[TAN NARXI]]</f>
        <v>-420</v>
      </c>
      <c r="O48" s="6"/>
    </row>
    <row r="49" spans="1:15" x14ac:dyDescent="0.3">
      <c r="A49" s="23"/>
      <c r="B49" s="23"/>
      <c r="C49" s="6"/>
      <c r="F49" s="3"/>
      <c r="G49" s="2"/>
      <c r="H49" s="221" t="s">
        <v>226</v>
      </c>
      <c r="I49" s="222">
        <v>1070</v>
      </c>
      <c r="J49" s="24"/>
      <c r="K49" s="5"/>
      <c r="L49" s="204">
        <f>Таблица316[[#This Row],[OLINGAN NARXI $]]+Таблица316[[#This Row],[RASXOD]]</f>
        <v>1070</v>
      </c>
      <c r="N49" s="204">
        <f>Таблица316[[#This Row],[SOTILGAN NARXI]]-Таблица316[[#This Row],[TAN NARXI]]</f>
        <v>-1070</v>
      </c>
      <c r="O49" s="6"/>
    </row>
    <row r="50" spans="1:15" x14ac:dyDescent="0.3">
      <c r="A50" s="23"/>
      <c r="B50" s="23"/>
      <c r="C50" s="6"/>
      <c r="F50" s="28"/>
      <c r="G50" s="2"/>
      <c r="H50" s="221" t="s">
        <v>1758</v>
      </c>
      <c r="I50" s="222">
        <v>1000</v>
      </c>
      <c r="J50" s="24"/>
      <c r="K50" s="5"/>
      <c r="L50" s="204">
        <f>Таблица316[[#This Row],[OLINGAN NARXI $]]+Таблица316[[#This Row],[RASXOD]]</f>
        <v>1000</v>
      </c>
      <c r="N50" s="204">
        <f>Таблица316[[#This Row],[SOTILGAN NARXI]]-Таблица316[[#This Row],[TAN NARXI]]</f>
        <v>-1000</v>
      </c>
      <c r="O50" s="6"/>
    </row>
    <row r="51" spans="1:15" x14ac:dyDescent="0.3">
      <c r="A51" s="23"/>
      <c r="B51" s="23"/>
      <c r="C51" s="6"/>
      <c r="F51" s="28"/>
      <c r="G51" s="2"/>
      <c r="H51" s="221"/>
      <c r="I51" s="222"/>
      <c r="J51" s="24"/>
      <c r="K51" s="5"/>
      <c r="L51" s="204">
        <f>Таблица316[[#This Row],[OLINGAN NARXI $]]+Таблица316[[#This Row],[RASXOD]]</f>
        <v>0</v>
      </c>
      <c r="N51" s="204">
        <f>Таблица316[[#This Row],[SOTILGAN NARXI]]-Таблица316[[#This Row],[TAN NARXI]]</f>
        <v>0</v>
      </c>
      <c r="O51" s="6"/>
    </row>
    <row r="52" spans="1:15" x14ac:dyDescent="0.3">
      <c r="A52" s="23"/>
      <c r="B52" s="23"/>
      <c r="C52" s="6"/>
      <c r="F52" s="28"/>
      <c r="G52" s="2"/>
      <c r="H52" s="221"/>
      <c r="I52" s="222"/>
      <c r="J52" s="24"/>
      <c r="K52" s="5"/>
      <c r="L52" s="204">
        <f>Таблица316[[#This Row],[OLINGAN NARXI $]]+Таблица316[[#This Row],[RASXOD]]</f>
        <v>0</v>
      </c>
      <c r="N52" s="204">
        <f>Таблица316[[#This Row],[SOTILGAN NARXI]]-Таблица316[[#This Row],[TAN NARXI]]</f>
        <v>0</v>
      </c>
      <c r="O52" s="6"/>
    </row>
    <row r="53" spans="1:15" x14ac:dyDescent="0.3">
      <c r="A53" s="23"/>
      <c r="B53" s="23"/>
      <c r="C53" s="6"/>
      <c r="F53" s="28"/>
      <c r="G53" s="2"/>
      <c r="H53" s="221"/>
      <c r="I53" s="222"/>
      <c r="J53" s="24"/>
      <c r="K53" s="5"/>
      <c r="L53" s="204">
        <f>Таблица316[[#This Row],[OLINGAN NARXI $]]+Таблица316[[#This Row],[RASXOD]]</f>
        <v>0</v>
      </c>
      <c r="N53" s="204">
        <f>Таблица316[[#This Row],[SOTILGAN NARXI]]-Таблица316[[#This Row],[TAN NARXI]]</f>
        <v>0</v>
      </c>
      <c r="O53" s="6"/>
    </row>
    <row r="54" spans="1:15" x14ac:dyDescent="0.3">
      <c r="A54" s="23"/>
      <c r="B54" s="23"/>
      <c r="C54" s="6"/>
      <c r="F54" s="3"/>
      <c r="G54" s="2"/>
      <c r="H54" s="221"/>
      <c r="I54" s="222"/>
      <c r="J54" s="24"/>
      <c r="K54" s="5"/>
      <c r="L54" s="204">
        <f>Таблица316[[#This Row],[OLINGAN NARXI $]]+Таблица316[[#This Row],[RASXOD]]</f>
        <v>0</v>
      </c>
      <c r="N54" s="204">
        <f>Таблица316[[#This Row],[SOTILGAN NARXI]]-Таблица316[[#This Row],[TAN NARXI]]</f>
        <v>0</v>
      </c>
      <c r="O54" s="6"/>
    </row>
    <row r="55" spans="1:15" x14ac:dyDescent="0.3">
      <c r="A55" s="23"/>
      <c r="B55" s="23"/>
      <c r="C55" s="6"/>
      <c r="F55" s="28"/>
      <c r="G55" s="2"/>
      <c r="H55" s="221"/>
      <c r="I55" s="222"/>
      <c r="J55" s="24"/>
      <c r="K55" s="5"/>
      <c r="L55" s="204">
        <f>Таблица316[[#This Row],[OLINGAN NARXI $]]+Таблица316[[#This Row],[RASXOD]]</f>
        <v>0</v>
      </c>
      <c r="N55" s="204">
        <f>Таблица316[[#This Row],[SOTILGAN NARXI]]-Таблица316[[#This Row],[TAN NARXI]]</f>
        <v>0</v>
      </c>
      <c r="O55" s="6"/>
    </row>
    <row r="56" spans="1:15" x14ac:dyDescent="0.3">
      <c r="A56" s="23"/>
      <c r="B56" s="23"/>
      <c r="C56" s="6"/>
      <c r="F56" s="28"/>
      <c r="G56" s="2"/>
      <c r="H56" s="221"/>
      <c r="I56" s="222"/>
      <c r="J56" s="24"/>
      <c r="K56" s="5"/>
      <c r="L56" s="204">
        <f>Таблица316[[#This Row],[OLINGAN NARXI $]]+Таблица316[[#This Row],[RASXOD]]</f>
        <v>0</v>
      </c>
      <c r="N56" s="204">
        <f>Таблица316[[#This Row],[SOTILGAN NARXI]]-Таблица316[[#This Row],[TAN NARXI]]</f>
        <v>0</v>
      </c>
      <c r="O56" s="6"/>
    </row>
    <row r="57" spans="1:15" x14ac:dyDescent="0.3">
      <c r="A57" s="23"/>
      <c r="B57" s="23"/>
      <c r="C57" s="6"/>
      <c r="F57" s="28"/>
      <c r="G57" s="2"/>
      <c r="H57" s="221"/>
      <c r="I57" s="222"/>
      <c r="J57" s="24"/>
      <c r="K57" s="5"/>
      <c r="L57" s="204">
        <f>Таблица316[[#This Row],[OLINGAN NARXI $]]+Таблица316[[#This Row],[RASXOD]]</f>
        <v>0</v>
      </c>
      <c r="N57" s="204">
        <f>Таблица316[[#This Row],[SOTILGAN NARXI]]-Таблица316[[#This Row],[TAN NARXI]]</f>
        <v>0</v>
      </c>
      <c r="O57" s="6"/>
    </row>
    <row r="58" spans="1:15" ht="15.75" customHeight="1" x14ac:dyDescent="0.3">
      <c r="A58" s="23"/>
      <c r="B58" s="23"/>
      <c r="C58" s="6"/>
      <c r="F58" s="28"/>
      <c r="G58" s="2"/>
      <c r="H58" s="221"/>
      <c r="I58" s="222"/>
      <c r="J58" s="24"/>
      <c r="K58" s="5"/>
      <c r="L58" s="204">
        <f>Таблица316[[#This Row],[OLINGAN NARXI $]]+Таблица316[[#This Row],[RASXOD]]</f>
        <v>0</v>
      </c>
      <c r="N58" s="204">
        <f>Таблица316[[#This Row],[SOTILGAN NARXI]]-Таблица316[[#This Row],[TAN NARXI]]</f>
        <v>0</v>
      </c>
      <c r="O58" s="6"/>
    </row>
    <row r="59" spans="1:15" ht="15.75" customHeight="1" x14ac:dyDescent="0.3">
      <c r="A59" s="23"/>
      <c r="B59" s="23"/>
      <c r="C59" s="6"/>
      <c r="F59" s="28"/>
      <c r="G59" s="2"/>
      <c r="H59" s="221"/>
      <c r="I59" s="222"/>
      <c r="J59" s="24"/>
      <c r="K59" s="5"/>
      <c r="L59" s="204">
        <f>Таблица316[[#This Row],[OLINGAN NARXI $]]+Таблица316[[#This Row],[RASXOD]]</f>
        <v>0</v>
      </c>
      <c r="N59" s="204">
        <f>Таблица316[[#This Row],[SOTILGAN NARXI]]-Таблица316[[#This Row],[TAN NARXI]]</f>
        <v>0</v>
      </c>
      <c r="O59" s="6"/>
    </row>
    <row r="60" spans="1:15" ht="15.75" customHeight="1" x14ac:dyDescent="0.3">
      <c r="A60" s="23"/>
      <c r="B60" s="23"/>
      <c r="C60" s="6"/>
      <c r="F60" s="28"/>
      <c r="G60" s="2"/>
      <c r="H60" s="221"/>
      <c r="I60" s="222"/>
      <c r="J60" s="24"/>
      <c r="K60" s="5"/>
      <c r="L60" s="204">
        <f>Таблица316[[#This Row],[OLINGAN NARXI $]]+Таблица316[[#This Row],[RASXOD]]</f>
        <v>0</v>
      </c>
      <c r="N60" s="204">
        <f>Таблица316[[#This Row],[SOTILGAN NARXI]]-Таблица316[[#This Row],[TAN NARXI]]</f>
        <v>0</v>
      </c>
      <c r="O60" s="6"/>
    </row>
    <row r="61" spans="1:15" ht="15.75" customHeight="1" x14ac:dyDescent="0.3">
      <c r="A61" s="23"/>
      <c r="B61" s="23"/>
      <c r="C61" s="6"/>
      <c r="F61" s="28"/>
      <c r="G61" s="2"/>
      <c r="H61" s="221"/>
      <c r="I61" s="222"/>
      <c r="J61" s="24"/>
      <c r="K61" s="5"/>
      <c r="L61" s="204">
        <f>Таблица316[[#This Row],[OLINGAN NARXI $]]+Таблица316[[#This Row],[RASXOD]]</f>
        <v>0</v>
      </c>
      <c r="N61" s="204">
        <f>Таблица316[[#This Row],[SOTILGAN NARXI]]-Таблица316[[#This Row],[TAN NARXI]]</f>
        <v>0</v>
      </c>
      <c r="O61" s="6"/>
    </row>
    <row r="62" spans="1:15" ht="15.75" customHeight="1" x14ac:dyDescent="0.3">
      <c r="A62" s="23"/>
      <c r="B62" s="23"/>
      <c r="C62" s="6"/>
      <c r="F62" s="3"/>
      <c r="G62" s="2"/>
      <c r="H62" s="221"/>
      <c r="I62" s="222"/>
      <c r="J62" s="24"/>
      <c r="K62" s="5"/>
      <c r="L62" s="204">
        <f>Таблица316[[#This Row],[OLINGAN NARXI $]]+Таблица316[[#This Row],[RASXOD]]</f>
        <v>0</v>
      </c>
      <c r="N62" s="204">
        <f>Таблица316[[#This Row],[SOTILGAN NARXI]]-Таблица316[[#This Row],[TAN NARXI]]</f>
        <v>0</v>
      </c>
      <c r="O62" s="6"/>
    </row>
    <row r="63" spans="1:15" ht="15.75" customHeight="1" x14ac:dyDescent="0.3">
      <c r="A63" s="23"/>
      <c r="B63" s="23"/>
      <c r="C63" s="6"/>
      <c r="F63" s="3"/>
      <c r="G63" s="2"/>
      <c r="H63" s="221"/>
      <c r="I63" s="222"/>
      <c r="J63" s="24"/>
      <c r="K63" s="5"/>
      <c r="L63" s="204">
        <f>Таблица316[[#This Row],[OLINGAN NARXI $]]+Таблица316[[#This Row],[RASXOD]]</f>
        <v>0</v>
      </c>
      <c r="N63" s="204">
        <f>Таблица316[[#This Row],[SOTILGAN NARXI]]-Таблица316[[#This Row],[TAN NARXI]]</f>
        <v>0</v>
      </c>
      <c r="O63" s="6"/>
    </row>
    <row r="64" spans="1:15" ht="15.75" customHeight="1" x14ac:dyDescent="0.3">
      <c r="A64" s="23"/>
      <c r="B64" s="23"/>
      <c r="C64" s="6"/>
      <c r="F64" s="3"/>
      <c r="G64" s="2"/>
      <c r="H64" s="221"/>
      <c r="I64" s="222"/>
      <c r="J64" s="24"/>
      <c r="K64" s="5"/>
      <c r="L64" s="204">
        <f>Таблица316[[#This Row],[OLINGAN NARXI $]]+Таблица316[[#This Row],[RASXOD]]</f>
        <v>0</v>
      </c>
      <c r="N64" s="204">
        <f>Таблица316[[#This Row],[SOTILGAN NARXI]]-Таблица316[[#This Row],[TAN NARXI]]</f>
        <v>0</v>
      </c>
      <c r="O64" s="6"/>
    </row>
    <row r="65" spans="1:15" x14ac:dyDescent="0.3">
      <c r="A65" s="23"/>
      <c r="B65" s="23"/>
      <c r="C65" s="6"/>
      <c r="F65" s="28"/>
      <c r="G65" s="2"/>
      <c r="H65" s="221"/>
      <c r="I65" s="222"/>
      <c r="J65" s="24"/>
      <c r="K65" s="5"/>
      <c r="L65" s="204">
        <f>Таблица316[[#This Row],[OLINGAN NARXI $]]+Таблица316[[#This Row],[RASXOD]]</f>
        <v>0</v>
      </c>
      <c r="N65" s="204">
        <f>Таблица316[[#This Row],[SOTILGAN NARXI]]-Таблица316[[#This Row],[TAN NARXI]]</f>
        <v>0</v>
      </c>
      <c r="O65" s="6"/>
    </row>
    <row r="66" spans="1:15" x14ac:dyDescent="0.3">
      <c r="A66" s="23"/>
      <c r="B66" s="23"/>
      <c r="C66" s="6"/>
      <c r="F66" s="3"/>
      <c r="G66" s="2"/>
      <c r="H66" s="221"/>
      <c r="I66" s="222"/>
      <c r="J66" s="24"/>
      <c r="K66" s="5"/>
      <c r="L66" s="204">
        <f>Таблица316[[#This Row],[OLINGAN NARXI $]]+Таблица316[[#This Row],[RASXOD]]</f>
        <v>0</v>
      </c>
      <c r="N66" s="204">
        <f>Таблица316[[#This Row],[SOTILGAN NARXI]]-Таблица316[[#This Row],[TAN NARXI]]</f>
        <v>0</v>
      </c>
      <c r="O66" s="6"/>
    </row>
    <row r="67" spans="1:15" x14ac:dyDescent="0.3">
      <c r="A67" s="23"/>
      <c r="B67" s="23"/>
      <c r="C67" s="6"/>
      <c r="F67" s="3"/>
      <c r="G67" s="2"/>
      <c r="H67" s="221"/>
      <c r="I67" s="222"/>
      <c r="J67" s="24"/>
      <c r="K67" s="5"/>
      <c r="L67" s="204">
        <f>Таблица316[[#This Row],[OLINGAN NARXI $]]+Таблица316[[#This Row],[RASXOD]]</f>
        <v>0</v>
      </c>
      <c r="N67" s="204">
        <f>Таблица316[[#This Row],[SOTILGAN NARXI]]-Таблица316[[#This Row],[TAN NARXI]]</f>
        <v>0</v>
      </c>
      <c r="O67" s="6"/>
    </row>
    <row r="68" spans="1:15" x14ac:dyDescent="0.3">
      <c r="A68" s="23"/>
      <c r="B68" s="23"/>
      <c r="C68" s="6"/>
      <c r="F68" s="3"/>
      <c r="G68" s="2"/>
      <c r="H68" s="221"/>
      <c r="I68" s="222"/>
      <c r="J68" s="24"/>
      <c r="K68" s="5"/>
      <c r="L68" s="204">
        <f>Таблица316[[#This Row],[OLINGAN NARXI $]]+Таблица316[[#This Row],[RASXOD]]</f>
        <v>0</v>
      </c>
      <c r="N68" s="204">
        <f>Таблица316[[#This Row],[SOTILGAN NARXI]]-Таблица316[[#This Row],[TAN NARXI]]</f>
        <v>0</v>
      </c>
      <c r="O68" s="6"/>
    </row>
    <row r="69" spans="1:15" x14ac:dyDescent="0.3">
      <c r="A69" s="23"/>
      <c r="B69" s="23"/>
      <c r="C69" s="6"/>
      <c r="F69" s="3"/>
      <c r="G69" s="2"/>
      <c r="H69" s="221"/>
      <c r="I69" s="222"/>
      <c r="J69" s="24"/>
      <c r="K69" s="5"/>
      <c r="L69" s="204">
        <f>Таблица316[[#This Row],[OLINGAN NARXI $]]+Таблица316[[#This Row],[RASXOD]]</f>
        <v>0</v>
      </c>
      <c r="N69" s="204">
        <f>Таблица316[[#This Row],[SOTILGAN NARXI]]-Таблица316[[#This Row],[TAN NARXI]]</f>
        <v>0</v>
      </c>
      <c r="O69" s="6"/>
    </row>
    <row r="70" spans="1:15" x14ac:dyDescent="0.3">
      <c r="A70" s="23"/>
      <c r="B70" s="23"/>
      <c r="C70" s="6"/>
      <c r="F70" s="28"/>
      <c r="G70" s="2"/>
      <c r="H70" s="221" t="s">
        <v>1703</v>
      </c>
      <c r="I70" s="222">
        <v>20</v>
      </c>
      <c r="J70" s="24"/>
      <c r="K70" s="5"/>
      <c r="L70" s="204">
        <f>Таблица316[[#This Row],[OLINGAN NARXI $]]+Таблица316[[#This Row],[RASXOD]]</f>
        <v>20</v>
      </c>
      <c r="N70" s="204">
        <f>Таблица316[[#This Row],[SOTILGAN NARXI]]-Таблица316[[#This Row],[TAN NARXI]]</f>
        <v>-20</v>
      </c>
      <c r="O70" s="6"/>
    </row>
    <row r="71" spans="1:15" x14ac:dyDescent="0.3">
      <c r="A71" s="23"/>
      <c r="B71" s="23"/>
      <c r="C71" s="6"/>
      <c r="F71" s="28"/>
      <c r="G71" s="2"/>
      <c r="H71" s="221"/>
      <c r="I71" s="222"/>
      <c r="J71" s="24"/>
      <c r="K71" s="5"/>
      <c r="L71" s="204">
        <f>Таблица316[[#This Row],[OLINGAN NARXI $]]+Таблица316[[#This Row],[RASXOD]]</f>
        <v>0</v>
      </c>
      <c r="N71" s="204">
        <f>Таблица316[[#This Row],[SOTILGAN NARXI]]-Таблица316[[#This Row],[TAN NARXI]]</f>
        <v>0</v>
      </c>
      <c r="O71" s="6"/>
    </row>
    <row r="72" spans="1:15" ht="15.6" x14ac:dyDescent="0.3">
      <c r="A72" s="23"/>
      <c r="B72" s="23"/>
      <c r="C72" s="6"/>
      <c r="G72" s="5"/>
      <c r="H72" s="221" t="s">
        <v>981</v>
      </c>
      <c r="I72" s="67">
        <f>SUBTOTAL(109,I46:I71)</f>
        <v>3281</v>
      </c>
      <c r="J72" s="24"/>
      <c r="K72" s="5"/>
      <c r="L72" s="204"/>
      <c r="N72" s="204">
        <f>Таблица316[[#This Row],[SOTILGAN NARXI]]-Таблица316[[#This Row],[TAN NARXI]]</f>
        <v>0</v>
      </c>
      <c r="O72" s="6"/>
    </row>
    <row r="73" spans="1:15" ht="15.6" x14ac:dyDescent="0.3">
      <c r="A73" s="23"/>
      <c r="B73" s="23"/>
      <c r="C73" s="6"/>
      <c r="F73" s="3"/>
      <c r="G73" s="2"/>
      <c r="H73" s="68"/>
      <c r="I73" s="69"/>
      <c r="J73" s="70"/>
      <c r="K73" s="5"/>
      <c r="L73" s="204"/>
      <c r="N73" s="204">
        <f>Таблица316[[#This Row],[SOTILGAN NARXI]]-Таблица316[[#This Row],[TAN NARXI]]</f>
        <v>0</v>
      </c>
      <c r="O73" s="6"/>
    </row>
    <row r="74" spans="1:15" x14ac:dyDescent="0.3">
      <c r="A74" s="23"/>
      <c r="B74" s="23"/>
      <c r="C74" s="6"/>
      <c r="F74" s="3"/>
      <c r="G74" s="1"/>
      <c r="H74" s="219" t="s">
        <v>500</v>
      </c>
      <c r="I74" s="219"/>
      <c r="J74" s="30"/>
      <c r="K74" s="5"/>
      <c r="L74" s="204"/>
      <c r="N74" s="204">
        <f>Таблица316[[#This Row],[SOTILGAN NARXI]]-Таблица316[[#This Row],[TAN NARXI]]</f>
        <v>0</v>
      </c>
      <c r="O74" s="6"/>
    </row>
    <row r="75" spans="1:15" x14ac:dyDescent="0.3">
      <c r="A75" s="23"/>
      <c r="B75" s="23"/>
      <c r="C75" s="6"/>
      <c r="F75" s="3"/>
      <c r="G75" s="1"/>
      <c r="H75" s="223"/>
      <c r="I75" s="224"/>
      <c r="J75" s="73"/>
      <c r="K75" s="5"/>
      <c r="L75" s="204">
        <f>Таблица316[[#This Row],[OLINGAN NARXI $]]+Таблица316[[#This Row],[RASXOD]]</f>
        <v>0</v>
      </c>
      <c r="N75" s="204">
        <f>Таблица316[[#This Row],[SOTILGAN NARXI]]-Таблица316[[#This Row],[TAN NARXI]]</f>
        <v>0</v>
      </c>
      <c r="O75" s="6"/>
    </row>
    <row r="76" spans="1:15" x14ac:dyDescent="0.3">
      <c r="A76" s="23"/>
      <c r="B76" s="23"/>
      <c r="C76" s="6"/>
      <c r="F76" s="3"/>
      <c r="G76" s="1"/>
      <c r="H76" s="223"/>
      <c r="I76" s="224"/>
      <c r="J76" s="73"/>
      <c r="K76" s="5"/>
      <c r="L76" s="204">
        <f>Таблица316[[#This Row],[OLINGAN NARXI $]]+Таблица316[[#This Row],[RASXOD]]</f>
        <v>0</v>
      </c>
      <c r="N76" s="204">
        <f>Таблица316[[#This Row],[SOTILGAN NARXI]]-Таблица316[[#This Row],[TAN NARXI]]</f>
        <v>0</v>
      </c>
      <c r="O76" s="6"/>
    </row>
    <row r="77" spans="1:15" x14ac:dyDescent="0.3">
      <c r="A77" s="23"/>
      <c r="B77" s="23"/>
      <c r="C77" s="6"/>
      <c r="F77" s="3"/>
      <c r="G77" s="1"/>
      <c r="H77" s="223"/>
      <c r="I77" s="224"/>
      <c r="J77" s="74"/>
      <c r="K77" s="5"/>
      <c r="L77" s="204">
        <f>Таблица316[[#This Row],[OLINGAN NARXI $]]+Таблица316[[#This Row],[RASXOD]]</f>
        <v>0</v>
      </c>
      <c r="N77" s="204">
        <f>Таблица316[[#This Row],[SOTILGAN NARXI]]-Таблица316[[#This Row],[TAN NARXI]]</f>
        <v>0</v>
      </c>
      <c r="O77" s="6"/>
    </row>
    <row r="78" spans="1:15" x14ac:dyDescent="0.3">
      <c r="A78" s="23"/>
      <c r="B78" s="23"/>
      <c r="C78" s="6"/>
      <c r="F78" s="3"/>
      <c r="G78" s="1"/>
      <c r="H78" s="223"/>
      <c r="I78" s="224"/>
      <c r="J78" s="115"/>
      <c r="K78" s="5"/>
      <c r="L78" s="204">
        <f>Таблица316[[#This Row],[OLINGAN NARXI $]]+Таблица316[[#This Row],[RASXOD]]</f>
        <v>0</v>
      </c>
      <c r="N78" s="204">
        <f>Таблица316[[#This Row],[SOTILGAN NARXI]]-Таблица316[[#This Row],[TAN NARXI]]</f>
        <v>0</v>
      </c>
      <c r="O78" s="6"/>
    </row>
    <row r="79" spans="1:15" x14ac:dyDescent="0.3">
      <c r="A79" s="23"/>
      <c r="B79" s="23"/>
      <c r="C79" s="6"/>
      <c r="F79" s="3"/>
      <c r="G79" s="1"/>
      <c r="H79" s="223"/>
      <c r="I79" s="224"/>
      <c r="J79" s="115"/>
      <c r="K79" s="5"/>
      <c r="L79" s="204">
        <f>Таблица316[[#This Row],[OLINGAN NARXI $]]-Таблица316[[#This Row],[RASXOD]]</f>
        <v>0</v>
      </c>
      <c r="N79" s="204">
        <f>Таблица316[[#This Row],[SOTILGAN NARXI]]-Таблица316[[#This Row],[TAN NARXI]]</f>
        <v>0</v>
      </c>
      <c r="O79" s="6"/>
    </row>
    <row r="80" spans="1:15" x14ac:dyDescent="0.3">
      <c r="A80" s="23"/>
      <c r="B80" s="23"/>
      <c r="C80" s="6"/>
      <c r="F80" s="3"/>
      <c r="G80" s="1"/>
      <c r="H80" s="223"/>
      <c r="I80" s="224"/>
      <c r="J80" s="115"/>
      <c r="K80" s="5"/>
      <c r="L80" s="204">
        <f>Таблица316[[#This Row],[OLINGAN NARXI $]]-Таблица316[[#This Row],[RASXOD]]</f>
        <v>0</v>
      </c>
      <c r="N80" s="204">
        <f>Таблица316[[#This Row],[SOTILGAN NARXI]]-Таблица316[[#This Row],[TAN NARXI]]</f>
        <v>0</v>
      </c>
      <c r="O80" s="6"/>
    </row>
    <row r="81" spans="1:15" x14ac:dyDescent="0.3">
      <c r="A81" s="23"/>
      <c r="B81" s="23"/>
      <c r="C81" s="6"/>
      <c r="F81" s="3"/>
      <c r="G81" s="1"/>
      <c r="H81" s="223"/>
      <c r="I81" s="224"/>
      <c r="J81" s="115"/>
      <c r="K81" s="5"/>
      <c r="L81" s="204">
        <f>Таблица316[[#This Row],[OLINGAN NARXI $]]-Таблица316[[#This Row],[RASXOD]]</f>
        <v>0</v>
      </c>
      <c r="N81" s="204">
        <f>Таблица316[[#This Row],[SOTILGAN NARXI]]-Таблица316[[#This Row],[TAN NARXI]]</f>
        <v>0</v>
      </c>
      <c r="O81" s="6"/>
    </row>
    <row r="82" spans="1:15" x14ac:dyDescent="0.3">
      <c r="A82" s="23"/>
      <c r="B82" s="23"/>
      <c r="C82" s="6"/>
      <c r="F82" s="3"/>
      <c r="G82" s="1"/>
      <c r="H82" s="223"/>
      <c r="I82" s="224"/>
      <c r="J82" s="115"/>
      <c r="K82" s="5"/>
      <c r="L82" s="204">
        <f>Таблица316[[#This Row],[OLINGAN NARXI $]]-Таблица316[[#This Row],[RASXOD]]</f>
        <v>0</v>
      </c>
      <c r="N82" s="204">
        <f>Таблица316[[#This Row],[SOTILGAN NARXI]]-Таблица316[[#This Row],[TAN NARXI]]</f>
        <v>0</v>
      </c>
      <c r="O82" s="6"/>
    </row>
    <row r="83" spans="1:15" x14ac:dyDescent="0.3">
      <c r="A83" s="23"/>
      <c r="B83" s="23"/>
      <c r="C83" s="6"/>
      <c r="F83" s="3"/>
      <c r="G83" s="1"/>
      <c r="H83" s="223"/>
      <c r="I83" s="224"/>
      <c r="J83" s="115"/>
      <c r="K83" s="5"/>
      <c r="L83" s="204">
        <f>Таблица316[[#This Row],[OLINGAN NARXI $]]-Таблица316[[#This Row],[RASXOD]]</f>
        <v>0</v>
      </c>
      <c r="N83" s="204">
        <f>Таблица316[[#This Row],[SOTILGAN NARXI]]-Таблица316[[#This Row],[TAN NARXI]]</f>
        <v>0</v>
      </c>
      <c r="O83" s="6"/>
    </row>
    <row r="84" spans="1:15" x14ac:dyDescent="0.3">
      <c r="A84" s="23"/>
      <c r="B84" s="23"/>
      <c r="C84" s="6"/>
      <c r="F84" s="3"/>
      <c r="G84" s="1"/>
      <c r="H84" s="223"/>
      <c r="I84" s="224"/>
      <c r="J84" s="115"/>
      <c r="K84" s="5"/>
      <c r="L84" s="204">
        <f>Таблица316[[#This Row],[OLINGAN NARXI $]]-Таблица316[[#This Row],[RASXOD]]</f>
        <v>0</v>
      </c>
      <c r="N84" s="204">
        <f>Таблица316[[#This Row],[SOTILGAN NARXI]]-Таблица316[[#This Row],[TAN NARXI]]</f>
        <v>0</v>
      </c>
      <c r="O84" s="6"/>
    </row>
    <row r="85" spans="1:15" x14ac:dyDescent="0.3">
      <c r="A85" s="23"/>
      <c r="B85" s="23"/>
      <c r="C85" s="6"/>
      <c r="F85" s="3"/>
      <c r="G85" s="1"/>
      <c r="H85" s="225"/>
      <c r="I85" s="224"/>
      <c r="J85" s="74"/>
      <c r="K85" s="5"/>
      <c r="L85" s="204">
        <f>Таблица316[[#This Row],[OLINGAN NARXI $]]-Таблица316[[#This Row],[RASXOD]]</f>
        <v>0</v>
      </c>
      <c r="N85" s="204">
        <f>Таблица316[[#This Row],[SOTILGAN NARXI]]-Таблица316[[#This Row],[TAN NARXI]]</f>
        <v>0</v>
      </c>
      <c r="O85" s="6"/>
    </row>
    <row r="86" spans="1:15" x14ac:dyDescent="0.3">
      <c r="A86" s="23"/>
      <c r="B86" s="23"/>
      <c r="C86" s="6"/>
      <c r="F86" s="3"/>
      <c r="G86" s="1"/>
      <c r="H86" s="223"/>
      <c r="I86" s="224"/>
      <c r="J86" s="74"/>
      <c r="K86" s="5"/>
      <c r="L86" s="204">
        <f>Таблица316[[#This Row],[OLINGAN NARXI $]]-Таблица316[[#This Row],[RASXOD]]</f>
        <v>0</v>
      </c>
      <c r="N86" s="204">
        <f>Таблица316[[#This Row],[SOTILGAN NARXI]]-Таблица316[[#This Row],[TAN NARXI]]</f>
        <v>0</v>
      </c>
      <c r="O86" s="6"/>
    </row>
    <row r="87" spans="1:15" x14ac:dyDescent="0.3">
      <c r="A87" s="23"/>
      <c r="B87" s="23"/>
      <c r="C87" s="6"/>
      <c r="F87" s="3"/>
      <c r="G87" s="1"/>
      <c r="H87" s="223"/>
      <c r="I87" s="224"/>
      <c r="J87" s="74"/>
      <c r="K87" s="5"/>
      <c r="L87" s="204">
        <f>Таблица316[[#This Row],[OLINGAN NARXI $]]-Таблица316[[#This Row],[RASXOD]]</f>
        <v>0</v>
      </c>
      <c r="N87" s="204">
        <f>Таблица316[[#This Row],[SOTILGAN NARXI]]-Таблица316[[#This Row],[TAN NARXI]]</f>
        <v>0</v>
      </c>
      <c r="O87" s="6"/>
    </row>
    <row r="88" spans="1:15" x14ac:dyDescent="0.3">
      <c r="A88" s="23"/>
      <c r="B88" s="23"/>
      <c r="C88" s="6"/>
      <c r="F88" s="3"/>
      <c r="G88" s="1"/>
      <c r="H88" s="223"/>
      <c r="I88" s="224"/>
      <c r="J88" s="73"/>
      <c r="K88" s="5"/>
      <c r="L88" s="204">
        <f>Таблица316[[#This Row],[OLINGAN NARXI $]]-Таблица316[[#This Row],[RASXOD]]</f>
        <v>0</v>
      </c>
      <c r="N88" s="204">
        <f>Таблица316[[#This Row],[SOTILGAN NARXI]]-Таблица316[[#This Row],[TAN NARXI]]</f>
        <v>0</v>
      </c>
      <c r="O88" s="6"/>
    </row>
    <row r="89" spans="1:15" x14ac:dyDescent="0.3">
      <c r="A89" s="23"/>
      <c r="B89" s="23"/>
      <c r="C89" s="6"/>
      <c r="F89" s="3"/>
      <c r="G89" s="1"/>
      <c r="H89" s="223"/>
      <c r="I89" s="224"/>
      <c r="J89" s="73"/>
      <c r="K89" s="5"/>
      <c r="L89" s="204">
        <f>Таблица316[[#This Row],[OLINGAN NARXI $]]-Таблица316[[#This Row],[RASXOD]]</f>
        <v>0</v>
      </c>
      <c r="N89" s="204">
        <f>Таблица316[[#This Row],[SOTILGAN NARXI]]-Таблица316[[#This Row],[TAN NARXI]]</f>
        <v>0</v>
      </c>
      <c r="O89" s="6"/>
    </row>
    <row r="90" spans="1:15" x14ac:dyDescent="0.3">
      <c r="A90" s="23"/>
      <c r="B90" s="23"/>
      <c r="C90" s="6"/>
      <c r="F90" s="3"/>
      <c r="G90" s="1"/>
      <c r="H90" s="223"/>
      <c r="I90" s="224"/>
      <c r="J90" s="73"/>
      <c r="K90" s="5"/>
      <c r="L90" s="204">
        <f>Таблица316[[#This Row],[OLINGAN NARXI $]]-Таблица316[[#This Row],[RASXOD]]</f>
        <v>0</v>
      </c>
      <c r="N90" s="204">
        <f>Таблица316[[#This Row],[SOTILGAN NARXI]]-Таблица316[[#This Row],[TAN NARXI]]</f>
        <v>0</v>
      </c>
      <c r="O90" s="6"/>
    </row>
    <row r="91" spans="1:15" x14ac:dyDescent="0.3">
      <c r="A91" s="23"/>
      <c r="B91" s="23"/>
      <c r="C91" s="6"/>
      <c r="F91" s="3"/>
      <c r="G91" s="1"/>
      <c r="H91" s="223"/>
      <c r="I91" s="224"/>
      <c r="J91" s="73"/>
      <c r="K91" s="5"/>
      <c r="L91" s="204">
        <f>Таблица316[[#This Row],[OLINGAN NARXI $]]-Таблица316[[#This Row],[RASXOD]]</f>
        <v>0</v>
      </c>
      <c r="N91" s="204">
        <f>Таблица316[[#This Row],[SOTILGAN NARXI]]-Таблица316[[#This Row],[TAN NARXI]]</f>
        <v>0</v>
      </c>
      <c r="O91" s="6"/>
    </row>
    <row r="92" spans="1:15" x14ac:dyDescent="0.3">
      <c r="A92" s="23"/>
      <c r="B92" s="23"/>
      <c r="C92" s="6"/>
      <c r="F92" s="3"/>
      <c r="G92" s="1"/>
      <c r="H92" s="223"/>
      <c r="I92" s="224"/>
      <c r="J92" s="73"/>
      <c r="K92" s="5"/>
      <c r="L92" s="204">
        <f>Таблица316[[#This Row],[OLINGAN NARXI $]]-Таблица316[[#This Row],[RASXOD]]</f>
        <v>0</v>
      </c>
      <c r="N92" s="204">
        <f>Таблица316[[#This Row],[SOTILGAN NARXI]]-Таблица316[[#This Row],[TAN NARXI]]</f>
        <v>0</v>
      </c>
      <c r="O92" s="6"/>
    </row>
    <row r="93" spans="1:15" x14ac:dyDescent="0.3">
      <c r="A93" s="23"/>
      <c r="B93" s="23"/>
      <c r="C93" s="6"/>
      <c r="F93" s="3"/>
      <c r="G93" s="1"/>
      <c r="H93" s="223"/>
      <c r="I93" s="224"/>
      <c r="J93" s="73"/>
      <c r="K93" s="5"/>
      <c r="L93" s="204">
        <f>Таблица316[[#This Row],[OLINGAN NARXI $]]-Таблица316[[#This Row],[RASXOD]]</f>
        <v>0</v>
      </c>
      <c r="N93" s="204">
        <f>Таблица316[[#This Row],[SOTILGAN NARXI]]-Таблица316[[#This Row],[TAN NARXI]]</f>
        <v>0</v>
      </c>
      <c r="O93" s="6"/>
    </row>
    <row r="94" spans="1:15" x14ac:dyDescent="0.3">
      <c r="A94" s="23"/>
      <c r="B94" s="23"/>
      <c r="C94" s="6"/>
      <c r="F94" s="3"/>
      <c r="G94" s="1"/>
      <c r="H94" s="223"/>
      <c r="I94" s="224"/>
      <c r="J94" s="73"/>
      <c r="K94" s="5"/>
      <c r="L94" s="204">
        <f>Таблица316[[#This Row],[OLINGAN NARXI $]]-Таблица316[[#This Row],[RASXOD]]</f>
        <v>0</v>
      </c>
      <c r="N94" s="204">
        <f>Таблица316[[#This Row],[SOTILGAN NARXI]]-Таблица316[[#This Row],[TAN NARXI]]</f>
        <v>0</v>
      </c>
      <c r="O94" s="6"/>
    </row>
    <row r="95" spans="1:15" x14ac:dyDescent="0.3">
      <c r="A95" s="23"/>
      <c r="B95" s="23"/>
      <c r="C95" s="6"/>
      <c r="F95" s="3"/>
      <c r="G95" s="1"/>
      <c r="H95" s="223"/>
      <c r="I95" s="224"/>
      <c r="J95" s="73"/>
      <c r="K95" s="5"/>
      <c r="L95" s="204">
        <f>Таблица316[[#This Row],[OLINGAN NARXI $]]-Таблица316[[#This Row],[RASXOD]]</f>
        <v>0</v>
      </c>
      <c r="N95" s="204">
        <f>Таблица316[[#This Row],[SOTILGAN NARXI]]-Таблица316[[#This Row],[TAN NARXI]]</f>
        <v>0</v>
      </c>
      <c r="O95" s="6"/>
    </row>
    <row r="96" spans="1:15" x14ac:dyDescent="0.3">
      <c r="A96" s="23"/>
      <c r="B96" s="23"/>
      <c r="C96" s="6"/>
      <c r="F96" s="3"/>
      <c r="G96" s="1"/>
      <c r="H96" s="223"/>
      <c r="I96" s="224"/>
      <c r="J96" s="73"/>
      <c r="K96" s="5"/>
      <c r="L96" s="204">
        <f>Таблица316[[#This Row],[OLINGAN NARXI $]]-Таблица316[[#This Row],[RASXOD]]</f>
        <v>0</v>
      </c>
      <c r="N96" s="204">
        <f>Таблица316[[#This Row],[SOTILGAN NARXI]]-Таблица316[[#This Row],[TAN NARXI]]</f>
        <v>0</v>
      </c>
      <c r="O96" s="6"/>
    </row>
    <row r="97" spans="1:15" ht="15.6" x14ac:dyDescent="0.3">
      <c r="A97" s="23"/>
      <c r="B97" s="23"/>
      <c r="C97" s="6"/>
      <c r="F97" s="3"/>
      <c r="G97" s="1"/>
      <c r="H97" s="223" t="s">
        <v>981</v>
      </c>
      <c r="I97" s="75">
        <f>SUM(I75:I96)</f>
        <v>0</v>
      </c>
      <c r="J97" s="73"/>
      <c r="K97" s="5"/>
      <c r="L97" s="204"/>
      <c r="N97" s="204">
        <f>Таблица316[[#This Row],[SOTILGAN NARXI]]-Таблица316[[#This Row],[TAN NARXI]]</f>
        <v>0</v>
      </c>
      <c r="O97" s="6"/>
    </row>
    <row r="98" spans="1:15" ht="15.6" x14ac:dyDescent="0.3">
      <c r="A98" s="60"/>
      <c r="B98" s="60"/>
      <c r="C98" s="61"/>
      <c r="D98" s="62"/>
      <c r="E98" s="62"/>
      <c r="F98" s="63"/>
      <c r="G98" s="62"/>
      <c r="H98" s="64"/>
      <c r="I98" s="65"/>
      <c r="J98" s="65"/>
      <c r="K98" s="64"/>
      <c r="L98" s="66">
        <f>SUBTOTAL(109,L3:L97)</f>
        <v>15588</v>
      </c>
      <c r="M98" s="65"/>
      <c r="N98" s="66">
        <f>Таблица316[[#This Row],[SOTILGAN NARXI]]-Таблица316[[#This Row],[TAN NARXI]]</f>
        <v>-15588</v>
      </c>
      <c r="O98" s="12"/>
    </row>
    <row r="99" spans="1:15" x14ac:dyDescent="0.3">
      <c r="A99" s="23"/>
      <c r="B99" s="23"/>
      <c r="C99" s="6"/>
      <c r="F99" s="3"/>
      <c r="G99" s="1"/>
      <c r="H99" s="5"/>
      <c r="K99" s="5"/>
      <c r="L99" s="5"/>
      <c r="N99" s="58">
        <f>Таблица316[[#This Row],[SOTILGAN NARXI]]-Таблица316[[#This Row],[TAN NARXI]]</f>
        <v>0</v>
      </c>
      <c r="O99" s="6"/>
    </row>
    <row r="100" spans="1:15" s="215" customFormat="1" ht="21" x14ac:dyDescent="0.4">
      <c r="A100" s="210"/>
      <c r="B100" s="210"/>
      <c r="C100" s="211"/>
      <c r="D100" s="212"/>
      <c r="E100" s="332" t="s">
        <v>1737</v>
      </c>
      <c r="F100" s="330">
        <v>4000</v>
      </c>
      <c r="G100" s="331">
        <v>700</v>
      </c>
      <c r="H100" s="213"/>
      <c r="I100" s="341" t="s">
        <v>1692</v>
      </c>
      <c r="J100" s="342">
        <v>19000</v>
      </c>
      <c r="K100" s="340">
        <f>Таблица316[[#This Row],[RASXOD]]-L98-J101+J112</f>
        <v>572</v>
      </c>
      <c r="L100" s="315" t="s">
        <v>1693</v>
      </c>
      <c r="M100" s="214"/>
      <c r="N100" s="227" t="e">
        <f>Таблица316[[#This Row],[SOTILGAN NARXI]]-Таблица316[[#This Row],[TAN NARXI]]</f>
        <v>#VALUE!</v>
      </c>
      <c r="O100" s="211"/>
    </row>
    <row r="101" spans="1:15" s="215" customFormat="1" ht="21" x14ac:dyDescent="0.4">
      <c r="A101" s="210"/>
      <c r="B101" s="210"/>
      <c r="C101" s="316"/>
      <c r="D101" s="212"/>
      <c r="E101" s="334" t="s">
        <v>1738</v>
      </c>
      <c r="F101" s="333">
        <v>4530</v>
      </c>
      <c r="G101" s="333">
        <f>F100+G100-Таблица316[[#This Row],[IMEI]]</f>
        <v>170</v>
      </c>
      <c r="H101" s="213"/>
      <c r="I101" s="335" t="s">
        <v>1694</v>
      </c>
      <c r="J101" s="336">
        <v>3000</v>
      </c>
      <c r="K101" s="337"/>
      <c r="L101" s="318"/>
      <c r="M101" s="214"/>
      <c r="N101" s="317">
        <f>Таблица316[[#This Row],[SOTILGAN NARXI]]-Таблица316[[#This Row],[TAN NARXI]]</f>
        <v>0</v>
      </c>
      <c r="O101" s="211"/>
    </row>
    <row r="102" spans="1:15" ht="21" x14ac:dyDescent="0.4">
      <c r="A102" s="23"/>
      <c r="B102" s="23"/>
      <c r="C102" s="6"/>
      <c r="F102" s="3"/>
      <c r="G102" s="52" t="s">
        <v>1739</v>
      </c>
      <c r="H102" s="5"/>
      <c r="I102" s="336"/>
      <c r="J102" s="336"/>
      <c r="K102" s="339"/>
      <c r="L102" s="28"/>
      <c r="N102" s="58">
        <f>Таблица316[[#This Row],[SOTILGAN NARXI]]-Таблица316[[#This Row],[TAN NARXI]]</f>
        <v>0</v>
      </c>
      <c r="O102" s="6"/>
    </row>
    <row r="103" spans="1:15" ht="21" x14ac:dyDescent="0.4">
      <c r="A103" s="23"/>
      <c r="B103" s="23"/>
      <c r="C103" s="6"/>
      <c r="F103" s="3"/>
      <c r="G103" s="1"/>
      <c r="H103" s="5"/>
      <c r="I103" s="336"/>
      <c r="J103" s="336"/>
      <c r="K103" s="339"/>
      <c r="L103" s="58"/>
      <c r="O103" s="6"/>
    </row>
    <row r="104" spans="1:15" ht="21" x14ac:dyDescent="0.4">
      <c r="A104" s="23"/>
      <c r="E104" s="3"/>
      <c r="G104" s="5"/>
      <c r="I104" s="336"/>
      <c r="J104" s="338"/>
      <c r="K104" s="339"/>
      <c r="L104" s="1"/>
      <c r="N104" s="6"/>
    </row>
    <row r="105" spans="1:15" ht="21" x14ac:dyDescent="0.4">
      <c r="A105" s="23"/>
      <c r="E105" s="3"/>
      <c r="G105" s="5"/>
      <c r="I105" s="336"/>
      <c r="J105" s="338"/>
      <c r="K105" s="339"/>
      <c r="L105" s="1"/>
      <c r="N105" s="6"/>
    </row>
    <row r="106" spans="1:15" ht="21" x14ac:dyDescent="0.4">
      <c r="A106" s="23"/>
      <c r="E106" s="3"/>
      <c r="G106" s="5"/>
      <c r="I106" s="336"/>
      <c r="J106" s="338"/>
      <c r="K106" s="339"/>
      <c r="L106" s="1"/>
      <c r="N106" s="6"/>
    </row>
    <row r="107" spans="1:15" ht="21" x14ac:dyDescent="0.4">
      <c r="A107" s="23"/>
      <c r="E107" s="3"/>
      <c r="G107" s="5"/>
      <c r="I107" s="336"/>
      <c r="J107" s="338"/>
      <c r="K107" s="339"/>
      <c r="N107" s="6"/>
    </row>
    <row r="108" spans="1:15" ht="21" x14ac:dyDescent="0.4">
      <c r="A108" s="23"/>
      <c r="E108" s="3"/>
      <c r="G108" s="5"/>
      <c r="I108" s="336"/>
      <c r="J108" s="338"/>
      <c r="K108" s="339"/>
      <c r="N108" s="6"/>
    </row>
    <row r="109" spans="1:15" ht="21" x14ac:dyDescent="0.4">
      <c r="A109" s="23"/>
      <c r="E109" s="3"/>
      <c r="G109" s="5"/>
      <c r="I109" s="336"/>
      <c r="J109" s="338"/>
      <c r="K109" s="339"/>
      <c r="N109" s="6"/>
    </row>
    <row r="110" spans="1:15" ht="21" x14ac:dyDescent="0.4">
      <c r="A110" s="23"/>
      <c r="E110" s="3"/>
      <c r="G110" s="5"/>
      <c r="I110" s="336"/>
      <c r="J110" s="338"/>
      <c r="K110" s="339"/>
      <c r="N110" s="6"/>
    </row>
    <row r="111" spans="1:15" ht="21" x14ac:dyDescent="0.4">
      <c r="A111" s="23"/>
      <c r="E111" s="3"/>
      <c r="G111" s="5"/>
      <c r="I111" s="336"/>
      <c r="J111" s="338"/>
      <c r="K111" s="339"/>
      <c r="N111" s="6"/>
    </row>
    <row r="112" spans="1:15" ht="21" x14ac:dyDescent="0.4">
      <c r="A112" s="23"/>
      <c r="E112" s="3"/>
      <c r="G112" s="5"/>
      <c r="I112" s="342" t="s">
        <v>1379</v>
      </c>
      <c r="J112" s="342">
        <f>'A3 SENTABR'!N41-'A3 BRO_SENTR'!G39</f>
        <v>160</v>
      </c>
      <c r="K112" s="339"/>
      <c r="N112" s="6"/>
    </row>
    <row r="113" spans="1:14" x14ac:dyDescent="0.3">
      <c r="A113" s="23"/>
      <c r="E113" s="3"/>
      <c r="G113" s="5"/>
      <c r="J113" s="5"/>
      <c r="K113" s="5"/>
      <c r="N113" s="6"/>
    </row>
    <row r="114" spans="1:14" x14ac:dyDescent="0.3">
      <c r="A114" s="23"/>
      <c r="E114" s="3"/>
      <c r="G114" s="5"/>
      <c r="J114" s="5"/>
      <c r="K114" s="5"/>
      <c r="N114" s="6"/>
    </row>
    <row r="115" spans="1:14" x14ac:dyDescent="0.3">
      <c r="A115" s="23"/>
      <c r="E115" s="3"/>
      <c r="G115" s="5"/>
      <c r="J115" s="5"/>
      <c r="K115" s="5"/>
      <c r="N115" s="6"/>
    </row>
    <row r="116" spans="1:14" x14ac:dyDescent="0.3">
      <c r="A116" s="23"/>
      <c r="E116" s="3"/>
      <c r="G116" s="5"/>
      <c r="J116" s="5"/>
      <c r="K116" s="5"/>
      <c r="N116" s="6"/>
    </row>
    <row r="117" spans="1:14" x14ac:dyDescent="0.3">
      <c r="A117" s="23"/>
      <c r="E117" s="3"/>
      <c r="G117" s="5"/>
      <c r="J117" s="5"/>
      <c r="K117" s="5"/>
      <c r="N117" s="6"/>
    </row>
    <row r="118" spans="1:14" x14ac:dyDescent="0.3">
      <c r="A118" s="23"/>
      <c r="E118" s="3"/>
      <c r="G118" s="5"/>
      <c r="J118" s="5"/>
      <c r="K118" s="5"/>
      <c r="N118" s="6"/>
    </row>
    <row r="119" spans="1:14" x14ac:dyDescent="0.3">
      <c r="A119" s="23"/>
      <c r="E119" s="3"/>
      <c r="G119" s="5"/>
      <c r="J119" s="5"/>
      <c r="K119" s="5"/>
      <c r="N119" s="6"/>
    </row>
    <row r="120" spans="1:14" x14ac:dyDescent="0.3">
      <c r="A120" s="23"/>
      <c r="E120" s="3"/>
      <c r="G120" s="5"/>
      <c r="J120" s="5"/>
      <c r="K120" s="5"/>
      <c r="N120" s="6"/>
    </row>
    <row r="121" spans="1:14" x14ac:dyDescent="0.3">
      <c r="A121" s="23"/>
      <c r="E121" s="3"/>
      <c r="G121" s="5"/>
      <c r="J121" s="5"/>
      <c r="K121" s="5"/>
      <c r="N121" s="6"/>
    </row>
    <row r="122" spans="1:14" x14ac:dyDescent="0.3">
      <c r="A122" s="23"/>
      <c r="E122" s="3"/>
      <c r="G122" s="5"/>
      <c r="J122" s="5"/>
      <c r="K122" s="5"/>
      <c r="N122" s="6"/>
    </row>
    <row r="123" spans="1:14" x14ac:dyDescent="0.3">
      <c r="A123" s="23"/>
      <c r="E123" s="3"/>
      <c r="G123" s="5"/>
      <c r="J123" s="5"/>
      <c r="K123" s="5"/>
      <c r="N123" s="6"/>
    </row>
    <row r="124" spans="1:14" x14ac:dyDescent="0.3">
      <c r="A124" s="23"/>
      <c r="E124" s="3"/>
      <c r="G124" s="5"/>
      <c r="J124" s="5"/>
      <c r="K124" s="5"/>
      <c r="N124" s="6"/>
    </row>
    <row r="125" spans="1:14" x14ac:dyDescent="0.3">
      <c r="A125" s="23"/>
      <c r="E125" s="3"/>
      <c r="G125" s="5"/>
      <c r="J125" s="5"/>
      <c r="K125" s="5"/>
      <c r="N125" s="6"/>
    </row>
    <row r="126" spans="1:14" x14ac:dyDescent="0.3">
      <c r="A126" s="23"/>
      <c r="E126" s="3"/>
      <c r="G126" s="5"/>
      <c r="J126" s="5"/>
      <c r="K126" s="5"/>
      <c r="N126" s="6"/>
    </row>
    <row r="127" spans="1:14" x14ac:dyDescent="0.3">
      <c r="A127" s="23"/>
      <c r="E127" s="3"/>
      <c r="G127" s="5"/>
      <c r="J127" s="5"/>
      <c r="K127" s="5"/>
      <c r="N127" s="6"/>
    </row>
    <row r="128" spans="1:14" x14ac:dyDescent="0.3">
      <c r="A128" s="23"/>
      <c r="E128" s="3"/>
      <c r="G128" s="5"/>
      <c r="J128" s="5"/>
      <c r="K128" s="5"/>
      <c r="N128" s="6"/>
    </row>
    <row r="129" spans="1:14" x14ac:dyDescent="0.3">
      <c r="A129" s="23"/>
      <c r="E129" s="3"/>
      <c r="G129" s="5"/>
      <c r="J129" s="5"/>
      <c r="K129" s="5"/>
      <c r="N129" s="6"/>
    </row>
    <row r="130" spans="1:14" x14ac:dyDescent="0.3">
      <c r="A130" s="23"/>
      <c r="E130" s="3"/>
      <c r="G130" s="5"/>
      <c r="J130" s="5"/>
      <c r="K130" s="5"/>
      <c r="N130" s="6"/>
    </row>
    <row r="131" spans="1:14" x14ac:dyDescent="0.3">
      <c r="A131" s="23"/>
      <c r="E131" s="3"/>
      <c r="G131" s="5"/>
      <c r="J131" s="5"/>
      <c r="K131" s="5"/>
      <c r="N131" s="6"/>
    </row>
    <row r="132" spans="1:14" x14ac:dyDescent="0.3">
      <c r="A132" s="23"/>
      <c r="E132" s="3"/>
      <c r="G132" s="5"/>
      <c r="J132" s="5"/>
      <c r="K132" s="5"/>
      <c r="N132" s="6"/>
    </row>
    <row r="133" spans="1:14" x14ac:dyDescent="0.3">
      <c r="A133" s="23"/>
      <c r="E133" s="3"/>
      <c r="G133" s="5"/>
      <c r="J133" s="5"/>
      <c r="K133" s="5"/>
      <c r="N133" s="6"/>
    </row>
    <row r="134" spans="1:14" x14ac:dyDescent="0.3">
      <c r="A134" s="23"/>
      <c r="E134" s="3"/>
      <c r="G134" s="5"/>
      <c r="J134" s="5"/>
      <c r="K134" s="5"/>
      <c r="N134" s="6"/>
    </row>
    <row r="135" spans="1:14" x14ac:dyDescent="0.3">
      <c r="A135" s="23"/>
      <c r="E135" s="3"/>
      <c r="G135" s="5"/>
      <c r="J135" s="5"/>
      <c r="K135" s="5"/>
      <c r="N135" s="6"/>
    </row>
    <row r="136" spans="1:14" x14ac:dyDescent="0.3">
      <c r="A136" s="23"/>
      <c r="E136" s="3"/>
      <c r="G136" s="5"/>
      <c r="J136" s="5"/>
      <c r="K136" s="5"/>
      <c r="N136" s="6"/>
    </row>
    <row r="137" spans="1:14" x14ac:dyDescent="0.3">
      <c r="A137" s="23"/>
      <c r="E137" s="3"/>
      <c r="G137" s="5"/>
      <c r="J137" s="5"/>
      <c r="K137" s="5"/>
      <c r="N137" s="6"/>
    </row>
    <row r="138" spans="1:14" x14ac:dyDescent="0.3">
      <c r="A138" s="23"/>
      <c r="E138" s="3"/>
      <c r="G138" s="5"/>
      <c r="J138" s="5"/>
      <c r="K138" s="5"/>
      <c r="N138" s="6"/>
    </row>
    <row r="139" spans="1:14" x14ac:dyDescent="0.3">
      <c r="A139" s="23"/>
      <c r="E139" s="3"/>
      <c r="G139" s="5"/>
      <c r="J139" s="5"/>
      <c r="K139" s="5"/>
      <c r="N139" s="6"/>
    </row>
    <row r="140" spans="1:14" x14ac:dyDescent="0.3">
      <c r="A140" s="23"/>
      <c r="E140" s="3"/>
      <c r="G140" s="5"/>
      <c r="J140" s="5"/>
      <c r="K140" s="5"/>
      <c r="N140" s="6"/>
    </row>
    <row r="141" spans="1:14" x14ac:dyDescent="0.3">
      <c r="A141" s="23"/>
      <c r="E141" s="3"/>
      <c r="G141" s="5"/>
      <c r="J141" s="5"/>
      <c r="K141" s="5"/>
      <c r="N141" s="6"/>
    </row>
    <row r="142" spans="1:14" x14ac:dyDescent="0.3">
      <c r="A142" s="23"/>
      <c r="E142" s="3"/>
      <c r="G142" s="5"/>
      <c r="J142" s="5"/>
      <c r="K142" s="5"/>
      <c r="N142" s="6"/>
    </row>
    <row r="143" spans="1:14" x14ac:dyDescent="0.3">
      <c r="A143" s="23"/>
      <c r="E143" s="3"/>
      <c r="G143" s="5"/>
      <c r="J143" s="5"/>
      <c r="K143" s="5"/>
      <c r="N143" s="6"/>
    </row>
    <row r="144" spans="1:14" x14ac:dyDescent="0.3">
      <c r="A144" s="23"/>
      <c r="E144" s="3"/>
      <c r="G144" s="5"/>
      <c r="J144" s="5"/>
      <c r="K144" s="5"/>
      <c r="N144" s="6"/>
    </row>
    <row r="145" spans="1:14" x14ac:dyDescent="0.3">
      <c r="A145" s="23"/>
      <c r="E145" s="3"/>
      <c r="G145" s="5"/>
      <c r="J145" s="5"/>
      <c r="K145" s="5"/>
      <c r="N145" s="6"/>
    </row>
    <row r="146" spans="1:14" x14ac:dyDescent="0.3">
      <c r="A146" s="23"/>
      <c r="E146" s="3"/>
      <c r="G146" s="5"/>
      <c r="J146" s="5"/>
      <c r="K146" s="5"/>
      <c r="N146" s="6"/>
    </row>
    <row r="147" spans="1:14" x14ac:dyDescent="0.3">
      <c r="A147" s="23"/>
      <c r="E147" s="3"/>
      <c r="G147" s="5"/>
      <c r="J147" s="5"/>
      <c r="K147" s="5"/>
      <c r="N147" s="6"/>
    </row>
    <row r="148" spans="1:14" x14ac:dyDescent="0.3">
      <c r="A148" s="23"/>
      <c r="E148" s="3"/>
      <c r="G148" s="5"/>
      <c r="J148" s="5"/>
      <c r="K148" s="5"/>
      <c r="N148" s="6"/>
    </row>
    <row r="149" spans="1:14" x14ac:dyDescent="0.3">
      <c r="A149" s="23"/>
      <c r="E149" s="3"/>
      <c r="G149" s="5"/>
      <c r="J149" s="5"/>
      <c r="K149" s="5"/>
      <c r="N149" s="6"/>
    </row>
    <row r="150" spans="1:14" x14ac:dyDescent="0.3">
      <c r="A150" s="23"/>
      <c r="E150" s="3"/>
      <c r="G150" s="5"/>
      <c r="J150" s="5"/>
      <c r="K150" s="5"/>
      <c r="N150" s="6"/>
    </row>
    <row r="151" spans="1:14" x14ac:dyDescent="0.3">
      <c r="A151" s="23"/>
      <c r="E151" s="3"/>
      <c r="G151" s="5"/>
      <c r="J151" s="5"/>
      <c r="K151" s="5"/>
      <c r="N151" s="6"/>
    </row>
    <row r="152" spans="1:14" x14ac:dyDescent="0.3">
      <c r="A152" s="23"/>
      <c r="E152" s="3"/>
      <c r="G152" s="5"/>
      <c r="J152" s="5"/>
      <c r="K152" s="5"/>
      <c r="N152" s="6"/>
    </row>
    <row r="153" spans="1:14" x14ac:dyDescent="0.3">
      <c r="A153" s="23"/>
      <c r="E153" s="3"/>
      <c r="G153" s="5"/>
      <c r="J153" s="5"/>
      <c r="K153" s="5"/>
      <c r="N153" s="6"/>
    </row>
    <row r="154" spans="1:14" x14ac:dyDescent="0.3">
      <c r="A154" s="23"/>
      <c r="E154" s="3"/>
      <c r="G154" s="5"/>
      <c r="J154" s="5"/>
      <c r="K154" s="5"/>
      <c r="N154" s="6"/>
    </row>
    <row r="155" spans="1:14" x14ac:dyDescent="0.3">
      <c r="A155" s="23"/>
      <c r="E155" s="3"/>
      <c r="G155" s="5"/>
      <c r="J155" s="5"/>
      <c r="K155" s="5"/>
      <c r="N155" s="6"/>
    </row>
    <row r="156" spans="1:14" x14ac:dyDescent="0.3">
      <c r="A156" s="23"/>
      <c r="E156" s="3"/>
      <c r="G156" s="5"/>
      <c r="J156" s="5"/>
      <c r="K156" s="5"/>
      <c r="N156" s="6"/>
    </row>
    <row r="157" spans="1:14" x14ac:dyDescent="0.3">
      <c r="A157" s="23"/>
      <c r="E157" s="3"/>
      <c r="G157" s="5"/>
      <c r="J157" s="5"/>
      <c r="K157" s="5"/>
      <c r="N157" s="6"/>
    </row>
    <row r="158" spans="1:14" x14ac:dyDescent="0.3">
      <c r="A158" s="23"/>
      <c r="E158" s="3"/>
      <c r="G158" s="5"/>
      <c r="J158" s="5"/>
      <c r="K158" s="5"/>
      <c r="N158" s="6"/>
    </row>
    <row r="159" spans="1:14" x14ac:dyDescent="0.3">
      <c r="A159" s="23"/>
      <c r="E159" s="3"/>
      <c r="G159" s="5"/>
      <c r="J159" s="5"/>
      <c r="K159" s="5"/>
      <c r="N159" s="6"/>
    </row>
    <row r="160" spans="1:14" x14ac:dyDescent="0.3">
      <c r="A160" s="23"/>
      <c r="E160" s="3"/>
      <c r="G160" s="5"/>
      <c r="J160" s="5"/>
      <c r="K160" s="5"/>
      <c r="N160" s="6"/>
    </row>
    <row r="161" spans="1:14" x14ac:dyDescent="0.3">
      <c r="A161" s="23"/>
      <c r="E161" s="3"/>
      <c r="G161" s="5"/>
      <c r="J161" s="5"/>
      <c r="K161" s="5"/>
      <c r="N161" s="6"/>
    </row>
    <row r="162" spans="1:14" x14ac:dyDescent="0.3">
      <c r="A162" s="23"/>
      <c r="E162" s="3"/>
      <c r="G162" s="5"/>
      <c r="J162" s="5"/>
      <c r="K162" s="5"/>
      <c r="N162" s="6"/>
    </row>
    <row r="163" spans="1:14" x14ac:dyDescent="0.3">
      <c r="A163" s="23"/>
      <c r="E163" s="3"/>
      <c r="G163" s="5"/>
      <c r="J163" s="5"/>
      <c r="K163" s="5"/>
      <c r="N163" s="6"/>
    </row>
    <row r="164" spans="1:14" x14ac:dyDescent="0.3">
      <c r="A164" s="23"/>
      <c r="E164" s="3"/>
      <c r="G164" s="5"/>
      <c r="J164" s="5"/>
      <c r="K164" s="5"/>
      <c r="N164" s="6"/>
    </row>
    <row r="165" spans="1:14" x14ac:dyDescent="0.3">
      <c r="A165" s="23"/>
      <c r="E165" s="3"/>
      <c r="G165" s="5"/>
      <c r="J165" s="5"/>
      <c r="K165" s="5"/>
      <c r="N165" s="6"/>
    </row>
    <row r="166" spans="1:14" x14ac:dyDescent="0.3">
      <c r="A166" s="23"/>
      <c r="E166" s="3"/>
      <c r="G166" s="5"/>
      <c r="J166" s="5"/>
      <c r="K166" s="5"/>
      <c r="N166" s="6"/>
    </row>
    <row r="167" spans="1:14" x14ac:dyDescent="0.3">
      <c r="A167" s="23"/>
      <c r="E167" s="3"/>
      <c r="G167" s="5"/>
      <c r="J167" s="5"/>
      <c r="K167" s="5"/>
      <c r="N167" s="6"/>
    </row>
    <row r="168" spans="1:14" x14ac:dyDescent="0.3">
      <c r="A168" s="23"/>
      <c r="E168" s="3"/>
      <c r="G168" s="5"/>
      <c r="J168" s="5"/>
      <c r="K168" s="5"/>
      <c r="N168" s="6"/>
    </row>
    <row r="169" spans="1:14" x14ac:dyDescent="0.3">
      <c r="A169" s="23"/>
      <c r="E169" s="3"/>
      <c r="G169" s="5"/>
      <c r="J169" s="5"/>
      <c r="K169" s="5"/>
      <c r="N169" s="6"/>
    </row>
    <row r="170" spans="1:14" x14ac:dyDescent="0.3">
      <c r="A170" s="23"/>
      <c r="E170" s="3"/>
      <c r="G170" s="5"/>
      <c r="J170" s="5"/>
      <c r="K170" s="5"/>
      <c r="N170" s="6"/>
    </row>
    <row r="171" spans="1:14" x14ac:dyDescent="0.3">
      <c r="A171" s="23"/>
      <c r="E171" s="3"/>
      <c r="G171" s="5"/>
      <c r="J171" s="5"/>
      <c r="K171" s="5"/>
      <c r="N171" s="6"/>
    </row>
    <row r="172" spans="1:14" x14ac:dyDescent="0.3">
      <c r="A172" s="23"/>
      <c r="E172" s="3"/>
      <c r="G172" s="5"/>
      <c r="J172" s="5"/>
      <c r="K172" s="5"/>
      <c r="N172" s="6"/>
    </row>
    <row r="173" spans="1:14" x14ac:dyDescent="0.3">
      <c r="A173" s="23"/>
      <c r="E173" s="3"/>
      <c r="G173" s="5"/>
      <c r="J173" s="5"/>
      <c r="K173" s="5"/>
      <c r="N173" s="6"/>
    </row>
    <row r="174" spans="1:14" x14ac:dyDescent="0.3">
      <c r="A174" s="23"/>
      <c r="E174" s="3"/>
      <c r="G174" s="5"/>
      <c r="J174" s="5"/>
      <c r="K174" s="5"/>
      <c r="N174" s="6"/>
    </row>
    <row r="175" spans="1:14" x14ac:dyDescent="0.3">
      <c r="A175" s="23"/>
      <c r="E175" s="3"/>
      <c r="G175" s="5"/>
      <c r="J175" s="5"/>
      <c r="K175" s="5"/>
      <c r="N175" s="6"/>
    </row>
    <row r="176" spans="1:14" x14ac:dyDescent="0.3">
      <c r="A176" s="23"/>
      <c r="E176" s="3"/>
      <c r="G176" s="5"/>
      <c r="J176" s="5"/>
      <c r="K176" s="5"/>
      <c r="N176" s="6"/>
    </row>
    <row r="177" spans="1:14" x14ac:dyDescent="0.3">
      <c r="A177" s="23"/>
      <c r="E177" s="3"/>
      <c r="G177" s="5"/>
      <c r="J177" s="5"/>
      <c r="K177" s="5"/>
      <c r="N177" s="6"/>
    </row>
    <row r="178" spans="1:14" x14ac:dyDescent="0.3">
      <c r="A178" s="23"/>
      <c r="E178" s="3"/>
      <c r="G178" s="5"/>
      <c r="J178" s="5"/>
      <c r="K178" s="5"/>
      <c r="N178" s="6"/>
    </row>
    <row r="179" spans="1:14" x14ac:dyDescent="0.3">
      <c r="A179" s="23"/>
      <c r="E179" s="3"/>
      <c r="G179" s="5"/>
      <c r="J179" s="5"/>
      <c r="K179" s="5"/>
      <c r="N179" s="6"/>
    </row>
    <row r="180" spans="1:14" x14ac:dyDescent="0.3">
      <c r="A180" s="23"/>
      <c r="E180" s="3"/>
      <c r="G180" s="5"/>
      <c r="J180" s="5"/>
      <c r="K180" s="5"/>
      <c r="N180" s="6"/>
    </row>
    <row r="181" spans="1:14" x14ac:dyDescent="0.3">
      <c r="A181" s="23"/>
      <c r="E181" s="3"/>
      <c r="G181" s="5"/>
      <c r="J181" s="5"/>
      <c r="K181" s="5"/>
      <c r="N181" s="6"/>
    </row>
    <row r="182" spans="1:14" x14ac:dyDescent="0.3">
      <c r="A182" s="23"/>
      <c r="E182" s="3"/>
      <c r="G182" s="5"/>
      <c r="J182" s="5"/>
      <c r="K182" s="5"/>
      <c r="N182" s="6"/>
    </row>
    <row r="183" spans="1:14" x14ac:dyDescent="0.3">
      <c r="A183" s="23"/>
      <c r="E183" s="3"/>
      <c r="G183" s="5"/>
      <c r="J183" s="5"/>
      <c r="K183" s="5"/>
      <c r="N183" s="6"/>
    </row>
    <row r="184" spans="1:14" x14ac:dyDescent="0.3">
      <c r="A184" s="23"/>
      <c r="E184" s="3"/>
      <c r="G184" s="5"/>
      <c r="J184" s="5"/>
      <c r="K184" s="5"/>
      <c r="N184" s="6"/>
    </row>
    <row r="185" spans="1:14" x14ac:dyDescent="0.3">
      <c r="A185" s="23"/>
      <c r="E185" s="3"/>
      <c r="G185" s="5"/>
      <c r="J185" s="5"/>
      <c r="K185" s="5"/>
      <c r="N185" s="6"/>
    </row>
    <row r="186" spans="1:14" x14ac:dyDescent="0.3">
      <c r="A186" s="23"/>
      <c r="E186" s="3"/>
      <c r="G186" s="5"/>
      <c r="J186" s="5"/>
      <c r="K186" s="5"/>
      <c r="N186" s="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DBFE0-B076-4542-912F-DAFE26D59A70}">
  <dimension ref="A1:O44"/>
  <sheetViews>
    <sheetView zoomScale="80" zoomScaleNormal="80" workbookViewId="0">
      <selection activeCell="F10" sqref="F10"/>
    </sheetView>
  </sheetViews>
  <sheetFormatPr defaultRowHeight="14.4" x14ac:dyDescent="0.3"/>
  <cols>
    <col min="1" max="1" width="4.44140625" style="114" customWidth="1"/>
    <col min="2" max="2" width="11.5546875" bestFit="1" customWidth="1"/>
    <col min="3" max="3" width="15.6640625" customWidth="1"/>
    <col min="4" max="4" width="18.88671875" bestFit="1" customWidth="1"/>
    <col min="5" max="5" width="14.109375" bestFit="1" customWidth="1"/>
    <col min="6" max="6" width="28.88671875" customWidth="1"/>
    <col min="7" max="7" width="21.5546875" customWidth="1"/>
    <col min="8" max="8" width="15.88671875" customWidth="1"/>
    <col min="9" max="9" width="14" customWidth="1"/>
    <col min="10" max="10" width="11.88671875" customWidth="1"/>
    <col min="11" max="11" width="16.88671875" customWidth="1"/>
    <col min="12" max="12" width="13.88671875" customWidth="1"/>
    <col min="13" max="13" width="15.88671875" customWidth="1"/>
    <col min="14" max="14" width="13.88671875" bestFit="1" customWidth="1"/>
    <col min="15" max="15" width="40.21875" customWidth="1"/>
  </cols>
  <sheetData>
    <row r="1" spans="1:15" ht="13.5" customHeight="1" x14ac:dyDescent="0.3">
      <c r="A1" s="127"/>
      <c r="B1" s="1" t="s">
        <v>0</v>
      </c>
      <c r="C1" s="6" t="s">
        <v>2</v>
      </c>
      <c r="D1" s="1" t="s">
        <v>1</v>
      </c>
      <c r="E1" s="1" t="s">
        <v>3</v>
      </c>
      <c r="F1" s="3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2" t="s">
        <v>10</v>
      </c>
      <c r="L1" s="2" t="s">
        <v>980</v>
      </c>
      <c r="M1" s="1" t="s">
        <v>9</v>
      </c>
      <c r="N1" s="1" t="s">
        <v>11</v>
      </c>
      <c r="O1" s="1" t="s">
        <v>12</v>
      </c>
    </row>
    <row r="2" spans="1:15" s="296" customFormat="1" x14ac:dyDescent="0.3">
      <c r="A2" s="197">
        <v>1</v>
      </c>
      <c r="B2" s="289" t="s">
        <v>16</v>
      </c>
      <c r="C2" s="290" t="s">
        <v>34</v>
      </c>
      <c r="D2" s="291" t="s">
        <v>1695</v>
      </c>
      <c r="E2" s="291" t="s">
        <v>22</v>
      </c>
      <c r="F2" s="292">
        <v>359236735559020</v>
      </c>
      <c r="G2" s="291"/>
      <c r="H2" s="293">
        <v>45899</v>
      </c>
      <c r="I2" s="294">
        <v>720</v>
      </c>
      <c r="J2" s="294"/>
      <c r="K2" s="293">
        <v>45901</v>
      </c>
      <c r="L2" s="295">
        <f>Таблица316[[#This Row],[OLINGAN NARXI $]]+Таблица316[[#This Row],[RASXOD]]</f>
        <v>0</v>
      </c>
      <c r="M2" s="294">
        <v>820</v>
      </c>
      <c r="N2" s="295">
        <v>100</v>
      </c>
      <c r="O2" s="290" t="s">
        <v>1735</v>
      </c>
    </row>
    <row r="3" spans="1:15" s="296" customFormat="1" x14ac:dyDescent="0.3">
      <c r="A3" s="289">
        <v>1</v>
      </c>
      <c r="B3" s="289" t="s">
        <v>16</v>
      </c>
      <c r="C3" s="290" t="s">
        <v>1000</v>
      </c>
      <c r="D3" s="291" t="s">
        <v>583</v>
      </c>
      <c r="E3" s="291" t="s">
        <v>22</v>
      </c>
      <c r="F3" s="292">
        <v>354039229912662</v>
      </c>
      <c r="G3" s="291"/>
      <c r="H3" s="293">
        <v>45897</v>
      </c>
      <c r="I3" s="294">
        <v>1310</v>
      </c>
      <c r="J3" s="294"/>
      <c r="K3" s="293">
        <v>45903</v>
      </c>
      <c r="L3" s="295">
        <f>Таблица316[[#This Row],[OLINGAN NARXI $]]+Таблица316[[#This Row],[RASXOD]]</f>
        <v>680</v>
      </c>
      <c r="M3" s="294">
        <v>1370</v>
      </c>
      <c r="N3" s="295">
        <v>60</v>
      </c>
      <c r="O3" s="290" t="s">
        <v>1690</v>
      </c>
    </row>
    <row r="4" spans="1:15" s="205" customFormat="1" x14ac:dyDescent="0.3">
      <c r="A4" s="197">
        <v>3</v>
      </c>
      <c r="B4" s="198"/>
      <c r="C4" s="199"/>
      <c r="D4" s="200"/>
      <c r="E4" s="200"/>
      <c r="F4" s="201"/>
      <c r="G4" s="200"/>
      <c r="H4" s="202"/>
      <c r="I4" s="203"/>
      <c r="J4" s="203"/>
      <c r="K4" s="202"/>
      <c r="L4" s="204"/>
      <c r="M4" s="203"/>
      <c r="N4" s="203"/>
      <c r="O4" s="199"/>
    </row>
    <row r="5" spans="1:15" s="205" customFormat="1" x14ac:dyDescent="0.3">
      <c r="A5" s="197">
        <v>4</v>
      </c>
      <c r="B5" s="198"/>
      <c r="C5" s="199"/>
      <c r="D5" s="200"/>
      <c r="E5" s="200"/>
      <c r="F5" s="201"/>
      <c r="G5" s="200"/>
      <c r="H5" s="202"/>
      <c r="I5" s="203"/>
      <c r="J5" s="203"/>
      <c r="K5" s="202"/>
      <c r="L5" s="204"/>
      <c r="M5" s="203"/>
      <c r="N5" s="203"/>
      <c r="O5" s="199"/>
    </row>
    <row r="6" spans="1:15" s="205" customFormat="1" x14ac:dyDescent="0.3">
      <c r="A6" s="197">
        <v>5</v>
      </c>
      <c r="B6" s="198"/>
      <c r="C6" s="199"/>
      <c r="D6" s="200"/>
      <c r="E6" s="200"/>
      <c r="F6" s="201"/>
      <c r="G6" s="200"/>
      <c r="H6" s="202"/>
      <c r="I6" s="203"/>
      <c r="J6" s="203"/>
      <c r="K6" s="202"/>
      <c r="L6" s="204"/>
      <c r="M6" s="203"/>
      <c r="N6" s="203"/>
      <c r="O6" s="199"/>
    </row>
    <row r="7" spans="1:15" s="205" customFormat="1" x14ac:dyDescent="0.3">
      <c r="A7" s="197">
        <v>6</v>
      </c>
      <c r="B7" s="198"/>
      <c r="C7" s="199"/>
      <c r="D7" s="200"/>
      <c r="E7" s="200"/>
      <c r="F7" s="201"/>
      <c r="G7" s="200"/>
      <c r="H7" s="202"/>
      <c r="I7" s="203"/>
      <c r="J7" s="203"/>
      <c r="K7" s="202"/>
      <c r="L7" s="204"/>
      <c r="M7" s="203"/>
      <c r="N7" s="203"/>
      <c r="O7" s="199"/>
    </row>
    <row r="8" spans="1:15" s="205" customFormat="1" x14ac:dyDescent="0.3">
      <c r="A8" s="197">
        <v>7</v>
      </c>
      <c r="B8" s="198"/>
      <c r="C8" s="199"/>
      <c r="D8" s="200"/>
      <c r="E8" s="200"/>
      <c r="F8" s="201"/>
      <c r="G8" s="200"/>
      <c r="H8" s="202"/>
      <c r="I8" s="203"/>
      <c r="J8" s="203"/>
      <c r="K8" s="202"/>
      <c r="L8" s="204"/>
      <c r="M8" s="203"/>
      <c r="N8" s="203"/>
      <c r="O8" s="199"/>
    </row>
    <row r="9" spans="1:15" s="205" customFormat="1" x14ac:dyDescent="0.3">
      <c r="A9" s="197">
        <v>8</v>
      </c>
      <c r="B9" s="198"/>
      <c r="C9" s="199"/>
      <c r="D9" s="200"/>
      <c r="E9" s="200"/>
      <c r="F9" s="201"/>
      <c r="G9" s="200"/>
      <c r="H9" s="202"/>
      <c r="I9" s="203"/>
      <c r="J9" s="203"/>
      <c r="K9" s="202"/>
      <c r="L9" s="204"/>
      <c r="M9" s="203"/>
      <c r="N9" s="203"/>
      <c r="O9" s="199"/>
    </row>
    <row r="10" spans="1:15" s="205" customFormat="1" x14ac:dyDescent="0.3">
      <c r="A10" s="197">
        <v>9</v>
      </c>
      <c r="B10" s="198"/>
      <c r="C10" s="199"/>
      <c r="D10" s="200"/>
      <c r="E10" s="200"/>
      <c r="F10" s="201"/>
      <c r="G10" s="200"/>
      <c r="H10" s="202"/>
      <c r="I10" s="203"/>
      <c r="J10" s="203"/>
      <c r="K10" s="202"/>
      <c r="L10" s="204"/>
      <c r="M10" s="203"/>
      <c r="N10" s="203"/>
      <c r="O10" s="199"/>
    </row>
    <row r="11" spans="1:15" s="205" customFormat="1" x14ac:dyDescent="0.3">
      <c r="A11" s="197">
        <v>10</v>
      </c>
      <c r="B11" s="198"/>
      <c r="C11" s="199"/>
      <c r="D11" s="200"/>
      <c r="E11" s="200"/>
      <c r="F11" s="201"/>
      <c r="G11" s="200"/>
      <c r="H11" s="202"/>
      <c r="I11" s="203"/>
      <c r="J11" s="203"/>
      <c r="K11" s="202"/>
      <c r="L11" s="204"/>
      <c r="M11" s="203"/>
      <c r="N11" s="203"/>
      <c r="O11" s="199"/>
    </row>
    <row r="12" spans="1:15" s="205" customFormat="1" x14ac:dyDescent="0.3">
      <c r="A12" s="197">
        <v>11</v>
      </c>
      <c r="B12" s="198"/>
      <c r="C12" s="199"/>
      <c r="D12" s="200"/>
      <c r="E12" s="200"/>
      <c r="F12" s="201"/>
      <c r="G12" s="200"/>
      <c r="H12" s="202"/>
      <c r="I12" s="203"/>
      <c r="J12" s="203"/>
      <c r="K12" s="202"/>
      <c r="L12" s="204"/>
      <c r="M12" s="203"/>
      <c r="N12" s="203"/>
      <c r="O12" s="199"/>
    </row>
    <row r="13" spans="1:15" s="205" customFormat="1" x14ac:dyDescent="0.3">
      <c r="A13" s="197">
        <v>12</v>
      </c>
      <c r="B13" s="198"/>
      <c r="C13" s="199"/>
      <c r="D13" s="200"/>
      <c r="E13" s="200"/>
      <c r="F13" s="201"/>
      <c r="G13" s="200"/>
      <c r="H13" s="202"/>
      <c r="I13" s="203"/>
      <c r="J13" s="203"/>
      <c r="K13" s="202"/>
      <c r="L13" s="204"/>
      <c r="M13" s="203"/>
      <c r="N13" s="203"/>
      <c r="O13" s="199"/>
    </row>
    <row r="14" spans="1:15" s="205" customFormat="1" x14ac:dyDescent="0.3">
      <c r="A14" s="197">
        <v>13</v>
      </c>
      <c r="B14" s="198"/>
      <c r="C14" s="199"/>
      <c r="D14" s="200"/>
      <c r="E14" s="200"/>
      <c r="F14" s="201"/>
      <c r="G14" s="200"/>
      <c r="H14" s="202"/>
      <c r="I14" s="203"/>
      <c r="J14" s="203"/>
      <c r="K14" s="202"/>
      <c r="L14" s="204"/>
      <c r="M14" s="203"/>
      <c r="N14" s="203"/>
      <c r="O14" s="199"/>
    </row>
    <row r="15" spans="1:15" s="205" customFormat="1" x14ac:dyDescent="0.3">
      <c r="A15" s="197">
        <v>14</v>
      </c>
      <c r="B15" s="198"/>
      <c r="C15" s="199"/>
      <c r="D15" s="200"/>
      <c r="E15" s="200"/>
      <c r="F15" s="201"/>
      <c r="G15" s="200"/>
      <c r="H15" s="202"/>
      <c r="I15" s="203"/>
      <c r="J15" s="203"/>
      <c r="K15" s="202"/>
      <c r="L15" s="204"/>
      <c r="M15" s="203"/>
      <c r="N15" s="203"/>
      <c r="O15" s="199"/>
    </row>
    <row r="16" spans="1:15" s="205" customFormat="1" x14ac:dyDescent="0.3">
      <c r="A16" s="197">
        <v>15</v>
      </c>
      <c r="B16" s="198"/>
      <c r="C16" s="199"/>
      <c r="D16" s="200"/>
      <c r="E16" s="200"/>
      <c r="F16" s="201"/>
      <c r="G16" s="200"/>
      <c r="H16" s="202"/>
      <c r="I16" s="203"/>
      <c r="J16" s="203"/>
      <c r="K16" s="202"/>
      <c r="L16" s="204"/>
      <c r="M16" s="203"/>
      <c r="N16" s="203"/>
      <c r="O16" s="199"/>
    </row>
    <row r="17" spans="1:15" s="205" customFormat="1" x14ac:dyDescent="0.3">
      <c r="A17" s="197">
        <v>16</v>
      </c>
      <c r="B17" s="198"/>
      <c r="C17" s="199"/>
      <c r="D17" s="200"/>
      <c r="E17" s="200"/>
      <c r="F17" s="201"/>
      <c r="G17" s="200"/>
      <c r="H17" s="202"/>
      <c r="I17" s="203"/>
      <c r="J17" s="203"/>
      <c r="K17" s="202"/>
      <c r="L17" s="204"/>
      <c r="M17" s="203"/>
      <c r="N17" s="203"/>
      <c r="O17" s="199"/>
    </row>
    <row r="18" spans="1:15" s="205" customFormat="1" x14ac:dyDescent="0.3">
      <c r="A18" s="197">
        <v>17</v>
      </c>
      <c r="B18" s="198"/>
      <c r="C18" s="199"/>
      <c r="D18" s="200"/>
      <c r="E18" s="200"/>
      <c r="F18" s="201"/>
      <c r="G18" s="200"/>
      <c r="H18" s="202"/>
      <c r="I18" s="203"/>
      <c r="J18" s="203"/>
      <c r="K18" s="202"/>
      <c r="L18" s="204"/>
      <c r="M18" s="203"/>
      <c r="N18" s="203"/>
      <c r="O18" s="199"/>
    </row>
    <row r="19" spans="1:15" s="205" customFormat="1" x14ac:dyDescent="0.3">
      <c r="A19" s="197">
        <v>18</v>
      </c>
      <c r="B19" s="198"/>
      <c r="C19" s="199"/>
      <c r="D19" s="200"/>
      <c r="E19" s="200"/>
      <c r="F19" s="201"/>
      <c r="G19" s="200"/>
      <c r="H19" s="202"/>
      <c r="I19" s="203"/>
      <c r="J19" s="203"/>
      <c r="K19" s="202"/>
      <c r="L19" s="204"/>
      <c r="M19" s="203"/>
      <c r="N19" s="203"/>
      <c r="O19" s="199"/>
    </row>
    <row r="20" spans="1:15" x14ac:dyDescent="0.3">
      <c r="A20" s="112"/>
      <c r="B20" s="23"/>
      <c r="C20" s="91" t="s">
        <v>1130</v>
      </c>
      <c r="D20" s="24" t="s">
        <v>1131</v>
      </c>
      <c r="E20" s="1"/>
      <c r="F20" s="270" t="s">
        <v>237</v>
      </c>
      <c r="G20" s="271" t="s">
        <v>238</v>
      </c>
      <c r="H20" s="43"/>
      <c r="I20" s="1"/>
      <c r="J20" s="4"/>
      <c r="K20" s="28"/>
      <c r="L20" s="58"/>
      <c r="M20" s="1"/>
      <c r="N20" s="4"/>
      <c r="O20" s="6"/>
    </row>
    <row r="21" spans="1:15" x14ac:dyDescent="0.3">
      <c r="A21" s="112"/>
      <c r="B21" s="23"/>
      <c r="C21" s="89" t="s">
        <v>226</v>
      </c>
      <c r="D21" s="90">
        <v>1</v>
      </c>
      <c r="E21" s="1"/>
      <c r="F21" s="272"/>
      <c r="G21" s="273"/>
      <c r="H21" s="2"/>
      <c r="I21" s="1"/>
      <c r="J21" s="4"/>
      <c r="K21" s="28"/>
      <c r="L21" s="58"/>
      <c r="M21" s="1"/>
      <c r="N21" s="4"/>
      <c r="O21" s="6"/>
    </row>
    <row r="22" spans="1:15" x14ac:dyDescent="0.3">
      <c r="A22" s="113"/>
      <c r="B22" s="23"/>
      <c r="C22" s="86" t="s">
        <v>1132</v>
      </c>
      <c r="D22" s="87"/>
      <c r="E22" s="1"/>
      <c r="F22" s="272"/>
      <c r="G22" s="273"/>
      <c r="H22" s="2"/>
      <c r="I22" s="1"/>
      <c r="J22" s="4"/>
      <c r="K22" s="5"/>
      <c r="L22" s="58"/>
      <c r="M22" s="1"/>
      <c r="N22" s="4"/>
      <c r="O22" s="6"/>
    </row>
    <row r="23" spans="1:15" x14ac:dyDescent="0.3">
      <c r="A23" s="113"/>
      <c r="B23" s="23"/>
      <c r="C23" s="88" t="s">
        <v>1133</v>
      </c>
      <c r="D23" s="15"/>
      <c r="E23" s="1"/>
      <c r="F23" s="274"/>
      <c r="G23" s="275"/>
      <c r="H23" s="2"/>
      <c r="I23" s="1"/>
      <c r="J23" s="4"/>
      <c r="K23" s="5"/>
      <c r="L23" s="58"/>
      <c r="M23" s="1"/>
      <c r="N23" s="4"/>
      <c r="O23" s="6"/>
    </row>
    <row r="24" spans="1:15" x14ac:dyDescent="0.3">
      <c r="A24" s="113"/>
      <c r="B24" s="23"/>
      <c r="C24" s="137" t="s">
        <v>1378</v>
      </c>
      <c r="D24" s="138"/>
      <c r="E24" s="1"/>
      <c r="F24" s="276"/>
      <c r="G24" s="273"/>
      <c r="H24" s="2"/>
      <c r="I24" s="1"/>
      <c r="J24" s="4"/>
      <c r="K24" s="5"/>
      <c r="L24" s="58"/>
      <c r="M24" s="1"/>
      <c r="N24" s="4"/>
      <c r="O24" s="6"/>
    </row>
    <row r="25" spans="1:15" x14ac:dyDescent="0.3">
      <c r="A25" s="113"/>
      <c r="B25" s="23"/>
      <c r="C25" s="17" t="s">
        <v>1450</v>
      </c>
      <c r="D25" s="18"/>
      <c r="E25" s="1"/>
      <c r="F25" s="274"/>
      <c r="G25" s="275"/>
      <c r="H25" s="2"/>
      <c r="I25" s="1"/>
      <c r="J25" s="4"/>
      <c r="K25" s="5"/>
      <c r="L25" s="58"/>
      <c r="M25" s="1"/>
      <c r="N25" s="4"/>
      <c r="O25" s="6"/>
    </row>
    <row r="26" spans="1:15" x14ac:dyDescent="0.3">
      <c r="A26" s="113"/>
      <c r="B26" s="23"/>
      <c r="C26" s="12" t="s">
        <v>1600</v>
      </c>
      <c r="D26" s="11"/>
      <c r="E26" s="1"/>
      <c r="F26" s="276"/>
      <c r="G26" s="273"/>
      <c r="H26" s="2"/>
      <c r="I26" s="1"/>
      <c r="J26" s="4"/>
      <c r="K26" s="5"/>
      <c r="L26" s="58"/>
      <c r="M26" s="1"/>
      <c r="N26" s="4"/>
      <c r="O26" s="6"/>
    </row>
    <row r="27" spans="1:15" x14ac:dyDescent="0.3">
      <c r="A27" s="113"/>
      <c r="B27" s="23"/>
      <c r="C27" s="71" t="s">
        <v>1573</v>
      </c>
      <c r="D27" s="140">
        <f>D25+D24+D23+D22+D21-D26</f>
        <v>1</v>
      </c>
      <c r="E27" s="1"/>
      <c r="F27" s="276"/>
      <c r="G27" s="275"/>
      <c r="H27" s="2"/>
      <c r="I27" s="1"/>
      <c r="J27" s="4"/>
      <c r="K27" s="5"/>
      <c r="L27" s="58"/>
      <c r="M27" s="1"/>
      <c r="N27" s="4"/>
      <c r="O27" s="6"/>
    </row>
    <row r="28" spans="1:15" x14ac:dyDescent="0.3">
      <c r="A28" s="113"/>
      <c r="B28" s="23"/>
      <c r="C28" s="6"/>
      <c r="D28" s="23"/>
      <c r="E28" s="1"/>
      <c r="F28" s="276"/>
      <c r="G28" s="275"/>
      <c r="H28" s="2"/>
      <c r="I28" s="1"/>
      <c r="J28" s="4"/>
      <c r="K28" s="5"/>
      <c r="L28" s="58"/>
      <c r="M28" s="1"/>
      <c r="N28" s="4"/>
      <c r="O28" s="6"/>
    </row>
    <row r="29" spans="1:15" x14ac:dyDescent="0.3">
      <c r="A29" s="113"/>
      <c r="B29" s="23"/>
      <c r="C29" s="6"/>
      <c r="D29" s="23"/>
      <c r="E29" s="1"/>
      <c r="F29" s="276"/>
      <c r="G29" s="275"/>
      <c r="H29" s="2"/>
      <c r="I29" s="1"/>
      <c r="J29" s="4"/>
      <c r="K29" s="5"/>
      <c r="L29" s="58"/>
      <c r="M29" s="1"/>
      <c r="N29" s="4"/>
      <c r="O29" s="6"/>
    </row>
    <row r="30" spans="1:15" x14ac:dyDescent="0.3">
      <c r="A30" s="113"/>
      <c r="B30" s="23"/>
      <c r="C30" s="6"/>
      <c r="D30" s="23"/>
      <c r="E30" s="1"/>
      <c r="F30" s="276"/>
      <c r="G30" s="275"/>
      <c r="H30" s="2"/>
      <c r="I30" s="1"/>
      <c r="J30" s="4"/>
      <c r="K30" s="5"/>
      <c r="L30" s="58"/>
      <c r="M30" s="1"/>
      <c r="N30" s="4"/>
      <c r="O30" s="6"/>
    </row>
    <row r="31" spans="1:15" x14ac:dyDescent="0.3">
      <c r="A31" s="113"/>
      <c r="B31" s="23"/>
      <c r="C31" s="6"/>
      <c r="D31" s="23"/>
      <c r="E31" s="1"/>
      <c r="F31" s="276"/>
      <c r="G31" s="275"/>
      <c r="H31" s="2"/>
      <c r="I31" s="1"/>
      <c r="J31" s="4"/>
      <c r="K31" s="5"/>
      <c r="L31" s="58"/>
      <c r="M31" s="1"/>
      <c r="N31" s="4"/>
      <c r="O31" s="6"/>
    </row>
    <row r="32" spans="1:15" x14ac:dyDescent="0.3">
      <c r="A32" s="113"/>
      <c r="B32" s="23"/>
      <c r="C32" s="6"/>
      <c r="D32" s="1"/>
      <c r="E32" s="1"/>
      <c r="F32" s="274"/>
      <c r="G32" s="275"/>
      <c r="H32" s="2"/>
      <c r="I32" s="1"/>
      <c r="J32" s="4"/>
      <c r="K32" s="5"/>
      <c r="L32" s="58"/>
      <c r="M32" s="1"/>
      <c r="N32" s="4"/>
      <c r="O32" s="6"/>
    </row>
    <row r="33" spans="1:15" x14ac:dyDescent="0.3">
      <c r="A33" s="113"/>
      <c r="B33" s="23"/>
      <c r="C33" s="6"/>
      <c r="D33" s="1"/>
      <c r="E33" s="1"/>
      <c r="F33" s="276"/>
      <c r="G33" s="275"/>
      <c r="H33" s="2"/>
      <c r="I33" s="1"/>
      <c r="J33" s="4"/>
      <c r="K33" s="28"/>
      <c r="L33" s="58"/>
      <c r="M33" s="1"/>
      <c r="N33" s="4"/>
      <c r="O33" s="6"/>
    </row>
    <row r="34" spans="1:15" x14ac:dyDescent="0.3">
      <c r="A34" s="113"/>
      <c r="B34" s="23"/>
      <c r="C34" s="6"/>
      <c r="D34" s="1"/>
      <c r="E34" s="1"/>
      <c r="F34" s="276"/>
      <c r="G34" s="273"/>
      <c r="H34" s="2"/>
      <c r="I34" s="1"/>
      <c r="J34" s="4"/>
      <c r="K34" s="28"/>
      <c r="L34" s="58"/>
      <c r="M34" s="1"/>
      <c r="N34" s="4"/>
      <c r="O34" s="6"/>
    </row>
    <row r="35" spans="1:15" x14ac:dyDescent="0.3">
      <c r="A35" s="113"/>
      <c r="B35" s="23"/>
      <c r="C35" s="6"/>
      <c r="D35" s="1"/>
      <c r="E35" s="1"/>
      <c r="F35" s="276"/>
      <c r="G35" s="273"/>
      <c r="H35" s="2"/>
      <c r="I35" s="1"/>
      <c r="J35" s="4"/>
      <c r="K35" s="5"/>
      <c r="L35" s="58"/>
      <c r="M35" s="1"/>
      <c r="N35" s="4"/>
      <c r="O35" s="6"/>
    </row>
    <row r="36" spans="1:15" x14ac:dyDescent="0.3">
      <c r="A36" s="113"/>
      <c r="B36" s="23"/>
      <c r="C36" s="6"/>
      <c r="D36" s="1"/>
      <c r="E36" s="1"/>
      <c r="F36" s="276"/>
      <c r="G36" s="273"/>
      <c r="H36" s="2"/>
      <c r="I36" s="1"/>
      <c r="J36" s="4"/>
      <c r="K36" s="5"/>
      <c r="L36" s="58"/>
      <c r="M36" s="1"/>
      <c r="N36" s="4"/>
      <c r="O36" s="6"/>
    </row>
    <row r="37" spans="1:15" x14ac:dyDescent="0.3">
      <c r="A37" s="113"/>
      <c r="B37" s="23"/>
      <c r="C37" s="6"/>
      <c r="D37" s="1"/>
      <c r="E37" s="1"/>
      <c r="F37" s="276"/>
      <c r="G37" s="273"/>
      <c r="H37" s="2"/>
      <c r="I37" s="1"/>
      <c r="J37" s="4"/>
      <c r="K37" s="28"/>
      <c r="L37" s="58"/>
      <c r="M37" s="1"/>
      <c r="N37" s="4"/>
      <c r="O37" s="6"/>
    </row>
    <row r="38" spans="1:15" x14ac:dyDescent="0.3">
      <c r="A38" s="113"/>
      <c r="B38" s="23"/>
      <c r="C38" s="6"/>
      <c r="D38" s="1"/>
      <c r="E38" s="1"/>
      <c r="F38" s="276"/>
      <c r="G38" s="273"/>
      <c r="H38" s="2"/>
      <c r="I38" s="1"/>
      <c r="J38" s="4"/>
      <c r="K38" s="28"/>
      <c r="L38" s="58"/>
      <c r="M38" s="1"/>
      <c r="N38" s="4"/>
      <c r="O38" s="6"/>
    </row>
    <row r="39" spans="1:15" x14ac:dyDescent="0.3">
      <c r="A39" s="113"/>
      <c r="B39" s="23"/>
      <c r="C39" s="6"/>
      <c r="D39" s="1"/>
      <c r="E39" s="1"/>
      <c r="F39" s="277"/>
      <c r="G39" s="278"/>
      <c r="H39" s="2"/>
      <c r="I39" s="1"/>
      <c r="J39" s="4"/>
      <c r="K39" s="5"/>
      <c r="L39" s="58"/>
      <c r="M39" s="1"/>
      <c r="N39" s="4"/>
      <c r="O39" s="6"/>
    </row>
    <row r="40" spans="1:15" x14ac:dyDescent="0.3">
      <c r="A40" s="113"/>
      <c r="B40" s="23"/>
      <c r="C40" s="6"/>
      <c r="D40" s="1"/>
      <c r="E40" s="1"/>
      <c r="F40" s="279" t="s">
        <v>981</v>
      </c>
      <c r="G40" s="280">
        <f>SUM(G21:G38)</f>
        <v>0</v>
      </c>
      <c r="H40" s="2"/>
      <c r="I40" s="1"/>
      <c r="J40" s="4"/>
      <c r="K40" s="28"/>
      <c r="L40" s="58"/>
      <c r="M40" s="1"/>
      <c r="N40" s="4"/>
      <c r="O40" s="6"/>
    </row>
    <row r="41" spans="1:15" x14ac:dyDescent="0.3">
      <c r="A41" s="113"/>
      <c r="B41" s="111"/>
      <c r="C41" s="12"/>
      <c r="D41" s="11"/>
      <c r="E41" s="46"/>
      <c r="F41" s="47"/>
      <c r="G41" s="48"/>
      <c r="H41" s="49"/>
      <c r="I41" s="14"/>
      <c r="J41" s="14">
        <f>SUBTOTAL(109,J20:J20)</f>
        <v>0</v>
      </c>
      <c r="K41" s="13"/>
      <c r="L41" s="59">
        <f>SUM(L20:L40)</f>
        <v>0</v>
      </c>
      <c r="M41" s="14">
        <f>SUM(M20:M40)</f>
        <v>0</v>
      </c>
      <c r="N41" s="14">
        <f>SUBTOTAL(109,N2:N40)</f>
        <v>160</v>
      </c>
      <c r="O41" s="12"/>
    </row>
    <row r="42" spans="1:15" x14ac:dyDescent="0.3">
      <c r="B42" s="23"/>
      <c r="C42" s="6"/>
      <c r="D42" s="1"/>
      <c r="E42" s="1"/>
      <c r="F42" s="23"/>
      <c r="G42" s="4"/>
      <c r="H42" s="5"/>
      <c r="I42" s="4"/>
      <c r="J42" s="4"/>
      <c r="K42" s="5"/>
      <c r="L42" s="58"/>
      <c r="M42" s="4"/>
      <c r="N42" s="4"/>
      <c r="O42" s="6"/>
    </row>
    <row r="43" spans="1:15" x14ac:dyDescent="0.3">
      <c r="B43" s="23"/>
      <c r="C43" s="6"/>
      <c r="D43" s="1"/>
      <c r="E43" s="1"/>
      <c r="F43" s="23"/>
      <c r="G43" s="4"/>
      <c r="H43" s="5"/>
      <c r="I43" s="4"/>
      <c r="J43" s="4"/>
      <c r="K43" s="5"/>
      <c r="L43" s="58"/>
      <c r="M43" s="4"/>
      <c r="N43" s="4"/>
      <c r="O43" s="6"/>
    </row>
    <row r="44" spans="1:15" x14ac:dyDescent="0.3">
      <c r="B44" s="23"/>
      <c r="C44" s="6"/>
      <c r="D44" s="1"/>
      <c r="E44" s="1"/>
      <c r="F44" s="23"/>
      <c r="G44" s="4"/>
      <c r="H44" s="5"/>
      <c r="I44" s="4"/>
      <c r="J44" s="4"/>
      <c r="K44" s="5"/>
      <c r="L44" s="58"/>
      <c r="M44" s="4"/>
      <c r="N44" s="4"/>
      <c r="O44" s="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1E98D-B41E-4F0E-B28B-C3E44BCE7FA6}">
  <sheetPr codeName="Лист2"/>
  <dimension ref="A1:R65"/>
  <sheetViews>
    <sheetView topLeftCell="A13" zoomScale="89" zoomScaleNormal="89" zoomScaleSheetLayoutView="100" workbookViewId="0">
      <selection activeCell="G47" sqref="G47"/>
    </sheetView>
  </sheetViews>
  <sheetFormatPr defaultRowHeight="14.4" x14ac:dyDescent="0.3"/>
  <cols>
    <col min="1" max="1" width="4.21875" customWidth="1"/>
    <col min="2" max="2" width="11.109375" customWidth="1"/>
    <col min="3" max="3" width="10.44140625" customWidth="1"/>
    <col min="4" max="4" width="10.88671875" customWidth="1"/>
    <col min="5" max="5" width="7.44140625" customWidth="1"/>
    <col min="6" max="6" width="20" customWidth="1"/>
    <col min="7" max="7" width="19.77734375" customWidth="1"/>
    <col min="8" max="8" width="14.5546875" customWidth="1"/>
    <col min="9" max="9" width="11.88671875" customWidth="1"/>
    <col min="10" max="10" width="8.88671875" customWidth="1"/>
    <col min="11" max="11" width="14.6640625" customWidth="1"/>
    <col min="12" max="12" width="10.109375" customWidth="1"/>
    <col min="13" max="13" width="14.77734375" customWidth="1"/>
    <col min="14" max="14" width="8.88671875" customWidth="1"/>
    <col min="15" max="15" width="21.33203125" customWidth="1"/>
    <col min="16" max="16" width="16.33203125" customWidth="1"/>
    <col min="17" max="17" width="11.77734375" customWidth="1"/>
  </cols>
  <sheetData>
    <row r="1" spans="1:18" s="56" customFormat="1" x14ac:dyDescent="0.3">
      <c r="A1" s="161"/>
      <c r="B1" s="162" t="s">
        <v>1556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3"/>
    </row>
    <row r="2" spans="1:18" ht="15" thickBot="1" x14ac:dyDescent="0.35">
      <c r="A2" s="170"/>
      <c r="B2" s="171" t="s">
        <v>0</v>
      </c>
      <c r="C2" s="172" t="s">
        <v>2</v>
      </c>
      <c r="D2" s="171" t="s">
        <v>1</v>
      </c>
      <c r="E2" s="171" t="s">
        <v>3</v>
      </c>
      <c r="F2" s="173" t="s">
        <v>4</v>
      </c>
      <c r="G2" s="171" t="s">
        <v>5</v>
      </c>
      <c r="H2" s="174" t="s">
        <v>6</v>
      </c>
      <c r="I2" s="171" t="s">
        <v>7</v>
      </c>
      <c r="J2" s="171" t="s">
        <v>8</v>
      </c>
      <c r="K2" s="174" t="s">
        <v>10</v>
      </c>
      <c r="L2" s="174" t="s">
        <v>980</v>
      </c>
      <c r="M2" s="171" t="s">
        <v>9</v>
      </c>
      <c r="N2" s="171" t="s">
        <v>11</v>
      </c>
      <c r="O2" s="171" t="s">
        <v>12</v>
      </c>
      <c r="P2" s="171" t="s">
        <v>1559</v>
      </c>
      <c r="Q2" s="175" t="s">
        <v>1560</v>
      </c>
      <c r="R2" s="181" t="s">
        <v>1565</v>
      </c>
    </row>
    <row r="3" spans="1:18" s="288" customFormat="1" x14ac:dyDescent="0.3">
      <c r="A3" s="281"/>
      <c r="B3" s="281" t="s">
        <v>16</v>
      </c>
      <c r="C3" s="282" t="s">
        <v>1084</v>
      </c>
      <c r="D3" s="283" t="s">
        <v>21</v>
      </c>
      <c r="E3" s="283" t="s">
        <v>22</v>
      </c>
      <c r="F3" s="284">
        <v>356348320480299</v>
      </c>
      <c r="G3" s="283"/>
      <c r="H3" s="285">
        <v>45903</v>
      </c>
      <c r="I3" s="286">
        <v>750</v>
      </c>
      <c r="J3" s="286"/>
      <c r="K3" s="285">
        <v>45903</v>
      </c>
      <c r="L3" s="287">
        <v>750</v>
      </c>
      <c r="M3" s="286">
        <v>800</v>
      </c>
      <c r="N3" s="381">
        <v>50</v>
      </c>
      <c r="O3" s="282" t="s">
        <v>1779</v>
      </c>
    </row>
    <row r="4" spans="1:18" s="205" customFormat="1" x14ac:dyDescent="0.3">
      <c r="A4" s="218"/>
      <c r="B4" s="198" t="s">
        <v>16</v>
      </c>
      <c r="C4" s="199" t="s">
        <v>1000</v>
      </c>
      <c r="D4" s="200" t="s">
        <v>583</v>
      </c>
      <c r="E4" s="200" t="s">
        <v>15</v>
      </c>
      <c r="F4" s="201">
        <v>350096146176510</v>
      </c>
      <c r="G4" s="200"/>
      <c r="H4" s="202">
        <v>45903</v>
      </c>
      <c r="I4" s="203">
        <v>990</v>
      </c>
      <c r="J4" s="203"/>
      <c r="K4" s="202"/>
      <c r="L4" s="204">
        <v>990</v>
      </c>
      <c r="M4" s="203"/>
      <c r="N4" s="372">
        <f>Таблица3[[#This Row],[SOTILGAN NARXI]]-Таблица3[[#This Row],[OLINGAN NARXI $]]-Таблица3[[#This Row],[RASXOD]]</f>
        <v>0</v>
      </c>
      <c r="O4" s="199">
        <v>774975050</v>
      </c>
    </row>
    <row r="5" spans="1:18" s="205" customFormat="1" x14ac:dyDescent="0.3">
      <c r="A5" s="218"/>
      <c r="B5" s="198" t="s">
        <v>16</v>
      </c>
      <c r="C5" s="199" t="s">
        <v>74</v>
      </c>
      <c r="D5" s="200" t="s">
        <v>35</v>
      </c>
      <c r="E5" s="200" t="s">
        <v>15</v>
      </c>
      <c r="F5" s="201">
        <v>354811953518588</v>
      </c>
      <c r="G5" s="200"/>
      <c r="H5" s="202">
        <v>45903</v>
      </c>
      <c r="I5" s="203">
        <v>560</v>
      </c>
      <c r="J5" s="203"/>
      <c r="K5" s="202"/>
      <c r="L5" s="204">
        <v>560</v>
      </c>
      <c r="M5" s="203"/>
      <c r="N5" s="372">
        <f>Таблица3[[#This Row],[SOTILGAN NARXI]]-Таблица3[[#This Row],[OLINGAN NARXI $]]-Таблица3[[#This Row],[RASXOD]]</f>
        <v>-237</v>
      </c>
      <c r="O5" s="199">
        <v>774975050</v>
      </c>
    </row>
    <row r="6" spans="1:18" s="205" customFormat="1" x14ac:dyDescent="0.3">
      <c r="A6" s="218"/>
      <c r="B6" s="198" t="s">
        <v>13</v>
      </c>
      <c r="C6" s="199" t="s">
        <v>563</v>
      </c>
      <c r="D6" s="200" t="s">
        <v>884</v>
      </c>
      <c r="E6" s="200" t="s">
        <v>15</v>
      </c>
      <c r="F6" s="201">
        <v>352019420179255</v>
      </c>
      <c r="G6" s="200"/>
      <c r="H6" s="202">
        <v>45903</v>
      </c>
      <c r="I6" s="203">
        <v>330</v>
      </c>
      <c r="J6" s="203"/>
      <c r="K6" s="202"/>
      <c r="L6" s="204">
        <v>330</v>
      </c>
      <c r="M6" s="203"/>
      <c r="N6" s="372">
        <f>Таблица3[[#This Row],[SOTILGAN NARXI]]-Таблица3[[#This Row],[OLINGAN NARXI $]]-Таблица3[[#This Row],[RASXOD]]</f>
        <v>-256</v>
      </c>
      <c r="O6" s="199" t="s">
        <v>1780</v>
      </c>
    </row>
    <row r="7" spans="1:18" s="205" customFormat="1" x14ac:dyDescent="0.3">
      <c r="A7" s="218"/>
      <c r="B7" s="198" t="s">
        <v>16</v>
      </c>
      <c r="C7" s="199" t="s">
        <v>81</v>
      </c>
      <c r="D7" s="200" t="s">
        <v>65</v>
      </c>
      <c r="E7" s="200" t="s">
        <v>15</v>
      </c>
      <c r="F7" s="201">
        <v>359664929242998</v>
      </c>
      <c r="G7" s="200"/>
      <c r="H7" s="202">
        <v>45903</v>
      </c>
      <c r="I7" s="203">
        <v>530</v>
      </c>
      <c r="J7" s="203"/>
      <c r="K7" s="202"/>
      <c r="L7" s="204">
        <v>520</v>
      </c>
      <c r="M7" s="203"/>
      <c r="N7" s="372">
        <f>Таблица3[[#This Row],[SOTILGAN NARXI]]-Таблица3[[#This Row],[OLINGAN NARXI $]]-Таблица3[[#This Row],[RASXOD]]</f>
        <v>-468</v>
      </c>
      <c r="O7" s="199" t="s">
        <v>1781</v>
      </c>
    </row>
    <row r="8" spans="1:18" s="205" customFormat="1" x14ac:dyDescent="0.3">
      <c r="A8" s="218"/>
      <c r="B8" s="198" t="s">
        <v>16</v>
      </c>
      <c r="C8" s="199" t="s">
        <v>104</v>
      </c>
      <c r="D8" s="200" t="s">
        <v>45</v>
      </c>
      <c r="E8" s="200" t="s">
        <v>15</v>
      </c>
      <c r="F8" s="201">
        <v>351330881258962</v>
      </c>
      <c r="G8" s="200" t="s">
        <v>556</v>
      </c>
      <c r="H8" s="202">
        <v>45903</v>
      </c>
      <c r="I8" s="203">
        <v>370</v>
      </c>
      <c r="J8" s="203"/>
      <c r="K8" s="202"/>
      <c r="L8" s="204">
        <v>370</v>
      </c>
      <c r="M8" s="203"/>
      <c r="N8" s="372">
        <f>Таблица3[[#This Row],[SOTILGAN NARXI]]-Таблица3[[#This Row],[OLINGAN NARXI $]]-Таблица3[[#This Row],[RASXOD]]</f>
        <v>-155</v>
      </c>
      <c r="O8" s="199" t="s">
        <v>1716</v>
      </c>
      <c r="Q8" s="205">
        <v>370</v>
      </c>
      <c r="R8" s="205" t="s">
        <v>1759</v>
      </c>
    </row>
    <row r="9" spans="1:18" s="205" customFormat="1" x14ac:dyDescent="0.3">
      <c r="A9" s="218"/>
      <c r="B9" s="198" t="s">
        <v>13</v>
      </c>
      <c r="C9" s="199" t="s">
        <v>1207</v>
      </c>
      <c r="D9" s="200" t="s">
        <v>21</v>
      </c>
      <c r="E9" s="200" t="s">
        <v>22</v>
      </c>
      <c r="F9" s="201">
        <v>355289668318199</v>
      </c>
      <c r="G9" s="200"/>
      <c r="H9" s="202">
        <v>45903</v>
      </c>
      <c r="I9" s="203">
        <v>64</v>
      </c>
      <c r="J9" s="203"/>
      <c r="K9" s="202"/>
      <c r="L9" s="204">
        <v>64</v>
      </c>
      <c r="M9" s="203"/>
      <c r="N9" s="372">
        <f>Таблица3[[#This Row],[SOTILGAN NARXI]]-Таблица3[[#This Row],[OLINGAN NARXI $]]-Таблица3[[#This Row],[RASXOD]]</f>
        <v>-190</v>
      </c>
      <c r="O9" s="199"/>
    </row>
    <row r="10" spans="1:18" s="205" customFormat="1" x14ac:dyDescent="0.3">
      <c r="A10" s="198"/>
      <c r="B10" s="198"/>
      <c r="C10" s="199"/>
      <c r="D10" s="200"/>
      <c r="E10" s="200"/>
      <c r="F10" s="201"/>
      <c r="G10" s="200"/>
      <c r="H10" s="202"/>
      <c r="I10" s="203"/>
      <c r="J10" s="203"/>
      <c r="K10" s="202"/>
      <c r="L10" s="204"/>
      <c r="M10" s="203"/>
      <c r="N10" s="203"/>
      <c r="O10" s="199"/>
    </row>
    <row r="11" spans="1:18" s="205" customFormat="1" x14ac:dyDescent="0.3">
      <c r="A11" s="198"/>
      <c r="B11" s="198"/>
      <c r="C11" s="199"/>
      <c r="D11" s="200"/>
      <c r="E11" s="200"/>
      <c r="F11" s="201"/>
      <c r="G11" s="200"/>
      <c r="H11" s="202"/>
      <c r="I11" s="203"/>
      <c r="J11" s="203"/>
      <c r="K11" s="202"/>
      <c r="L11" s="204"/>
      <c r="M11" s="203"/>
      <c r="N11" s="203"/>
      <c r="O11" s="199"/>
    </row>
    <row r="12" spans="1:18" s="205" customFormat="1" x14ac:dyDescent="0.3">
      <c r="A12" s="198"/>
      <c r="B12" s="198"/>
      <c r="C12" s="199"/>
      <c r="D12" s="200"/>
      <c r="E12" s="200"/>
      <c r="F12" s="201"/>
      <c r="G12" s="200"/>
      <c r="H12" s="202"/>
      <c r="I12" s="203"/>
      <c r="J12" s="203"/>
      <c r="K12" s="202"/>
      <c r="L12" s="204"/>
      <c r="M12" s="203"/>
      <c r="N12" s="203"/>
      <c r="O12" s="199"/>
    </row>
    <row r="13" spans="1:18" s="205" customFormat="1" x14ac:dyDescent="0.3">
      <c r="A13" s="198"/>
      <c r="B13" s="198"/>
      <c r="C13" s="199"/>
      <c r="D13" s="200"/>
      <c r="E13" s="200"/>
      <c r="F13" s="201"/>
      <c r="G13" s="200"/>
      <c r="H13" s="202"/>
      <c r="I13" s="203"/>
      <c r="J13" s="203"/>
      <c r="K13" s="202"/>
      <c r="L13" s="204"/>
      <c r="M13" s="203"/>
      <c r="N13" s="203"/>
      <c r="O13" s="199"/>
    </row>
    <row r="14" spans="1:18" x14ac:dyDescent="0.3">
      <c r="A14" s="23"/>
      <c r="B14" s="23"/>
      <c r="C14" s="6"/>
      <c r="D14" s="1"/>
      <c r="E14" s="1"/>
      <c r="F14" s="3"/>
      <c r="G14" s="1"/>
      <c r="H14" s="5"/>
      <c r="I14" s="4"/>
      <c r="J14" s="4"/>
      <c r="K14" s="5"/>
      <c r="L14" s="58"/>
      <c r="M14" s="4"/>
      <c r="N14" s="4"/>
      <c r="O14" s="6"/>
      <c r="Q14" s="206"/>
      <c r="R14" s="1"/>
    </row>
    <row r="15" spans="1:18" x14ac:dyDescent="0.3">
      <c r="A15" s="23"/>
      <c r="B15" s="23"/>
      <c r="C15" s="6"/>
      <c r="D15" s="1"/>
      <c r="E15" s="1"/>
      <c r="F15" s="3"/>
      <c r="G15" s="1"/>
      <c r="H15" s="5"/>
      <c r="I15" s="4"/>
      <c r="J15" s="4"/>
      <c r="K15" s="5"/>
      <c r="L15" s="58"/>
      <c r="M15" s="4"/>
      <c r="N15" s="4"/>
      <c r="O15" s="6"/>
      <c r="Q15" s="206"/>
      <c r="R15" s="1"/>
    </row>
    <row r="16" spans="1:18" x14ac:dyDescent="0.3">
      <c r="A16" s="23"/>
      <c r="B16" s="23"/>
      <c r="C16" s="6"/>
      <c r="D16" s="1"/>
      <c r="E16" s="1"/>
      <c r="F16" s="3"/>
      <c r="G16" s="1"/>
      <c r="H16" s="5"/>
      <c r="I16" s="4"/>
      <c r="J16" s="4"/>
      <c r="K16" s="5"/>
      <c r="L16" s="58"/>
      <c r="M16" s="4"/>
      <c r="N16" s="4"/>
      <c r="O16" s="6" t="s">
        <v>1503</v>
      </c>
      <c r="Q16" s="206"/>
      <c r="R16" s="1"/>
    </row>
    <row r="17" spans="1:18" x14ac:dyDescent="0.3">
      <c r="A17" s="23"/>
      <c r="B17" s="23"/>
      <c r="C17" s="6"/>
      <c r="D17" s="1"/>
      <c r="E17" s="1"/>
      <c r="F17" s="3"/>
      <c r="G17" s="1"/>
      <c r="H17" s="5"/>
      <c r="I17" s="4"/>
      <c r="J17" s="4"/>
      <c r="K17" s="5"/>
      <c r="L17" s="58"/>
      <c r="M17" s="4"/>
      <c r="N17" s="4"/>
      <c r="O17" s="6"/>
      <c r="Q17" s="206"/>
      <c r="R17" s="1"/>
    </row>
    <row r="18" spans="1:18" x14ac:dyDescent="0.3">
      <c r="L18" s="58"/>
      <c r="Q18" s="206"/>
      <c r="R18" s="1"/>
    </row>
    <row r="19" spans="1:18" x14ac:dyDescent="0.3">
      <c r="L19" s="58"/>
      <c r="Q19" s="206"/>
      <c r="R19" s="1"/>
    </row>
    <row r="20" spans="1:18" x14ac:dyDescent="0.3">
      <c r="L20" s="58"/>
      <c r="Q20" s="206"/>
      <c r="R20" s="1"/>
    </row>
    <row r="21" spans="1:18" x14ac:dyDescent="0.3">
      <c r="A21" s="23"/>
      <c r="B21" s="23"/>
      <c r="C21" s="6"/>
      <c r="D21" s="1"/>
      <c r="E21" s="1"/>
      <c r="F21" s="3"/>
      <c r="G21" s="1"/>
      <c r="H21" s="5"/>
      <c r="I21" s="4"/>
      <c r="J21" s="4"/>
      <c r="K21" s="5"/>
      <c r="L21" s="58"/>
      <c r="M21" s="4"/>
      <c r="N21" s="4"/>
      <c r="O21" s="6"/>
      <c r="Q21" s="206"/>
      <c r="R21" s="1"/>
    </row>
    <row r="22" spans="1:18" ht="15" thickBot="1" x14ac:dyDescent="0.35">
      <c r="A22" s="177"/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207"/>
      <c r="R22" s="1"/>
    </row>
    <row r="23" spans="1:18" s="56" customFormat="1" x14ac:dyDescent="0.3">
      <c r="A23" s="161"/>
      <c r="B23" s="162" t="s">
        <v>1557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3"/>
    </row>
    <row r="24" spans="1:18" ht="15" thickBot="1" x14ac:dyDescent="0.35">
      <c r="A24" s="164"/>
      <c r="B24" s="165" t="s">
        <v>0</v>
      </c>
      <c r="C24" s="166" t="s">
        <v>2</v>
      </c>
      <c r="D24" s="165" t="s">
        <v>1</v>
      </c>
      <c r="E24" s="165" t="s">
        <v>3</v>
      </c>
      <c r="F24" s="167" t="s">
        <v>4</v>
      </c>
      <c r="G24" s="165" t="s">
        <v>5</v>
      </c>
      <c r="H24" s="168" t="s">
        <v>6</v>
      </c>
      <c r="I24" s="165" t="s">
        <v>7</v>
      </c>
      <c r="J24" s="165" t="s">
        <v>8</v>
      </c>
      <c r="K24" s="168" t="s">
        <v>10</v>
      </c>
      <c r="L24" s="168" t="s">
        <v>980</v>
      </c>
      <c r="M24" s="165" t="s">
        <v>9</v>
      </c>
      <c r="N24" s="165" t="s">
        <v>11</v>
      </c>
      <c r="O24" s="165" t="s">
        <v>12</v>
      </c>
      <c r="P24" s="165" t="s">
        <v>1558</v>
      </c>
      <c r="Q24" s="169" t="s">
        <v>1561</v>
      </c>
      <c r="R24" s="181" t="s">
        <v>1528</v>
      </c>
    </row>
    <row r="25" spans="1:18" s="288" customFormat="1" x14ac:dyDescent="0.3">
      <c r="A25" s="281">
        <v>22</v>
      </c>
      <c r="B25" s="281" t="s">
        <v>16</v>
      </c>
      <c r="C25" s="282" t="s">
        <v>81</v>
      </c>
      <c r="D25" s="283"/>
      <c r="E25" s="283"/>
      <c r="F25" s="284">
        <v>1525</v>
      </c>
      <c r="G25" s="283"/>
      <c r="H25" s="285">
        <v>45903</v>
      </c>
      <c r="I25" s="286"/>
      <c r="J25" s="286"/>
      <c r="K25" s="285">
        <v>45903</v>
      </c>
      <c r="L25" s="287">
        <f>Таблица375891011141518[[#This Row],[OLINGAN NARXI $]]+Таблица375891011141518[[#This Row],[RASXOD]]</f>
        <v>510</v>
      </c>
      <c r="M25" s="286">
        <v>20</v>
      </c>
      <c r="N25" s="286">
        <v>20</v>
      </c>
      <c r="O25" s="282" t="s">
        <v>446</v>
      </c>
    </row>
    <row r="26" spans="1:18" s="253" customFormat="1" x14ac:dyDescent="0.3">
      <c r="A26" s="245">
        <v>11</v>
      </c>
      <c r="B26" s="245" t="s">
        <v>13</v>
      </c>
      <c r="C26" s="246" t="s">
        <v>1159</v>
      </c>
      <c r="D26" s="247" t="s">
        <v>97</v>
      </c>
      <c r="E26" s="247" t="s">
        <v>15</v>
      </c>
      <c r="F26" s="248">
        <v>353074283712386</v>
      </c>
      <c r="G26" s="247"/>
      <c r="H26" s="250">
        <v>45781</v>
      </c>
      <c r="I26" s="251">
        <v>320</v>
      </c>
      <c r="J26" s="251"/>
      <c r="K26" s="250">
        <v>45903</v>
      </c>
      <c r="L26" s="252">
        <f>Таблица3[[#This Row],[OLINGAN NARXI $]]+Таблица3[[#This Row],[RASXOD]]</f>
        <v>286</v>
      </c>
      <c r="M26" s="251">
        <v>370</v>
      </c>
      <c r="N26" s="251">
        <v>50</v>
      </c>
      <c r="O26" s="246" t="s">
        <v>1160</v>
      </c>
      <c r="P26" s="253">
        <v>20</v>
      </c>
    </row>
    <row r="27" spans="1:18" s="326" customFormat="1" x14ac:dyDescent="0.3">
      <c r="A27" s="319">
        <v>122</v>
      </c>
      <c r="B27" s="319" t="s">
        <v>16</v>
      </c>
      <c r="C27" s="320" t="s">
        <v>298</v>
      </c>
      <c r="D27" s="321" t="s">
        <v>21</v>
      </c>
      <c r="E27" s="321" t="s">
        <v>15</v>
      </c>
      <c r="F27" s="322">
        <v>359471083053207</v>
      </c>
      <c r="G27" s="321" t="s">
        <v>61</v>
      </c>
      <c r="H27" s="323">
        <v>45902</v>
      </c>
      <c r="I27" s="324">
        <v>50</v>
      </c>
      <c r="J27" s="324"/>
      <c r="K27" s="323">
        <v>45903</v>
      </c>
      <c r="L27" s="325">
        <f>Таблица3[[#This Row],[OLINGAN NARXI $]]+Таблица3[[#This Row],[RASXOD]]</f>
        <v>703</v>
      </c>
      <c r="M27" s="324">
        <v>100</v>
      </c>
      <c r="N27" s="324">
        <v>50</v>
      </c>
      <c r="O27" s="320">
        <v>914410606</v>
      </c>
    </row>
    <row r="28" spans="1:18" s="296" customFormat="1" x14ac:dyDescent="0.3">
      <c r="A28" s="289">
        <v>120</v>
      </c>
      <c r="B28" s="289" t="s">
        <v>13</v>
      </c>
      <c r="C28" s="290" t="s">
        <v>502</v>
      </c>
      <c r="D28" s="291" t="s">
        <v>18</v>
      </c>
      <c r="E28" s="291" t="s">
        <v>15</v>
      </c>
      <c r="F28" s="292">
        <v>358088350509165</v>
      </c>
      <c r="G28" s="291"/>
      <c r="H28" s="293">
        <v>45902</v>
      </c>
      <c r="I28" s="294">
        <v>510</v>
      </c>
      <c r="J28" s="294"/>
      <c r="K28" s="293">
        <v>45903</v>
      </c>
      <c r="L28" s="295">
        <f>Таблица3[[#This Row],[OLINGAN NARXI $]]+Таблица3[[#This Row],[RASXOD]]</f>
        <v>447.7</v>
      </c>
      <c r="M28" s="294">
        <v>550</v>
      </c>
      <c r="N28" s="294">
        <v>40</v>
      </c>
      <c r="O28" s="290" t="s">
        <v>262</v>
      </c>
    </row>
    <row r="29" spans="1:18" s="288" customFormat="1" x14ac:dyDescent="0.3">
      <c r="A29" s="281">
        <v>102</v>
      </c>
      <c r="B29" s="281" t="s">
        <v>16</v>
      </c>
      <c r="C29" s="282" t="s">
        <v>74</v>
      </c>
      <c r="D29" s="283" t="s">
        <v>21</v>
      </c>
      <c r="E29" s="283" t="s">
        <v>15</v>
      </c>
      <c r="F29" s="284">
        <v>354569167787312</v>
      </c>
      <c r="G29" s="283"/>
      <c r="H29" s="285">
        <v>45896</v>
      </c>
      <c r="I29" s="286">
        <v>580</v>
      </c>
      <c r="J29" s="286"/>
      <c r="K29" s="285">
        <v>45903</v>
      </c>
      <c r="L29" s="287">
        <f>Таблица3[[#This Row],[OLINGAN NARXI $]]+Таблица3[[#This Row],[RASXOD]]</f>
        <v>400</v>
      </c>
      <c r="M29" s="286">
        <v>630</v>
      </c>
      <c r="N29" s="286">
        <v>50</v>
      </c>
      <c r="O29" s="282" t="s">
        <v>19</v>
      </c>
    </row>
    <row r="30" spans="1:18" s="288" customFormat="1" x14ac:dyDescent="0.3">
      <c r="A30" s="281"/>
      <c r="B30" s="281" t="s">
        <v>16</v>
      </c>
      <c r="C30" s="282" t="s">
        <v>1084</v>
      </c>
      <c r="D30" s="283" t="s">
        <v>21</v>
      </c>
      <c r="E30" s="283" t="s">
        <v>22</v>
      </c>
      <c r="F30" s="284">
        <v>356348320480299</v>
      </c>
      <c r="G30" s="283"/>
      <c r="H30" s="285">
        <v>45903</v>
      </c>
      <c r="I30" s="286">
        <v>750</v>
      </c>
      <c r="J30" s="286"/>
      <c r="K30" s="285">
        <v>45903</v>
      </c>
      <c r="L30" s="287">
        <f>Таблица3[[#This Row],[OLINGAN NARXI $]]+Таблица3[[#This Row],[RASXOD]]</f>
        <v>240</v>
      </c>
      <c r="M30" s="286">
        <v>800</v>
      </c>
      <c r="N30" s="381">
        <v>50</v>
      </c>
      <c r="O30" s="282" t="s">
        <v>1779</v>
      </c>
    </row>
    <row r="31" spans="1:18" s="380" customFormat="1" x14ac:dyDescent="0.3">
      <c r="A31" s="373"/>
      <c r="B31" s="373"/>
      <c r="C31" s="374"/>
      <c r="D31" s="375"/>
      <c r="E31" s="375"/>
      <c r="F31" s="376"/>
      <c r="G31" s="375"/>
      <c r="H31" s="377"/>
      <c r="I31" s="378"/>
      <c r="J31" s="378"/>
      <c r="K31" s="377"/>
      <c r="L31" s="379"/>
      <c r="M31" s="378"/>
      <c r="N31" s="378"/>
      <c r="O31" s="374"/>
    </row>
    <row r="32" spans="1:18" s="380" customFormat="1" x14ac:dyDescent="0.3">
      <c r="A32" s="373"/>
      <c r="B32" s="373"/>
      <c r="C32" s="374"/>
      <c r="D32" s="375"/>
      <c r="E32" s="375"/>
      <c r="F32" s="376"/>
      <c r="G32" s="375"/>
      <c r="H32" s="377"/>
      <c r="I32" s="378"/>
      <c r="J32" s="378"/>
      <c r="K32" s="377"/>
      <c r="L32" s="379"/>
      <c r="M32" s="378"/>
      <c r="N32" s="378"/>
      <c r="O32" s="374"/>
    </row>
    <row r="33" spans="1:17" s="380" customFormat="1" x14ac:dyDescent="0.3">
      <c r="A33" s="373"/>
      <c r="B33" s="373"/>
      <c r="C33" s="374"/>
      <c r="D33" s="375"/>
      <c r="E33" s="375"/>
      <c r="F33" s="376"/>
      <c r="G33" s="375"/>
      <c r="H33" s="377"/>
      <c r="I33" s="378"/>
      <c r="J33" s="378"/>
      <c r="K33" s="377"/>
      <c r="L33" s="379"/>
      <c r="M33" s="378"/>
      <c r="N33" s="378"/>
      <c r="O33" s="374"/>
    </row>
    <row r="34" spans="1:17" s="380" customFormat="1" x14ac:dyDescent="0.3">
      <c r="A34" s="373"/>
      <c r="B34" s="373"/>
      <c r="C34" s="374"/>
      <c r="D34" s="375"/>
      <c r="E34" s="375"/>
      <c r="F34" s="376"/>
      <c r="G34" s="375"/>
      <c r="H34" s="377"/>
      <c r="I34" s="378"/>
      <c r="J34" s="378"/>
      <c r="K34" s="377"/>
      <c r="L34" s="379"/>
      <c r="M34" s="378"/>
      <c r="N34" s="378"/>
      <c r="O34" s="374"/>
    </row>
    <row r="35" spans="1:17" s="380" customFormat="1" x14ac:dyDescent="0.3">
      <c r="A35" s="373"/>
      <c r="B35" s="373"/>
      <c r="C35" s="374"/>
      <c r="D35" s="375"/>
      <c r="E35" s="375"/>
      <c r="F35" s="376"/>
      <c r="G35" s="375"/>
      <c r="H35" s="377"/>
      <c r="I35" s="378"/>
      <c r="J35" s="378"/>
      <c r="K35" s="377"/>
      <c r="L35" s="379"/>
      <c r="M35" s="378"/>
      <c r="N35" s="378"/>
      <c r="O35" s="374"/>
    </row>
    <row r="36" spans="1:17" s="380" customFormat="1" x14ac:dyDescent="0.3">
      <c r="A36" s="373"/>
      <c r="B36" s="373"/>
      <c r="C36" s="374"/>
      <c r="D36" s="375"/>
      <c r="E36" s="375"/>
      <c r="F36" s="376"/>
      <c r="G36" s="375"/>
      <c r="H36" s="377"/>
      <c r="I36" s="378"/>
      <c r="J36" s="378"/>
      <c r="K36" s="377"/>
      <c r="L36" s="379"/>
      <c r="M36" s="378"/>
      <c r="N36" s="378"/>
      <c r="O36" s="374"/>
    </row>
    <row r="37" spans="1:17" s="380" customFormat="1" x14ac:dyDescent="0.3">
      <c r="A37" s="373"/>
      <c r="B37" s="373"/>
      <c r="C37" s="374"/>
      <c r="D37" s="375"/>
      <c r="E37" s="375"/>
      <c r="F37" s="376"/>
      <c r="G37" s="375"/>
      <c r="H37" s="377"/>
      <c r="I37" s="378"/>
      <c r="J37" s="378"/>
      <c r="K37" s="377"/>
      <c r="L37" s="379"/>
      <c r="M37" s="378"/>
      <c r="N37" s="378"/>
      <c r="O37" s="374"/>
    </row>
    <row r="38" spans="1:17" s="380" customFormat="1" x14ac:dyDescent="0.3">
      <c r="A38" s="373"/>
      <c r="B38" s="373"/>
      <c r="C38" s="374"/>
      <c r="D38" s="375"/>
      <c r="E38" s="375"/>
      <c r="F38" s="376"/>
      <c r="G38" s="375"/>
      <c r="H38" s="377"/>
      <c r="I38" s="378"/>
      <c r="J38" s="378"/>
      <c r="K38" s="377"/>
      <c r="L38" s="379"/>
      <c r="M38" s="378"/>
      <c r="N38" s="378"/>
      <c r="O38" s="374"/>
    </row>
    <row r="39" spans="1:17" s="380" customFormat="1" x14ac:dyDescent="0.3">
      <c r="A39" s="373"/>
      <c r="B39" s="373"/>
      <c r="C39" s="374"/>
      <c r="D39" s="375"/>
      <c r="E39" s="375"/>
      <c r="F39" s="376"/>
      <c r="G39" s="375"/>
      <c r="H39" s="377"/>
      <c r="I39" s="378"/>
      <c r="J39" s="378"/>
      <c r="K39" s="377"/>
      <c r="L39" s="379"/>
      <c r="M39" s="378"/>
      <c r="N39" s="378"/>
      <c r="O39" s="374"/>
    </row>
    <row r="40" spans="1:17" s="380" customFormat="1" x14ac:dyDescent="0.3">
      <c r="A40" s="373"/>
      <c r="B40" s="373"/>
      <c r="C40" s="374"/>
      <c r="D40" s="375"/>
      <c r="E40" s="375"/>
      <c r="F40" s="376"/>
      <c r="G40" s="375"/>
      <c r="H40" s="377"/>
      <c r="I40" s="378"/>
      <c r="J40" s="378"/>
      <c r="K40" s="377"/>
      <c r="L40" s="379"/>
      <c r="M40" s="378"/>
      <c r="N40" s="378"/>
      <c r="O40" s="374"/>
    </row>
    <row r="45" spans="1:17" ht="15" thickBot="1" x14ac:dyDescent="0.35">
      <c r="A45" s="177"/>
      <c r="B45" s="177"/>
      <c r="C45" s="177"/>
      <c r="D45" s="177"/>
      <c r="E45" s="177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</row>
    <row r="46" spans="1:17" x14ac:dyDescent="0.3">
      <c r="B46" s="186" t="s">
        <v>1586</v>
      </c>
      <c r="C46" s="186" t="s">
        <v>981</v>
      </c>
      <c r="D46" s="186"/>
      <c r="E46" s="186"/>
      <c r="O46" s="176" t="s">
        <v>1782</v>
      </c>
      <c r="P46" s="34">
        <v>1377</v>
      </c>
      <c r="Q46" s="176">
        <v>12600</v>
      </c>
    </row>
    <row r="47" spans="1:17" x14ac:dyDescent="0.3">
      <c r="B47" s="185">
        <v>45901</v>
      </c>
      <c r="C47" s="183">
        <v>10</v>
      </c>
      <c r="D47" s="184">
        <v>45916</v>
      </c>
      <c r="E47" s="182"/>
      <c r="O47" s="159" t="s">
        <v>1783</v>
      </c>
      <c r="P47" s="160">
        <f>P46+L50+L51+L52+L53+L54+L55+L56+L57+L58-P50-P51-P52-P53-P54-P55-P56-P57-P58-P59-P60-P62-P61-P63+M34+M33+M32+M31+M35+M36+M37+M38+M39+M40+M41+M42+M43+M44+M45+M30+M29+M28+M27+M26+M25-P25-P26-P35-P36-P37-P38-P39-P40-P41-P42-P43-P44-P45-P27-P28-P29-P30-P31-P34-P33-Q25--P32-Q26-Q27-Q28-Q29-Q30-Q31-Q32-Q33-Q34-Q35-Q36-Q37-Q38-Q39-Q40-Q41-Q42-Q43-Q44-Q45-L3-L4-L5-L6-L7-L8-L9-L10-L11-L12-L13-L14-L15-L16-L17-L18-L19-L20-L21+P3+P4+P5+P6+P7+P8+P9+P10+P11+P12+P13+P14+P15+P16+P17+P18+P19+P20+P21+Q3+Q4+Q5+Q6+Q7+Q8+Q9+Q10+Q11+Q12+Q13+Q14+Q15+Q16+Q17+Q18+Q19+Q20+Q21</f>
        <v>1033</v>
      </c>
      <c r="Q47" s="159">
        <v>12600</v>
      </c>
    </row>
    <row r="48" spans="1:17" x14ac:dyDescent="0.3">
      <c r="B48" s="185">
        <v>45902</v>
      </c>
      <c r="C48" s="183">
        <v>4.43</v>
      </c>
      <c r="D48" s="184">
        <v>45917</v>
      </c>
      <c r="E48" s="182"/>
      <c r="I48" t="s">
        <v>1503</v>
      </c>
    </row>
    <row r="49" spans="2:17" ht="15.6" x14ac:dyDescent="0.3">
      <c r="B49" s="185">
        <v>45903</v>
      </c>
      <c r="C49" s="183">
        <v>1.6</v>
      </c>
      <c r="D49" s="184">
        <v>45918</v>
      </c>
      <c r="E49" s="182"/>
      <c r="K49" s="159" t="s">
        <v>1566</v>
      </c>
      <c r="L49" s="159" t="s">
        <v>981</v>
      </c>
      <c r="M49" s="159"/>
      <c r="O49" s="179" t="s">
        <v>8</v>
      </c>
      <c r="P49" s="179" t="s">
        <v>981</v>
      </c>
      <c r="Q49" s="159"/>
    </row>
    <row r="50" spans="2:17" x14ac:dyDescent="0.3">
      <c r="B50" s="185">
        <v>45904</v>
      </c>
      <c r="C50" s="183"/>
      <c r="D50" s="184">
        <v>45919</v>
      </c>
      <c r="E50" s="182"/>
      <c r="K50" s="178" t="s">
        <v>1776</v>
      </c>
      <c r="L50" s="178">
        <v>350</v>
      </c>
      <c r="M50" s="178"/>
      <c r="O50" s="178" t="s">
        <v>1785</v>
      </c>
      <c r="P50" s="180">
        <v>100</v>
      </c>
      <c r="Q50" s="178"/>
    </row>
    <row r="51" spans="2:17" x14ac:dyDescent="0.3">
      <c r="B51" s="185">
        <v>45905</v>
      </c>
      <c r="C51" s="183"/>
      <c r="D51" s="184">
        <v>45920</v>
      </c>
      <c r="E51" s="182"/>
      <c r="K51" s="178" t="s">
        <v>1784</v>
      </c>
      <c r="L51" s="178">
        <v>500</v>
      </c>
      <c r="M51" s="178"/>
      <c r="O51" s="178" t="s">
        <v>1787</v>
      </c>
      <c r="P51" s="180">
        <v>4</v>
      </c>
      <c r="Q51" s="178"/>
    </row>
    <row r="52" spans="2:17" x14ac:dyDescent="0.3">
      <c r="B52" s="185">
        <v>45906</v>
      </c>
      <c r="C52" s="183"/>
      <c r="D52" s="184">
        <v>45921</v>
      </c>
      <c r="E52" s="182"/>
      <c r="K52" s="178" t="s">
        <v>1786</v>
      </c>
      <c r="L52" s="178">
        <v>15.2</v>
      </c>
      <c r="M52" s="178"/>
      <c r="O52" s="178" t="s">
        <v>1788</v>
      </c>
      <c r="P52" s="180">
        <v>8</v>
      </c>
      <c r="Q52" s="178"/>
    </row>
    <row r="53" spans="2:17" x14ac:dyDescent="0.3">
      <c r="B53" s="185">
        <v>45907</v>
      </c>
      <c r="C53" s="183"/>
      <c r="D53" s="184">
        <v>45922</v>
      </c>
      <c r="E53" s="182"/>
      <c r="K53" s="178" t="s">
        <v>1786</v>
      </c>
      <c r="L53" s="178">
        <v>250</v>
      </c>
      <c r="M53" s="178"/>
      <c r="O53" s="178" t="s">
        <v>1789</v>
      </c>
      <c r="P53" s="180">
        <v>550</v>
      </c>
      <c r="Q53" s="178"/>
    </row>
    <row r="54" spans="2:17" x14ac:dyDescent="0.3">
      <c r="B54" s="185">
        <v>45908</v>
      </c>
      <c r="C54" s="183"/>
      <c r="D54" s="184">
        <v>45923</v>
      </c>
      <c r="E54" s="182"/>
      <c r="K54" s="178"/>
      <c r="L54" s="178"/>
      <c r="M54" s="178"/>
      <c r="O54" s="178" t="s">
        <v>4</v>
      </c>
      <c r="P54" s="180">
        <v>13.2</v>
      </c>
      <c r="Q54" s="178"/>
    </row>
    <row r="55" spans="2:17" x14ac:dyDescent="0.3">
      <c r="B55" s="185">
        <v>45909</v>
      </c>
      <c r="C55" s="183"/>
      <c r="D55" s="184">
        <v>45924</v>
      </c>
      <c r="E55" s="182"/>
      <c r="K55" s="178"/>
      <c r="L55" s="178"/>
      <c r="M55" s="178"/>
      <c r="O55" s="178" t="s">
        <v>1720</v>
      </c>
      <c r="P55" s="180">
        <v>5</v>
      </c>
      <c r="Q55" s="178"/>
    </row>
    <row r="56" spans="2:17" x14ac:dyDescent="0.3">
      <c r="B56" s="185">
        <v>45910</v>
      </c>
      <c r="C56" s="183"/>
      <c r="D56" s="184">
        <v>45925</v>
      </c>
      <c r="E56" s="182"/>
      <c r="K56" s="178"/>
      <c r="L56" s="178"/>
      <c r="M56" s="178"/>
      <c r="O56" s="178" t="s">
        <v>1790</v>
      </c>
      <c r="P56" s="180">
        <v>15</v>
      </c>
      <c r="Q56" s="178"/>
    </row>
    <row r="57" spans="2:17" x14ac:dyDescent="0.3">
      <c r="B57" s="185">
        <v>45911</v>
      </c>
      <c r="C57" s="183"/>
      <c r="D57" s="184">
        <v>45926</v>
      </c>
      <c r="E57" s="182"/>
      <c r="K57" s="178"/>
      <c r="L57" s="178"/>
      <c r="M57" s="178"/>
      <c r="O57" s="178"/>
      <c r="P57" s="180"/>
      <c r="Q57" s="178"/>
    </row>
    <row r="58" spans="2:17" x14ac:dyDescent="0.3">
      <c r="B58" s="185">
        <v>45912</v>
      </c>
      <c r="C58" s="183"/>
      <c r="D58" s="184">
        <v>45927</v>
      </c>
      <c r="E58" s="182"/>
      <c r="K58" s="178"/>
      <c r="L58" s="178"/>
      <c r="M58" s="178"/>
      <c r="O58" s="178"/>
      <c r="P58" s="180"/>
      <c r="Q58" s="178"/>
    </row>
    <row r="59" spans="2:17" x14ac:dyDescent="0.3">
      <c r="B59" s="185">
        <v>45913</v>
      </c>
      <c r="C59" s="183"/>
      <c r="D59" s="184">
        <v>45928</v>
      </c>
      <c r="E59" s="182"/>
      <c r="O59" s="178"/>
      <c r="P59" s="180"/>
      <c r="Q59" s="178"/>
    </row>
    <row r="60" spans="2:17" x14ac:dyDescent="0.3">
      <c r="B60" s="185">
        <v>45914</v>
      </c>
      <c r="C60" s="183"/>
      <c r="D60" s="184">
        <v>45929</v>
      </c>
      <c r="E60" s="182"/>
      <c r="O60" s="178"/>
      <c r="P60" s="180"/>
      <c r="Q60" s="178"/>
    </row>
    <row r="61" spans="2:17" x14ac:dyDescent="0.3">
      <c r="B61" s="185">
        <v>45915</v>
      </c>
      <c r="C61" s="183"/>
      <c r="D61" s="184">
        <v>45930</v>
      </c>
      <c r="E61" s="182"/>
      <c r="O61" s="178"/>
      <c r="P61" s="180"/>
      <c r="Q61" s="178"/>
    </row>
    <row r="62" spans="2:17" x14ac:dyDescent="0.3">
      <c r="B62" s="18"/>
      <c r="C62" s="18">
        <f>C47+C48+C49+C50+C51+C52+C53+C54+C55+C56+C57+C58+C59+C60+C61</f>
        <v>16.03</v>
      </c>
      <c r="D62" s="184"/>
      <c r="E62" s="182"/>
      <c r="O62" s="178"/>
      <c r="P62" s="180"/>
      <c r="Q62" s="178"/>
    </row>
    <row r="63" spans="2:17" x14ac:dyDescent="0.3">
      <c r="B63" s="1"/>
      <c r="C63" s="1"/>
      <c r="E63" s="159">
        <f>E47+E48+E49+E50+E51+E52+E53+E54+E55+E56+E57+E58+E59+E60+E61+E62</f>
        <v>0</v>
      </c>
      <c r="O63" s="178"/>
      <c r="P63" s="180"/>
      <c r="Q63" s="178"/>
    </row>
    <row r="64" spans="2:17" x14ac:dyDescent="0.3">
      <c r="B64" s="1"/>
      <c r="C64" s="19" t="s">
        <v>1587</v>
      </c>
      <c r="D64" s="159">
        <f>C62+E63</f>
        <v>16.03</v>
      </c>
    </row>
    <row r="65" spans="3:4" x14ac:dyDescent="0.3">
      <c r="C65" s="159" t="s">
        <v>1777</v>
      </c>
      <c r="D65" s="371" t="s">
        <v>1778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0D3F-39D7-4B3B-8B6C-EF1D2E5219E0}">
  <sheetPr codeName="Лист3"/>
  <dimension ref="A1:O331"/>
  <sheetViews>
    <sheetView topLeftCell="A162" zoomScale="80" zoomScaleNormal="80" workbookViewId="0">
      <selection activeCell="C186" sqref="C186"/>
    </sheetView>
  </sheetViews>
  <sheetFormatPr defaultRowHeight="14.4" x14ac:dyDescent="0.3"/>
  <cols>
    <col min="1" max="1" width="4" style="1" customWidth="1"/>
    <col min="2" max="2" width="13.88671875" style="6" bestFit="1" customWidth="1"/>
    <col min="3" max="3" width="10.88671875" style="1" bestFit="1" customWidth="1"/>
    <col min="4" max="4" width="13.6640625" style="1" bestFit="1" customWidth="1"/>
    <col min="5" max="5" width="14.33203125" style="1" customWidth="1"/>
    <col min="6" max="6" width="27.44140625" style="1" customWidth="1"/>
    <col min="7" max="7" width="30.6640625" style="4" customWidth="1"/>
    <col min="8" max="8" width="21.33203125" style="4" customWidth="1"/>
    <col min="9" max="9" width="16.33203125" style="4" customWidth="1"/>
    <col min="10" max="10" width="12.44140625" style="4" customWidth="1"/>
    <col min="11" max="11" width="19.44140625" style="4" customWidth="1"/>
    <col min="12" max="12" width="14.33203125" style="4" customWidth="1"/>
    <col min="13" max="13" width="19.109375" style="4" customWidth="1"/>
    <col min="14" max="14" width="11.44140625" style="4" customWidth="1"/>
    <col min="15" max="15" width="28.77734375" customWidth="1"/>
  </cols>
  <sheetData>
    <row r="1" spans="1:15" ht="17.25" customHeight="1" x14ac:dyDescent="0.3">
      <c r="A1" s="1" t="s">
        <v>1232</v>
      </c>
      <c r="B1" s="1" t="s">
        <v>0</v>
      </c>
      <c r="C1" s="6" t="s">
        <v>2</v>
      </c>
      <c r="D1" s="1" t="s">
        <v>1</v>
      </c>
      <c r="E1" s="1" t="s">
        <v>3</v>
      </c>
      <c r="F1" s="3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2" t="s">
        <v>10</v>
      </c>
      <c r="L1" s="2" t="s">
        <v>980</v>
      </c>
      <c r="M1" s="1" t="s">
        <v>9</v>
      </c>
      <c r="N1" s="1" t="s">
        <v>11</v>
      </c>
      <c r="O1" s="1" t="s">
        <v>12</v>
      </c>
    </row>
    <row r="2" spans="1:15" s="205" customFormat="1" x14ac:dyDescent="0.3">
      <c r="A2" s="218">
        <v>1</v>
      </c>
      <c r="B2" s="197" t="s">
        <v>59</v>
      </c>
      <c r="C2" s="297" t="s">
        <v>60</v>
      </c>
      <c r="D2" s="298" t="s">
        <v>21</v>
      </c>
      <c r="E2" s="298" t="s">
        <v>22</v>
      </c>
      <c r="F2" s="299">
        <v>867305030481845</v>
      </c>
      <c r="G2" s="200" t="s">
        <v>61</v>
      </c>
      <c r="H2" s="202">
        <v>45573</v>
      </c>
      <c r="I2" s="203">
        <v>28</v>
      </c>
      <c r="J2" s="203"/>
      <c r="K2" s="202"/>
      <c r="L2" s="204">
        <f>Таблица3[[#This Row],[OLINGAN NARXI $]]+Таблица3[[#This Row],[RASXOD]]</f>
        <v>28</v>
      </c>
      <c r="M2" s="203"/>
      <c r="N2" s="203">
        <f>Таблица3[[#This Row],[SOTILGAN NARXI]]-Таблица3[[#This Row],[OLINGAN NARXI $]]-Таблица3[[#This Row],[RASXOD]]</f>
        <v>-28</v>
      </c>
      <c r="O2" s="199" t="s">
        <v>56</v>
      </c>
    </row>
    <row r="3" spans="1:15" s="205" customFormat="1" x14ac:dyDescent="0.3">
      <c r="A3" s="218">
        <v>2</v>
      </c>
      <c r="B3" s="198" t="s">
        <v>16</v>
      </c>
      <c r="C3" s="199" t="s">
        <v>157</v>
      </c>
      <c r="D3" s="200" t="s">
        <v>21</v>
      </c>
      <c r="E3" s="200" t="s">
        <v>15</v>
      </c>
      <c r="F3" s="201">
        <v>354794862282753</v>
      </c>
      <c r="G3" s="200"/>
      <c r="H3" s="202">
        <v>45576</v>
      </c>
      <c r="I3" s="203">
        <v>340</v>
      </c>
      <c r="J3" s="203">
        <v>9</v>
      </c>
      <c r="K3" s="202"/>
      <c r="L3" s="204">
        <f>Таблица3[[#This Row],[OLINGAN NARXI $]]+Таблица3[[#This Row],[RASXOD]]</f>
        <v>349</v>
      </c>
      <c r="M3" s="203"/>
      <c r="N3" s="203">
        <f>Таблица3[[#This Row],[SOTILGAN NARXI]]-Таблица3[[#This Row],[OLINGAN NARXI $]]-Таблица3[[#This Row],[RASXOD]]</f>
        <v>-349</v>
      </c>
      <c r="O3" s="199" t="s">
        <v>156</v>
      </c>
    </row>
    <row r="4" spans="1:15" s="205" customFormat="1" x14ac:dyDescent="0.3">
      <c r="A4" s="218">
        <v>3</v>
      </c>
      <c r="B4" s="245" t="s">
        <v>13</v>
      </c>
      <c r="C4" s="246" t="s">
        <v>346</v>
      </c>
      <c r="D4" s="247" t="s">
        <v>18</v>
      </c>
      <c r="E4" s="247" t="s">
        <v>15</v>
      </c>
      <c r="F4" s="248"/>
      <c r="G4" s="200" t="s">
        <v>43</v>
      </c>
      <c r="H4" s="202">
        <v>45601</v>
      </c>
      <c r="I4" s="203">
        <v>0</v>
      </c>
      <c r="J4" s="203"/>
      <c r="K4" s="202"/>
      <c r="L4" s="204">
        <f>Таблица3[[#This Row],[OLINGAN NARXI $]]+Таблица3[[#This Row],[RASXOD]]</f>
        <v>0</v>
      </c>
      <c r="M4" s="203"/>
      <c r="N4" s="203">
        <f>Таблица3[[#This Row],[SOTILGAN NARXI]]-Таблица3[[#This Row],[OLINGAN NARXI $]]-Таблица3[[#This Row],[RASXOD]]</f>
        <v>0</v>
      </c>
      <c r="O4" s="199" t="s">
        <v>345</v>
      </c>
    </row>
    <row r="5" spans="1:15" s="205" customFormat="1" x14ac:dyDescent="0.3">
      <c r="A5" s="218">
        <v>4</v>
      </c>
      <c r="B5" s="198" t="s">
        <v>13</v>
      </c>
      <c r="C5" s="199" t="s">
        <v>384</v>
      </c>
      <c r="D5" s="200" t="s">
        <v>93</v>
      </c>
      <c r="E5" s="200" t="s">
        <v>15</v>
      </c>
      <c r="F5" s="201">
        <v>353561330941786</v>
      </c>
      <c r="G5" s="200"/>
      <c r="H5" s="202">
        <v>45604</v>
      </c>
      <c r="I5" s="203">
        <v>225</v>
      </c>
      <c r="J5" s="203">
        <v>12</v>
      </c>
      <c r="K5" s="202"/>
      <c r="L5" s="204">
        <f>Таблица3[[#This Row],[OLINGAN NARXI $]]+Таблица3[[#This Row],[RASXOD]]</f>
        <v>237</v>
      </c>
      <c r="M5" s="203"/>
      <c r="N5" s="203">
        <f>Таблица3[[#This Row],[SOTILGAN NARXI]]-Таблица3[[#This Row],[OLINGAN NARXI $]]-Таблица3[[#This Row],[RASXOD]]</f>
        <v>-237</v>
      </c>
      <c r="O5" s="199" t="s">
        <v>19</v>
      </c>
    </row>
    <row r="6" spans="1:15" s="205" customFormat="1" x14ac:dyDescent="0.3">
      <c r="A6" s="218">
        <v>5</v>
      </c>
      <c r="B6" s="198" t="s">
        <v>13</v>
      </c>
      <c r="C6" s="199" t="s">
        <v>117</v>
      </c>
      <c r="D6" s="200" t="s">
        <v>97</v>
      </c>
      <c r="E6" s="200" t="s">
        <v>15</v>
      </c>
      <c r="F6" s="201">
        <v>351424770440177</v>
      </c>
      <c r="G6" s="200"/>
      <c r="H6" s="202">
        <v>45615</v>
      </c>
      <c r="I6" s="203">
        <v>244</v>
      </c>
      <c r="J6" s="203">
        <v>12</v>
      </c>
      <c r="K6" s="202"/>
      <c r="L6" s="204">
        <f>Таблица3[[#This Row],[OLINGAN NARXI $]]+Таблица3[[#This Row],[RASXOD]]</f>
        <v>256</v>
      </c>
      <c r="M6" s="203"/>
      <c r="N6" s="203">
        <f>Таблица3[[#This Row],[SOTILGAN NARXI]]-Таблица3[[#This Row],[OLINGAN NARXI $]]-Таблица3[[#This Row],[RASXOD]]</f>
        <v>-256</v>
      </c>
      <c r="O6" s="199" t="s">
        <v>147</v>
      </c>
    </row>
    <row r="7" spans="1:15" s="205" customFormat="1" x14ac:dyDescent="0.3">
      <c r="A7" s="218">
        <v>6</v>
      </c>
      <c r="B7" s="198" t="s">
        <v>16</v>
      </c>
      <c r="C7" s="199" t="s">
        <v>81</v>
      </c>
      <c r="D7" s="200" t="s">
        <v>21</v>
      </c>
      <c r="E7" s="200" t="s">
        <v>15</v>
      </c>
      <c r="F7" s="201">
        <v>350367275172509</v>
      </c>
      <c r="G7" s="200"/>
      <c r="H7" s="202">
        <v>45650</v>
      </c>
      <c r="I7" s="203">
        <v>450</v>
      </c>
      <c r="J7" s="203">
        <v>18</v>
      </c>
      <c r="K7" s="202"/>
      <c r="L7" s="204">
        <f>Таблица3[[#This Row],[OLINGAN NARXI $]]+Таблица3[[#This Row],[RASXOD]]</f>
        <v>468</v>
      </c>
      <c r="M7" s="203"/>
      <c r="N7" s="203">
        <f>Таблица3[[#This Row],[SOTILGAN NARXI]]-Таблица3[[#This Row],[OLINGAN NARXI $]]-Таблица3[[#This Row],[RASXOD]]</f>
        <v>-468</v>
      </c>
      <c r="O7" s="199" t="s">
        <v>147</v>
      </c>
    </row>
    <row r="8" spans="1:15" s="205" customFormat="1" x14ac:dyDescent="0.3">
      <c r="A8" s="218">
        <v>7</v>
      </c>
      <c r="B8" s="198" t="s">
        <v>13</v>
      </c>
      <c r="C8" s="199" t="s">
        <v>117</v>
      </c>
      <c r="D8" s="200" t="s">
        <v>93</v>
      </c>
      <c r="E8" s="200" t="s">
        <v>15</v>
      </c>
      <c r="F8" s="201">
        <v>351424774751827</v>
      </c>
      <c r="G8" s="200" t="s">
        <v>556</v>
      </c>
      <c r="H8" s="202">
        <v>45637</v>
      </c>
      <c r="I8" s="203">
        <v>155</v>
      </c>
      <c r="J8" s="203"/>
      <c r="K8" s="202"/>
      <c r="L8" s="204">
        <f>Таблица3[[#This Row],[OLINGAN NARXI $]]+Таблица3[[#This Row],[RASXOD]]</f>
        <v>155</v>
      </c>
      <c r="M8" s="203"/>
      <c r="N8" s="203">
        <f>Таблица3[[#This Row],[SOTILGAN NARXI]]-Таблица3[[#This Row],[OLINGAN NARXI $]]-Таблица3[[#This Row],[RASXOD]]</f>
        <v>-155</v>
      </c>
      <c r="O8" s="199" t="s">
        <v>628</v>
      </c>
    </row>
    <row r="9" spans="1:15" s="205" customFormat="1" x14ac:dyDescent="0.3">
      <c r="A9" s="218">
        <v>8</v>
      </c>
      <c r="B9" s="289" t="s">
        <v>16</v>
      </c>
      <c r="C9" s="290" t="s">
        <v>452</v>
      </c>
      <c r="D9" s="291" t="s">
        <v>21</v>
      </c>
      <c r="E9" s="291" t="s">
        <v>15</v>
      </c>
      <c r="F9" s="292">
        <v>353568259362357</v>
      </c>
      <c r="G9" s="200"/>
      <c r="H9" s="202">
        <v>45685</v>
      </c>
      <c r="I9" s="203">
        <v>190</v>
      </c>
      <c r="J9" s="203"/>
      <c r="K9" s="202"/>
      <c r="L9" s="204">
        <f>Таблица3[[#This Row],[OLINGAN NARXI $]]+Таблица3[[#This Row],[RASXOD]]</f>
        <v>190</v>
      </c>
      <c r="M9" s="203"/>
      <c r="N9" s="203">
        <f>Таблица3[[#This Row],[SOTILGAN NARXI]]-Таблица3[[#This Row],[OLINGAN NARXI $]]-Таблица3[[#This Row],[RASXOD]]</f>
        <v>-190</v>
      </c>
      <c r="O9" s="199"/>
    </row>
    <row r="10" spans="1:15" s="205" customFormat="1" ht="14.25" customHeight="1" x14ac:dyDescent="0.3">
      <c r="A10" s="218">
        <v>9</v>
      </c>
      <c r="B10" s="198" t="s">
        <v>13</v>
      </c>
      <c r="C10" s="199" t="s">
        <v>502</v>
      </c>
      <c r="D10" s="200" t="s">
        <v>830</v>
      </c>
      <c r="E10" s="200" t="s">
        <v>15</v>
      </c>
      <c r="F10" s="201">
        <v>351747954419280</v>
      </c>
      <c r="G10" s="200"/>
      <c r="H10" s="202">
        <v>45690</v>
      </c>
      <c r="I10" s="203">
        <v>450</v>
      </c>
      <c r="J10" s="203">
        <v>23</v>
      </c>
      <c r="K10" s="202"/>
      <c r="L10" s="204">
        <f>Таблица3[[#This Row],[OLINGAN NARXI $]]+Таблица3[[#This Row],[RASXOD]]</f>
        <v>473</v>
      </c>
      <c r="M10" s="203"/>
      <c r="N10" s="203">
        <f>Таблица3[[#This Row],[SOTILGAN NARXI]]-Таблица3[[#This Row],[OLINGAN NARXI $]]-Таблица3[[#This Row],[RASXOD]]</f>
        <v>-473</v>
      </c>
      <c r="O10" s="199" t="s">
        <v>147</v>
      </c>
    </row>
    <row r="11" spans="1:15" s="205" customFormat="1" x14ac:dyDescent="0.3">
      <c r="A11" s="218">
        <v>10</v>
      </c>
      <c r="B11" s="198" t="s">
        <v>13</v>
      </c>
      <c r="C11" s="199" t="s">
        <v>563</v>
      </c>
      <c r="D11" s="200" t="s">
        <v>21</v>
      </c>
      <c r="E11" s="200" t="s">
        <v>15</v>
      </c>
      <c r="F11" s="201">
        <v>352019422358188</v>
      </c>
      <c r="G11" s="200"/>
      <c r="H11" s="202">
        <v>45717</v>
      </c>
      <c r="I11" s="203">
        <v>400</v>
      </c>
      <c r="J11" s="203"/>
      <c r="K11" s="202"/>
      <c r="L11" s="204">
        <f>Таблица3[[#This Row],[OLINGAN NARXI $]]+Таблица3[[#This Row],[RASXOD]]</f>
        <v>400</v>
      </c>
      <c r="M11" s="203"/>
      <c r="N11" s="203">
        <f>Таблица3[[#This Row],[SOTILGAN NARXI]]-Таблица3[[#This Row],[OLINGAN NARXI $]]-Таблица3[[#This Row],[RASXOD]]</f>
        <v>-400</v>
      </c>
      <c r="O11" s="199" t="s">
        <v>262</v>
      </c>
    </row>
    <row r="12" spans="1:15" s="205" customFormat="1" x14ac:dyDescent="0.3">
      <c r="A12" s="218">
        <v>11</v>
      </c>
      <c r="B12" s="198" t="s">
        <v>13</v>
      </c>
      <c r="C12" s="249" t="s">
        <v>455</v>
      </c>
      <c r="D12" s="200" t="s">
        <v>612</v>
      </c>
      <c r="E12" s="200" t="s">
        <v>15</v>
      </c>
      <c r="F12" s="201">
        <v>352412370362528</v>
      </c>
      <c r="G12" s="200" t="s">
        <v>636</v>
      </c>
      <c r="H12" s="202">
        <v>45739</v>
      </c>
      <c r="I12" s="203">
        <v>265</v>
      </c>
      <c r="J12" s="203">
        <v>58.3</v>
      </c>
      <c r="K12" s="202"/>
      <c r="L12" s="204">
        <f>Таблица3[[#This Row],[OLINGAN NARXI $]]+Таблица3[[#This Row],[RASXOD]]</f>
        <v>323.3</v>
      </c>
      <c r="M12" s="203"/>
      <c r="N12" s="203">
        <f>Таблица3[[#This Row],[SOTILGAN NARXI]]-Таблица3[[#This Row],[OLINGAN NARXI $]]-Таблица3[[#This Row],[RASXOD]]</f>
        <v>-323.3</v>
      </c>
      <c r="O12" s="199" t="s">
        <v>147</v>
      </c>
    </row>
    <row r="13" spans="1:15" s="205" customFormat="1" x14ac:dyDescent="0.3">
      <c r="A13" s="218">
        <v>12</v>
      </c>
      <c r="B13" s="198" t="s">
        <v>13</v>
      </c>
      <c r="C13" s="249" t="s">
        <v>370</v>
      </c>
      <c r="D13" s="200" t="s">
        <v>89</v>
      </c>
      <c r="E13" s="200" t="s">
        <v>15</v>
      </c>
      <c r="F13" s="201">
        <v>355867980819141</v>
      </c>
      <c r="G13" s="200"/>
      <c r="H13" s="202">
        <v>45739</v>
      </c>
      <c r="I13" s="203">
        <v>280</v>
      </c>
      <c r="J13" s="203">
        <v>27</v>
      </c>
      <c r="K13" s="202"/>
      <c r="L13" s="204">
        <f>Таблица3[[#This Row],[OLINGAN NARXI $]]+Таблица3[[#This Row],[RASXOD]]</f>
        <v>307</v>
      </c>
      <c r="M13" s="203"/>
      <c r="N13" s="203">
        <f>Таблица3[[#This Row],[SOTILGAN NARXI]]-Таблица3[[#This Row],[OLINGAN NARXI $]]-Таблица3[[#This Row],[RASXOD]]</f>
        <v>-307</v>
      </c>
      <c r="O13" s="199" t="s">
        <v>147</v>
      </c>
    </row>
    <row r="14" spans="1:15" s="205" customFormat="1" x14ac:dyDescent="0.3">
      <c r="A14" s="218">
        <v>13</v>
      </c>
      <c r="B14" s="319" t="s">
        <v>1015</v>
      </c>
      <c r="C14" s="320">
        <v>3</v>
      </c>
      <c r="D14" s="321" t="s">
        <v>18</v>
      </c>
      <c r="E14" s="321" t="s">
        <v>22</v>
      </c>
      <c r="F14" s="322">
        <v>357173348394663</v>
      </c>
      <c r="G14" s="200"/>
      <c r="H14" s="202">
        <v>45757</v>
      </c>
      <c r="I14" s="203">
        <v>30</v>
      </c>
      <c r="J14" s="203"/>
      <c r="K14" s="202"/>
      <c r="L14" s="204">
        <f>Таблица3[[#This Row],[OLINGAN NARXI $]]+Таблица3[[#This Row],[RASXOD]]</f>
        <v>30</v>
      </c>
      <c r="M14" s="203"/>
      <c r="N14" s="203">
        <f>Таблица3[[#This Row],[SOTILGAN NARXI]]-Таблица3[[#This Row],[OLINGAN NARXI $]]-Таблица3[[#This Row],[RASXOD]]</f>
        <v>-30</v>
      </c>
      <c r="O14" s="199" t="s">
        <v>147</v>
      </c>
    </row>
    <row r="15" spans="1:15" s="205" customFormat="1" x14ac:dyDescent="0.3">
      <c r="A15" s="218">
        <v>14</v>
      </c>
      <c r="B15" s="198" t="s">
        <v>1020</v>
      </c>
      <c r="C15" s="199">
        <v>2</v>
      </c>
      <c r="D15" s="200" t="s">
        <v>21</v>
      </c>
      <c r="E15" s="200" t="s">
        <v>15</v>
      </c>
      <c r="F15" s="201"/>
      <c r="G15" s="200"/>
      <c r="H15" s="202">
        <v>45758</v>
      </c>
      <c r="I15" s="203">
        <v>16</v>
      </c>
      <c r="J15" s="203"/>
      <c r="K15" s="202"/>
      <c r="L15" s="204">
        <f>Таблица3[[#This Row],[OLINGAN NARXI $]]+Таблица3[[#This Row],[RASXOD]]</f>
        <v>16</v>
      </c>
      <c r="M15" s="203"/>
      <c r="N15" s="203">
        <f>Таблица3[[#This Row],[SOTILGAN NARXI]]-Таблица3[[#This Row],[OLINGAN NARXI $]]-Таблица3[[#This Row],[RASXOD]]</f>
        <v>-16</v>
      </c>
      <c r="O15" s="199"/>
    </row>
    <row r="16" spans="1:15" s="205" customFormat="1" x14ac:dyDescent="0.3">
      <c r="A16" s="218">
        <v>15</v>
      </c>
      <c r="B16" s="198" t="s">
        <v>13</v>
      </c>
      <c r="C16" s="199" t="s">
        <v>563</v>
      </c>
      <c r="D16" s="200" t="s">
        <v>97</v>
      </c>
      <c r="E16" s="200" t="s">
        <v>15</v>
      </c>
      <c r="F16" s="201">
        <v>352019421037155</v>
      </c>
      <c r="G16" s="200"/>
      <c r="H16" s="202">
        <v>45764</v>
      </c>
      <c r="I16" s="203">
        <v>360</v>
      </c>
      <c r="J16" s="203">
        <v>27</v>
      </c>
      <c r="K16" s="202"/>
      <c r="L16" s="204">
        <f>Таблица3[[#This Row],[OLINGAN NARXI $]]+Таблица3[[#This Row],[RASXOD]]</f>
        <v>387</v>
      </c>
      <c r="M16" s="203"/>
      <c r="N16" s="203">
        <f>Таблица3[[#This Row],[SOTILGAN NARXI]]-Таблица3[[#This Row],[OLINGAN NARXI $]]-Таблица3[[#This Row],[RASXOD]]</f>
        <v>-387</v>
      </c>
      <c r="O16" s="199" t="s">
        <v>147</v>
      </c>
    </row>
    <row r="17" spans="1:15" s="205" customFormat="1" x14ac:dyDescent="0.3">
      <c r="A17" s="218">
        <v>16</v>
      </c>
      <c r="B17" s="198" t="s">
        <v>13</v>
      </c>
      <c r="C17" s="199" t="s">
        <v>370</v>
      </c>
      <c r="D17" s="200" t="s">
        <v>21</v>
      </c>
      <c r="E17" s="200" t="s">
        <v>15</v>
      </c>
      <c r="F17" s="201">
        <v>351357510395311</v>
      </c>
      <c r="G17" s="200"/>
      <c r="H17" s="202">
        <v>45772</v>
      </c>
      <c r="I17" s="203">
        <v>320</v>
      </c>
      <c r="J17" s="203"/>
      <c r="K17" s="202"/>
      <c r="L17" s="204">
        <f>Таблица3[[#This Row],[OLINGAN NARXI $]]+Таблица3[[#This Row],[RASXOD]]</f>
        <v>320</v>
      </c>
      <c r="M17" s="203"/>
      <c r="N17" s="203">
        <f>Таблица3[[#This Row],[SOTILGAN NARXI]]-Таблица3[[#This Row],[OLINGAN NARXI $]]-Таблица3[[#This Row],[RASXOD]]</f>
        <v>-320</v>
      </c>
      <c r="O17" s="199" t="s">
        <v>147</v>
      </c>
    </row>
    <row r="18" spans="1:15" s="205" customFormat="1" x14ac:dyDescent="0.3">
      <c r="A18" s="218">
        <v>17</v>
      </c>
      <c r="B18" s="198" t="s">
        <v>13</v>
      </c>
      <c r="C18" s="199" t="s">
        <v>1082</v>
      </c>
      <c r="D18" s="200" t="s">
        <v>217</v>
      </c>
      <c r="E18" s="200" t="s">
        <v>15</v>
      </c>
      <c r="F18" s="201">
        <v>355374102947025</v>
      </c>
      <c r="G18" s="200" t="s">
        <v>61</v>
      </c>
      <c r="H18" s="202">
        <v>45772</v>
      </c>
      <c r="I18" s="203">
        <v>180</v>
      </c>
      <c r="J18" s="203">
        <v>43</v>
      </c>
      <c r="K18" s="202"/>
      <c r="L18" s="204">
        <f>Таблица3[[#This Row],[OLINGAN NARXI $]]+Таблица3[[#This Row],[RASXOD]]</f>
        <v>223</v>
      </c>
      <c r="M18" s="203"/>
      <c r="N18" s="203">
        <f>Таблица3[[#This Row],[SOTILGAN NARXI]]-Таблица3[[#This Row],[OLINGAN NARXI $]]-Таблица3[[#This Row],[RASXOD]]</f>
        <v>-223</v>
      </c>
      <c r="O18" s="199" t="s">
        <v>147</v>
      </c>
    </row>
    <row r="19" spans="1:15" s="205" customFormat="1" x14ac:dyDescent="0.3">
      <c r="A19" s="218">
        <v>18</v>
      </c>
      <c r="B19" s="353" t="s">
        <v>16</v>
      </c>
      <c r="C19" s="354" t="s">
        <v>132</v>
      </c>
      <c r="D19" s="355" t="s">
        <v>21</v>
      </c>
      <c r="E19" s="355" t="s">
        <v>15</v>
      </c>
      <c r="F19" s="356">
        <v>357076833165607</v>
      </c>
      <c r="G19" s="200" t="s">
        <v>1537</v>
      </c>
      <c r="H19" s="202">
        <v>45777</v>
      </c>
      <c r="I19" s="203">
        <v>220</v>
      </c>
      <c r="J19" s="203">
        <v>31.5</v>
      </c>
      <c r="K19" s="202"/>
      <c r="L19" s="204">
        <f>Таблица3[[#This Row],[OLINGAN NARXI $]]+Таблица3[[#This Row],[RASXOD]]</f>
        <v>251.5</v>
      </c>
      <c r="M19" s="203"/>
      <c r="N19" s="203">
        <f>Таблица3[[#This Row],[SOTILGAN NARXI]]-Таблица3[[#This Row],[OLINGAN NARXI $]]-Таблица3[[#This Row],[RASXOD]]</f>
        <v>-251.5</v>
      </c>
      <c r="O19" s="199"/>
    </row>
    <row r="20" spans="1:15" s="205" customFormat="1" x14ac:dyDescent="0.3">
      <c r="A20" s="218">
        <v>19</v>
      </c>
      <c r="B20" s="306" t="s">
        <v>16</v>
      </c>
      <c r="C20" s="307" t="s">
        <v>1144</v>
      </c>
      <c r="D20" s="308" t="s">
        <v>21</v>
      </c>
      <c r="E20" s="308" t="s">
        <v>15</v>
      </c>
      <c r="F20" s="309">
        <v>358579641557435</v>
      </c>
      <c r="G20" s="200"/>
      <c r="H20" s="202">
        <v>45780</v>
      </c>
      <c r="I20" s="203">
        <v>1080</v>
      </c>
      <c r="J20" s="203"/>
      <c r="K20" s="202"/>
      <c r="L20" s="204">
        <f>Таблица3[[#This Row],[OLINGAN NARXI $]]+Таблица3[[#This Row],[RASXOD]]</f>
        <v>1080</v>
      </c>
      <c r="M20" s="203"/>
      <c r="N20" s="203">
        <f>Таблица3[[#This Row],[SOTILGAN NARXI]]-Таблица3[[#This Row],[OLINGAN NARXI $]]-Таблица3[[#This Row],[RASXOD]]</f>
        <v>-1080</v>
      </c>
      <c r="O20" s="199" t="s">
        <v>1145</v>
      </c>
    </row>
    <row r="21" spans="1:15" s="205" customFormat="1" x14ac:dyDescent="0.3">
      <c r="A21" s="218">
        <v>20</v>
      </c>
      <c r="B21" s="198" t="s">
        <v>207</v>
      </c>
      <c r="C21" s="249" t="s">
        <v>1069</v>
      </c>
      <c r="D21" s="200" t="s">
        <v>1070</v>
      </c>
      <c r="E21" s="200" t="s">
        <v>15</v>
      </c>
      <c r="F21" s="201"/>
      <c r="G21" s="200"/>
      <c r="H21" s="202">
        <v>45781</v>
      </c>
      <c r="I21" s="203">
        <v>600</v>
      </c>
      <c r="J21" s="203"/>
      <c r="K21" s="202"/>
      <c r="L21" s="204">
        <f>Таблица3[[#This Row],[OLINGAN NARXI $]]+Таблица3[[#This Row],[RASXOD]]</f>
        <v>600</v>
      </c>
      <c r="M21" s="203"/>
      <c r="N21" s="203">
        <f>Таблица3[[#This Row],[SOTILGAN NARXI]]-Таблица3[[#This Row],[OLINGAN NARXI $]]-Таблица3[[#This Row],[RASXOD]]</f>
        <v>-600</v>
      </c>
      <c r="O21" s="199" t="s">
        <v>1071</v>
      </c>
    </row>
    <row r="22" spans="1:15" s="205" customFormat="1" x14ac:dyDescent="0.3">
      <c r="A22" s="218">
        <v>21</v>
      </c>
      <c r="B22" s="198" t="s">
        <v>13</v>
      </c>
      <c r="C22" s="199" t="s">
        <v>119</v>
      </c>
      <c r="D22" s="200" t="s">
        <v>21</v>
      </c>
      <c r="E22" s="200" t="s">
        <v>15</v>
      </c>
      <c r="F22" s="201">
        <v>350345220080233</v>
      </c>
      <c r="G22" s="200"/>
      <c r="H22" s="202">
        <v>45789</v>
      </c>
      <c r="I22" s="203">
        <v>245</v>
      </c>
      <c r="J22" s="203">
        <v>26</v>
      </c>
      <c r="K22" s="202"/>
      <c r="L22" s="204">
        <f>Таблица3[[#This Row],[OLINGAN NARXI $]]+Таблица3[[#This Row],[RASXOD]]</f>
        <v>271</v>
      </c>
      <c r="M22" s="203"/>
      <c r="N22" s="203">
        <f>Таблица3[[#This Row],[SOTILGAN NARXI]]-Таблица3[[#This Row],[OLINGAN NARXI $]]-Таблица3[[#This Row],[RASXOD]]</f>
        <v>-271</v>
      </c>
      <c r="O22" s="199" t="s">
        <v>147</v>
      </c>
    </row>
    <row r="23" spans="1:15" s="205" customFormat="1" x14ac:dyDescent="0.3">
      <c r="A23" s="218">
        <v>22</v>
      </c>
      <c r="B23" s="198" t="s">
        <v>16</v>
      </c>
      <c r="C23" s="199" t="s">
        <v>83</v>
      </c>
      <c r="D23" s="200" t="s">
        <v>21</v>
      </c>
      <c r="E23" s="200" t="s">
        <v>15</v>
      </c>
      <c r="F23" s="201">
        <v>350165056617340</v>
      </c>
      <c r="G23" s="200" t="s">
        <v>556</v>
      </c>
      <c r="H23" s="202">
        <v>45789</v>
      </c>
      <c r="I23" s="203">
        <v>350</v>
      </c>
      <c r="J23" s="203">
        <v>16</v>
      </c>
      <c r="K23" s="202"/>
      <c r="L23" s="204">
        <f>Таблица3[[#This Row],[OLINGAN NARXI $]]+Таблица3[[#This Row],[RASXOD]]</f>
        <v>366</v>
      </c>
      <c r="M23" s="203"/>
      <c r="N23" s="203">
        <f>Таблица3[[#This Row],[SOTILGAN NARXI]]-Таблица3[[#This Row],[OLINGAN NARXI $]]-Таблица3[[#This Row],[RASXOD]]</f>
        <v>-366</v>
      </c>
      <c r="O23" s="199" t="s">
        <v>147</v>
      </c>
    </row>
    <row r="24" spans="1:15" s="205" customFormat="1" x14ac:dyDescent="0.3">
      <c r="A24" s="218">
        <v>23</v>
      </c>
      <c r="B24" s="198" t="s">
        <v>16</v>
      </c>
      <c r="C24" s="199" t="s">
        <v>83</v>
      </c>
      <c r="D24" s="200" t="s">
        <v>65</v>
      </c>
      <c r="E24" s="200" t="s">
        <v>15</v>
      </c>
      <c r="F24" s="201">
        <v>352544478244586</v>
      </c>
      <c r="G24" s="200"/>
      <c r="H24" s="202">
        <v>45789</v>
      </c>
      <c r="I24" s="203">
        <v>365</v>
      </c>
      <c r="J24" s="203">
        <v>16</v>
      </c>
      <c r="K24" s="202"/>
      <c r="L24" s="204">
        <f>Таблица3[[#This Row],[OLINGAN NARXI $]]+Таблица3[[#This Row],[RASXOD]]</f>
        <v>381</v>
      </c>
      <c r="M24" s="203"/>
      <c r="N24" s="203">
        <f>Таблица3[[#This Row],[SOTILGAN NARXI]]-Таблица3[[#This Row],[OLINGAN NARXI $]]-Таблица3[[#This Row],[RASXOD]]</f>
        <v>-381</v>
      </c>
      <c r="O24" s="199" t="s">
        <v>147</v>
      </c>
    </row>
    <row r="25" spans="1:15" s="205" customFormat="1" x14ac:dyDescent="0.3">
      <c r="A25" s="218">
        <v>24</v>
      </c>
      <c r="B25" s="198" t="s">
        <v>13</v>
      </c>
      <c r="C25" s="199" t="s">
        <v>1200</v>
      </c>
      <c r="D25" s="200" t="s">
        <v>107</v>
      </c>
      <c r="E25" s="200" t="s">
        <v>15</v>
      </c>
      <c r="F25" s="201">
        <v>351886880576324</v>
      </c>
      <c r="G25" s="200"/>
      <c r="H25" s="202">
        <v>45789</v>
      </c>
      <c r="I25" s="203">
        <v>540</v>
      </c>
      <c r="J25" s="203"/>
      <c r="K25" s="202"/>
      <c r="L25" s="204">
        <f>Таблица3[[#This Row],[OLINGAN NARXI $]]+Таблица3[[#This Row],[RASXOD]]</f>
        <v>540</v>
      </c>
      <c r="M25" s="203"/>
      <c r="N25" s="203">
        <f>Таблица3[[#This Row],[SOTILGAN NARXI]]-Таблица3[[#This Row],[OLINGAN NARXI $]]-Таблица3[[#This Row],[RASXOD]]</f>
        <v>-540</v>
      </c>
      <c r="O25" s="199" t="s">
        <v>147</v>
      </c>
    </row>
    <row r="26" spans="1:15" s="205" customFormat="1" x14ac:dyDescent="0.3">
      <c r="A26" s="218">
        <v>25</v>
      </c>
      <c r="B26" s="198" t="s">
        <v>13</v>
      </c>
      <c r="C26" s="199" t="s">
        <v>370</v>
      </c>
      <c r="D26" s="200" t="s">
        <v>18</v>
      </c>
      <c r="E26" s="200" t="s">
        <v>15</v>
      </c>
      <c r="F26" s="201">
        <v>351357511777533</v>
      </c>
      <c r="G26" s="200"/>
      <c r="H26" s="202">
        <v>45790</v>
      </c>
      <c r="I26" s="203">
        <v>270</v>
      </c>
      <c r="J26" s="203">
        <v>16</v>
      </c>
      <c r="K26" s="202"/>
      <c r="L26" s="204">
        <f>Таблица3[[#This Row],[OLINGAN NARXI $]]+Таблица3[[#This Row],[RASXOD]]</f>
        <v>286</v>
      </c>
      <c r="M26" s="203"/>
      <c r="N26" s="203">
        <f>Таблица3[[#This Row],[SOTILGAN NARXI]]-Таблица3[[#This Row],[OLINGAN NARXI $]]-Таблица3[[#This Row],[RASXOD]]</f>
        <v>-286</v>
      </c>
      <c r="O26" s="199" t="s">
        <v>147</v>
      </c>
    </row>
    <row r="27" spans="1:15" s="205" customFormat="1" x14ac:dyDescent="0.3">
      <c r="A27" s="218">
        <v>26</v>
      </c>
      <c r="B27" s="198" t="s">
        <v>16</v>
      </c>
      <c r="C27" s="199" t="s">
        <v>1084</v>
      </c>
      <c r="D27" s="200" t="s">
        <v>18</v>
      </c>
      <c r="E27" s="200" t="s">
        <v>15</v>
      </c>
      <c r="F27" s="201">
        <v>356303749493001</v>
      </c>
      <c r="G27" s="200"/>
      <c r="H27" s="202">
        <v>45793</v>
      </c>
      <c r="I27" s="203">
        <v>670</v>
      </c>
      <c r="J27" s="203">
        <v>33</v>
      </c>
      <c r="K27" s="202"/>
      <c r="L27" s="204">
        <f>Таблица3[[#This Row],[OLINGAN NARXI $]]+Таблица3[[#This Row],[RASXOD]]</f>
        <v>703</v>
      </c>
      <c r="M27" s="203"/>
      <c r="N27" s="203">
        <f>Таблица3[[#This Row],[SOTILGAN NARXI]]-Таблица3[[#This Row],[OLINGAN NARXI $]]-Таблица3[[#This Row],[RASXOD]]</f>
        <v>-703</v>
      </c>
      <c r="O27" s="199" t="s">
        <v>147</v>
      </c>
    </row>
    <row r="28" spans="1:15" s="205" customFormat="1" x14ac:dyDescent="0.3">
      <c r="A28" s="218">
        <v>27</v>
      </c>
      <c r="B28" s="198" t="s">
        <v>16</v>
      </c>
      <c r="C28" s="199" t="s">
        <v>83</v>
      </c>
      <c r="D28" s="200" t="s">
        <v>65</v>
      </c>
      <c r="E28" s="200" t="s">
        <v>15</v>
      </c>
      <c r="F28" s="201">
        <v>355471426138412</v>
      </c>
      <c r="G28" s="200" t="s">
        <v>636</v>
      </c>
      <c r="H28" s="202">
        <v>45794</v>
      </c>
      <c r="I28" s="203">
        <v>365</v>
      </c>
      <c r="J28" s="203">
        <v>82.7</v>
      </c>
      <c r="K28" s="202"/>
      <c r="L28" s="204">
        <f>Таблица3[[#This Row],[OLINGAN NARXI $]]+Таблица3[[#This Row],[RASXOD]]</f>
        <v>447.7</v>
      </c>
      <c r="M28" s="203"/>
      <c r="N28" s="203">
        <f>Таблица3[[#This Row],[SOTILGAN NARXI]]-Таблица3[[#This Row],[OLINGAN NARXI $]]-Таблица3[[#This Row],[RASXOD]]</f>
        <v>-447.7</v>
      </c>
      <c r="O28" s="199" t="s">
        <v>147</v>
      </c>
    </row>
    <row r="29" spans="1:15" s="205" customFormat="1" x14ac:dyDescent="0.3">
      <c r="A29" s="218">
        <v>28</v>
      </c>
      <c r="B29" s="198" t="s">
        <v>13</v>
      </c>
      <c r="C29" s="199" t="s">
        <v>502</v>
      </c>
      <c r="D29" s="200" t="s">
        <v>21</v>
      </c>
      <c r="E29" s="200" t="s">
        <v>15</v>
      </c>
      <c r="F29" s="201">
        <v>351747951097600</v>
      </c>
      <c r="G29" s="200"/>
      <c r="H29" s="202">
        <v>45803</v>
      </c>
      <c r="I29" s="203">
        <v>400</v>
      </c>
      <c r="J29" s="203"/>
      <c r="K29" s="202"/>
      <c r="L29" s="204">
        <f>Таблица3[[#This Row],[OLINGAN NARXI $]]+Таблица3[[#This Row],[RASXOD]]</f>
        <v>400</v>
      </c>
      <c r="M29" s="203"/>
      <c r="N29" s="203">
        <f>Таблица3[[#This Row],[SOTILGAN NARXI]]-Таблица3[[#This Row],[OLINGAN NARXI $]]-Таблица3[[#This Row],[RASXOD]]</f>
        <v>-400</v>
      </c>
      <c r="O29" s="199" t="s">
        <v>262</v>
      </c>
    </row>
    <row r="30" spans="1:15" s="205" customFormat="1" x14ac:dyDescent="0.3">
      <c r="A30" s="218">
        <v>29</v>
      </c>
      <c r="B30" s="245" t="s">
        <v>16</v>
      </c>
      <c r="C30" s="246" t="s">
        <v>319</v>
      </c>
      <c r="D30" s="247" t="s">
        <v>35</v>
      </c>
      <c r="E30" s="247" t="s">
        <v>15</v>
      </c>
      <c r="F30" s="248">
        <v>357676154337329</v>
      </c>
      <c r="G30" s="200"/>
      <c r="H30" s="202">
        <v>45806</v>
      </c>
      <c r="I30" s="203">
        <v>240</v>
      </c>
      <c r="J30" s="203"/>
      <c r="K30" s="202"/>
      <c r="L30" s="204">
        <f>Таблица3[[#This Row],[OLINGAN NARXI $]]+Таблица3[[#This Row],[RASXOD]]</f>
        <v>240</v>
      </c>
      <c r="M30" s="203"/>
      <c r="N30" s="203">
        <f>Таблица3[[#This Row],[SOTILGAN NARXI]]-Таблица3[[#This Row],[OLINGAN NARXI $]]-Таблица3[[#This Row],[RASXOD]]</f>
        <v>-240</v>
      </c>
      <c r="O30" s="199" t="s">
        <v>19</v>
      </c>
    </row>
    <row r="31" spans="1:15" s="205" customFormat="1" x14ac:dyDescent="0.3">
      <c r="A31" s="218">
        <v>30</v>
      </c>
      <c r="B31" s="198" t="s">
        <v>13</v>
      </c>
      <c r="C31" s="199" t="s">
        <v>255</v>
      </c>
      <c r="D31" s="200" t="s">
        <v>26</v>
      </c>
      <c r="E31" s="200" t="s">
        <v>15</v>
      </c>
      <c r="F31" s="201">
        <v>350683211671952</v>
      </c>
      <c r="G31" s="200"/>
      <c r="H31" s="202">
        <v>45806</v>
      </c>
      <c r="I31" s="203">
        <v>620</v>
      </c>
      <c r="J31" s="203"/>
      <c r="K31" s="202"/>
      <c r="L31" s="204">
        <f>Таблица3[[#This Row],[OLINGAN NARXI $]]+Таблица3[[#This Row],[RASXOD]]</f>
        <v>620</v>
      </c>
      <c r="M31" s="203"/>
      <c r="N31" s="203">
        <f>Таблица3[[#This Row],[SOTILGAN NARXI]]-Таблица3[[#This Row],[OLINGAN NARXI $]]-Таблица3[[#This Row],[RASXOD]]</f>
        <v>-620</v>
      </c>
      <c r="O31" s="199" t="s">
        <v>1272</v>
      </c>
    </row>
    <row r="32" spans="1:15" s="205" customFormat="1" x14ac:dyDescent="0.3">
      <c r="A32" s="218">
        <v>31</v>
      </c>
      <c r="B32" s="198" t="s">
        <v>13</v>
      </c>
      <c r="C32" s="199" t="s">
        <v>1055</v>
      </c>
      <c r="D32" s="200"/>
      <c r="E32" s="200" t="s">
        <v>15</v>
      </c>
      <c r="F32" s="201">
        <v>350309332627224</v>
      </c>
      <c r="G32" s="200"/>
      <c r="H32" s="202">
        <v>45813</v>
      </c>
      <c r="I32" s="203">
        <v>365</v>
      </c>
      <c r="J32" s="203"/>
      <c r="K32" s="202"/>
      <c r="L32" s="204">
        <f>Таблица3[[#This Row],[OLINGAN NARXI $]]+Таблица3[[#This Row],[RASXOD]]</f>
        <v>365</v>
      </c>
      <c r="M32" s="203"/>
      <c r="N32" s="203">
        <f>Таблица3[[#This Row],[SOTILGAN NARXI]]-Таблица3[[#This Row],[OLINGAN NARXI $]]-Таблица3[[#This Row],[RASXOD]]</f>
        <v>-365</v>
      </c>
      <c r="O32" s="199" t="s">
        <v>19</v>
      </c>
    </row>
    <row r="33" spans="1:15" s="205" customFormat="1" x14ac:dyDescent="0.3">
      <c r="A33" s="218">
        <v>32</v>
      </c>
      <c r="B33" s="198" t="s">
        <v>13</v>
      </c>
      <c r="C33" s="199" t="s">
        <v>216</v>
      </c>
      <c r="D33" s="200" t="s">
        <v>65</v>
      </c>
      <c r="E33" s="200" t="s">
        <v>15</v>
      </c>
      <c r="F33" s="201">
        <v>355347582172769</v>
      </c>
      <c r="G33" s="200"/>
      <c r="H33" s="202">
        <v>45813</v>
      </c>
      <c r="I33" s="203">
        <v>180</v>
      </c>
      <c r="J33" s="203"/>
      <c r="K33" s="202"/>
      <c r="L33" s="204">
        <f>Таблица3[[#This Row],[OLINGAN NARXI $]]+Таблица3[[#This Row],[RASXOD]]</f>
        <v>180</v>
      </c>
      <c r="M33" s="203"/>
      <c r="N33" s="203">
        <f>Таблица3[[#This Row],[SOTILGAN NARXI]]-Таблица3[[#This Row],[OLINGAN NARXI $]]-Таблица3[[#This Row],[RASXOD]]</f>
        <v>-180</v>
      </c>
      <c r="O33" s="199" t="s">
        <v>19</v>
      </c>
    </row>
    <row r="34" spans="1:15" s="205" customFormat="1" x14ac:dyDescent="0.3">
      <c r="A34" s="218">
        <v>33</v>
      </c>
      <c r="B34" s="198" t="s">
        <v>13</v>
      </c>
      <c r="C34" s="199" t="s">
        <v>255</v>
      </c>
      <c r="D34" s="200" t="s">
        <v>1318</v>
      </c>
      <c r="E34" s="200" t="s">
        <v>15</v>
      </c>
      <c r="F34" s="201">
        <v>350513042831774</v>
      </c>
      <c r="G34" s="200"/>
      <c r="H34" s="202">
        <v>45817</v>
      </c>
      <c r="I34" s="203">
        <v>590</v>
      </c>
      <c r="J34" s="203">
        <v>20</v>
      </c>
      <c r="K34" s="202"/>
      <c r="L34" s="204">
        <f>Таблица3[[#This Row],[OLINGAN NARXI $]]+Таблица3[[#This Row],[RASXOD]]</f>
        <v>610</v>
      </c>
      <c r="M34" s="203"/>
      <c r="N34" s="203">
        <f>Таблица3[[#This Row],[SOTILGAN NARXI]]-Таблица3[[#This Row],[OLINGAN NARXI $]]-Таблица3[[#This Row],[RASXOD]]</f>
        <v>-610</v>
      </c>
      <c r="O34" s="199" t="s">
        <v>1317</v>
      </c>
    </row>
    <row r="35" spans="1:15" s="205" customFormat="1" x14ac:dyDescent="0.3">
      <c r="A35" s="218">
        <v>34</v>
      </c>
      <c r="B35" s="198" t="s">
        <v>13</v>
      </c>
      <c r="C35" s="199" t="s">
        <v>255</v>
      </c>
      <c r="D35" s="200" t="s">
        <v>35</v>
      </c>
      <c r="E35" s="200" t="s">
        <v>15</v>
      </c>
      <c r="F35" s="201">
        <v>350513041395599</v>
      </c>
      <c r="G35" s="200"/>
      <c r="H35" s="202">
        <v>45817</v>
      </c>
      <c r="I35" s="203">
        <v>590</v>
      </c>
      <c r="J35" s="203">
        <v>20</v>
      </c>
      <c r="K35" s="202"/>
      <c r="L35" s="204">
        <f>Таблица3[[#This Row],[OLINGAN NARXI $]]+Таблица3[[#This Row],[RASXOD]]</f>
        <v>610</v>
      </c>
      <c r="M35" s="203"/>
      <c r="N35" s="203">
        <f>Таблица3[[#This Row],[SOTILGAN NARXI]]-Таблица3[[#This Row],[OLINGAN NARXI $]]-Таблица3[[#This Row],[RASXOD]]</f>
        <v>-610</v>
      </c>
      <c r="O35" s="199" t="s">
        <v>1317</v>
      </c>
    </row>
    <row r="36" spans="1:15" s="205" customFormat="1" x14ac:dyDescent="0.3">
      <c r="A36" s="218">
        <v>35</v>
      </c>
      <c r="B36" s="198" t="s">
        <v>13</v>
      </c>
      <c r="C36" s="199" t="s">
        <v>255</v>
      </c>
      <c r="D36" s="200"/>
      <c r="E36" s="200" t="s">
        <v>15</v>
      </c>
      <c r="F36" s="201">
        <v>350513053108065</v>
      </c>
      <c r="G36" s="200"/>
      <c r="H36" s="202">
        <v>45813</v>
      </c>
      <c r="I36" s="203">
        <v>645</v>
      </c>
      <c r="J36" s="203"/>
      <c r="K36" s="202"/>
      <c r="L36" s="204">
        <f>Таблица3[[#This Row],[OLINGAN NARXI $]]+Таблица3[[#This Row],[RASXOD]]</f>
        <v>645</v>
      </c>
      <c r="M36" s="203"/>
      <c r="N36" s="203">
        <f>Таблица3[[#This Row],[SOTILGAN NARXI]]-Таблица3[[#This Row],[OLINGAN NARXI $]]-Таблица3[[#This Row],[RASXOD]]</f>
        <v>-645</v>
      </c>
      <c r="O36" s="199" t="s">
        <v>19</v>
      </c>
    </row>
    <row r="37" spans="1:15" s="205" customFormat="1" x14ac:dyDescent="0.3">
      <c r="A37" s="218">
        <v>36</v>
      </c>
      <c r="B37" s="289" t="s">
        <v>16</v>
      </c>
      <c r="C37" s="290" t="s">
        <v>74</v>
      </c>
      <c r="D37" s="291" t="s">
        <v>18</v>
      </c>
      <c r="E37" s="291" t="s">
        <v>15</v>
      </c>
      <c r="F37" s="292">
        <v>354606981269372</v>
      </c>
      <c r="G37" s="200"/>
      <c r="H37" s="202">
        <v>45820</v>
      </c>
      <c r="I37" s="203">
        <v>550</v>
      </c>
      <c r="J37" s="203"/>
      <c r="K37" s="202"/>
      <c r="L37" s="204">
        <f>Таблица3[[#This Row],[OLINGAN NARXI $]]+Таблица3[[#This Row],[RASXOD]]</f>
        <v>550</v>
      </c>
      <c r="M37" s="203"/>
      <c r="N37" s="203">
        <f>Таблица3[[#This Row],[SOTILGAN NARXI]]-Таблица3[[#This Row],[OLINGAN NARXI $]]-Таблица3[[#This Row],[RASXOD]]</f>
        <v>-550</v>
      </c>
      <c r="O37" s="199" t="s">
        <v>19</v>
      </c>
    </row>
    <row r="38" spans="1:15" s="205" customFormat="1" x14ac:dyDescent="0.3">
      <c r="A38" s="218">
        <v>37</v>
      </c>
      <c r="B38" s="198" t="s">
        <v>13</v>
      </c>
      <c r="C38" s="199" t="s">
        <v>124</v>
      </c>
      <c r="D38" s="200" t="s">
        <v>21</v>
      </c>
      <c r="E38" s="200" t="s">
        <v>15</v>
      </c>
      <c r="F38" s="201">
        <v>355859111238572</v>
      </c>
      <c r="G38" s="200" t="s">
        <v>636</v>
      </c>
      <c r="H38" s="202">
        <v>45820</v>
      </c>
      <c r="I38" s="203">
        <v>280</v>
      </c>
      <c r="J38" s="203">
        <v>35</v>
      </c>
      <c r="K38" s="202"/>
      <c r="L38" s="204">
        <f>Таблица3[[#This Row],[OLINGAN NARXI $]]+Таблица3[[#This Row],[RASXOD]]</f>
        <v>315</v>
      </c>
      <c r="M38" s="203"/>
      <c r="N38" s="203">
        <f>Таблица3[[#This Row],[SOTILGAN NARXI]]-Таблица3[[#This Row],[OLINGAN NARXI $]]-Таблица3[[#This Row],[RASXOD]]</f>
        <v>-315</v>
      </c>
      <c r="O38" s="199" t="s">
        <v>262</v>
      </c>
    </row>
    <row r="39" spans="1:15" s="205" customFormat="1" x14ac:dyDescent="0.3">
      <c r="A39" s="218">
        <v>38</v>
      </c>
      <c r="B39" s="198" t="s">
        <v>13</v>
      </c>
      <c r="C39" s="199" t="s">
        <v>115</v>
      </c>
      <c r="D39" s="200" t="s">
        <v>35</v>
      </c>
      <c r="E39" s="200" t="s">
        <v>15</v>
      </c>
      <c r="F39" s="201">
        <v>354879300478376</v>
      </c>
      <c r="G39" s="200"/>
      <c r="H39" s="202">
        <v>45790</v>
      </c>
      <c r="I39" s="203">
        <v>155</v>
      </c>
      <c r="J39" s="203">
        <v>27</v>
      </c>
      <c r="K39" s="202"/>
      <c r="L39" s="204">
        <f>Таблица3[[#This Row],[OLINGAN NARXI $]]+Таблица3[[#This Row],[RASXOD]]</f>
        <v>182</v>
      </c>
      <c r="M39" s="203"/>
      <c r="N39" s="203">
        <f>Таблица3[[#This Row],[SOTILGAN NARXI]]-Таблица3[[#This Row],[OLINGAN NARXI $]]-Таблица3[[#This Row],[RASXOD]]</f>
        <v>-182</v>
      </c>
      <c r="O39" s="199" t="s">
        <v>147</v>
      </c>
    </row>
    <row r="40" spans="1:15" s="205" customFormat="1" x14ac:dyDescent="0.3">
      <c r="A40" s="218">
        <v>39</v>
      </c>
      <c r="B40" s="198" t="s">
        <v>13</v>
      </c>
      <c r="C40" s="199" t="s">
        <v>455</v>
      </c>
      <c r="D40" s="200" t="s">
        <v>21</v>
      </c>
      <c r="E40" s="200" t="s">
        <v>15</v>
      </c>
      <c r="F40" s="201">
        <v>352412373848143</v>
      </c>
      <c r="G40" s="200"/>
      <c r="H40" s="202">
        <v>45789</v>
      </c>
      <c r="I40" s="203">
        <v>258</v>
      </c>
      <c r="J40" s="203">
        <v>54.2</v>
      </c>
      <c r="K40" s="202"/>
      <c r="L40" s="204">
        <f>Таблица3[[#This Row],[OLINGAN NARXI $]]+Таблица3[[#This Row],[RASXOD]]</f>
        <v>312.2</v>
      </c>
      <c r="M40" s="203"/>
      <c r="N40" s="203">
        <f>Таблица3[[#This Row],[SOTILGAN NARXI]]-Таблица3[[#This Row],[OLINGAN NARXI $]]-Таблица3[[#This Row],[RASXOD]]</f>
        <v>-312.2</v>
      </c>
      <c r="O40" s="199" t="s">
        <v>147</v>
      </c>
    </row>
    <row r="41" spans="1:15" s="205" customFormat="1" x14ac:dyDescent="0.3">
      <c r="A41" s="218">
        <v>40</v>
      </c>
      <c r="B41" s="364" t="s">
        <v>13</v>
      </c>
      <c r="C41" s="365" t="s">
        <v>563</v>
      </c>
      <c r="D41" s="366" t="s">
        <v>884</v>
      </c>
      <c r="E41" s="366" t="s">
        <v>15</v>
      </c>
      <c r="F41" s="367">
        <v>351562311868180</v>
      </c>
      <c r="G41" s="200" t="s">
        <v>1569</v>
      </c>
      <c r="H41" s="202">
        <v>45794</v>
      </c>
      <c r="I41" s="203">
        <v>345</v>
      </c>
      <c r="J41" s="203">
        <v>29.2</v>
      </c>
      <c r="K41" s="202"/>
      <c r="L41" s="204">
        <f>Таблица3[[#This Row],[OLINGAN NARXI $]]+Таблица3[[#This Row],[RASXOD]]</f>
        <v>374.2</v>
      </c>
      <c r="M41" s="203"/>
      <c r="N41" s="203">
        <f>Таблица3[[#This Row],[SOTILGAN NARXI]]-Таблица3[[#This Row],[OLINGAN NARXI $]]-Таблица3[[#This Row],[RASXOD]]</f>
        <v>-374.2</v>
      </c>
      <c r="O41" s="199" t="s">
        <v>147</v>
      </c>
    </row>
    <row r="42" spans="1:15" s="380" customFormat="1" x14ac:dyDescent="0.3">
      <c r="A42" s="218">
        <v>41</v>
      </c>
      <c r="B42" s="373" t="s">
        <v>16</v>
      </c>
      <c r="C42" s="374" t="s">
        <v>157</v>
      </c>
      <c r="D42" s="375" t="s">
        <v>65</v>
      </c>
      <c r="E42" s="375" t="s">
        <v>15</v>
      </c>
      <c r="F42" s="376">
        <v>354794867491672</v>
      </c>
      <c r="G42" s="375" t="s">
        <v>636</v>
      </c>
      <c r="H42" s="377">
        <v>45828</v>
      </c>
      <c r="I42" s="378">
        <v>220</v>
      </c>
      <c r="J42" s="378">
        <v>40</v>
      </c>
      <c r="K42" s="377"/>
      <c r="L42" s="379">
        <f>Таблица3[[#This Row],[OLINGAN NARXI $]]+Таблица3[[#This Row],[RASXOD]]</f>
        <v>260</v>
      </c>
      <c r="M42" s="378"/>
      <c r="N42" s="203">
        <f>Таблица3[[#This Row],[SOTILGAN NARXI]]-Таблица3[[#This Row],[OLINGAN NARXI $]]-Таблица3[[#This Row],[RASXOD]]</f>
        <v>-260</v>
      </c>
      <c r="O42" s="374" t="s">
        <v>1367</v>
      </c>
    </row>
    <row r="43" spans="1:15" s="205" customFormat="1" x14ac:dyDescent="0.3">
      <c r="A43" s="218">
        <v>42</v>
      </c>
      <c r="B43" s="198" t="s">
        <v>13</v>
      </c>
      <c r="C43" s="199" t="s">
        <v>1104</v>
      </c>
      <c r="D43" s="200" t="s">
        <v>97</v>
      </c>
      <c r="E43" s="200" t="s">
        <v>15</v>
      </c>
      <c r="F43" s="201">
        <v>350806070989674</v>
      </c>
      <c r="G43" s="200"/>
      <c r="H43" s="202">
        <v>45832</v>
      </c>
      <c r="I43" s="203">
        <v>350</v>
      </c>
      <c r="J43" s="203"/>
      <c r="K43" s="202"/>
      <c r="L43" s="204">
        <f>Таблица3[[#This Row],[OLINGAN NARXI $]]+Таблица3[[#This Row],[RASXOD]]</f>
        <v>350</v>
      </c>
      <c r="M43" s="203"/>
      <c r="N43" s="203">
        <f>Таблица3[[#This Row],[SOTILGAN NARXI]]-Таблица3[[#This Row],[OLINGAN NARXI $]]-Таблица3[[#This Row],[RASXOD]]</f>
        <v>-350</v>
      </c>
      <c r="O43" s="199" t="s">
        <v>262</v>
      </c>
    </row>
    <row r="44" spans="1:15" s="205" customFormat="1" x14ac:dyDescent="0.3">
      <c r="A44" s="218">
        <v>43</v>
      </c>
      <c r="B44" s="198" t="s">
        <v>16</v>
      </c>
      <c r="C44" s="199" t="s">
        <v>160</v>
      </c>
      <c r="D44" s="200" t="s">
        <v>26</v>
      </c>
      <c r="E44" s="200" t="s">
        <v>22</v>
      </c>
      <c r="F44" s="201">
        <v>355984832115634</v>
      </c>
      <c r="G44" s="200" t="s">
        <v>1390</v>
      </c>
      <c r="H44" s="202">
        <v>45832</v>
      </c>
      <c r="I44" s="203">
        <v>900</v>
      </c>
      <c r="J44" s="203">
        <v>100</v>
      </c>
      <c r="K44" s="202"/>
      <c r="L44" s="204">
        <f>Таблица3[[#This Row],[OLINGAN NARXI $]]+Таблица3[[#This Row],[RASXOD]]</f>
        <v>1000</v>
      </c>
      <c r="M44" s="203"/>
      <c r="N44" s="203">
        <f>Таблица3[[#This Row],[SOTILGAN NARXI]]-Таблица3[[#This Row],[OLINGAN NARXI $]]-Таблица3[[#This Row],[RASXOD]]</f>
        <v>-1000</v>
      </c>
      <c r="O44" s="199" t="s">
        <v>1392</v>
      </c>
    </row>
    <row r="45" spans="1:15" s="205" customFormat="1" x14ac:dyDescent="0.3">
      <c r="A45" s="218">
        <v>44</v>
      </c>
      <c r="B45" s="306" t="s">
        <v>16</v>
      </c>
      <c r="C45" s="307" t="s">
        <v>160</v>
      </c>
      <c r="D45" s="308" t="s">
        <v>21</v>
      </c>
      <c r="E45" s="308" t="s">
        <v>15</v>
      </c>
      <c r="F45" s="309">
        <v>358564741278686</v>
      </c>
      <c r="G45" s="200"/>
      <c r="H45" s="202">
        <v>45835</v>
      </c>
      <c r="I45" s="203">
        <v>865</v>
      </c>
      <c r="J45" s="203"/>
      <c r="K45" s="202"/>
      <c r="L45" s="204">
        <f>Таблица3[[#This Row],[OLINGAN NARXI $]]+Таблица3[[#This Row],[RASXOD]]</f>
        <v>865</v>
      </c>
      <c r="M45" s="203"/>
      <c r="N45" s="203">
        <f>Таблица3[[#This Row],[SOTILGAN NARXI]]-Таблица3[[#This Row],[OLINGAN NARXI $]]-Таблица3[[#This Row],[RASXOD]]</f>
        <v>-865</v>
      </c>
      <c r="O45" s="199">
        <v>971114030</v>
      </c>
    </row>
    <row r="46" spans="1:15" s="205" customFormat="1" x14ac:dyDescent="0.3">
      <c r="A46" s="218">
        <v>45</v>
      </c>
      <c r="B46" s="198" t="s">
        <v>13</v>
      </c>
      <c r="C46" s="199" t="s">
        <v>1082</v>
      </c>
      <c r="D46" s="200" t="s">
        <v>217</v>
      </c>
      <c r="E46" s="200" t="s">
        <v>15</v>
      </c>
      <c r="F46" s="201">
        <v>357660103854360</v>
      </c>
      <c r="G46" s="200" t="s">
        <v>1415</v>
      </c>
      <c r="H46" s="202">
        <v>45839</v>
      </c>
      <c r="I46" s="203">
        <v>145</v>
      </c>
      <c r="J46" s="203"/>
      <c r="K46" s="202"/>
      <c r="L46" s="204">
        <f>Таблица3[[#This Row],[OLINGAN NARXI $]]+Таблица3[[#This Row],[RASXOD]]</f>
        <v>145</v>
      </c>
      <c r="M46" s="203"/>
      <c r="N46" s="203">
        <f>Таблица3[[#This Row],[SOTILGAN NARXI]]-Таблица3[[#This Row],[OLINGAN NARXI $]]-Таблица3[[#This Row],[RASXOD]]</f>
        <v>-145</v>
      </c>
      <c r="O46" s="199" t="s">
        <v>1416</v>
      </c>
    </row>
    <row r="47" spans="1:15" s="205" customFormat="1" x14ac:dyDescent="0.3">
      <c r="A47" s="218">
        <v>46</v>
      </c>
      <c r="B47" s="289" t="s">
        <v>16</v>
      </c>
      <c r="C47" s="290" t="s">
        <v>303</v>
      </c>
      <c r="D47" s="291" t="s">
        <v>21</v>
      </c>
      <c r="E47" s="291" t="s">
        <v>15</v>
      </c>
      <c r="F47" s="292">
        <v>352298639540131</v>
      </c>
      <c r="G47" s="200"/>
      <c r="H47" s="202">
        <v>45802</v>
      </c>
      <c r="I47" s="203">
        <v>390</v>
      </c>
      <c r="J47" s="203"/>
      <c r="K47" s="202"/>
      <c r="L47" s="204">
        <f>Таблица3[[#This Row],[OLINGAN NARXI $]]+Таблица3[[#This Row],[RASXOD]]</f>
        <v>390</v>
      </c>
      <c r="M47" s="203"/>
      <c r="N47" s="203">
        <f>Таблица3[[#This Row],[SOTILGAN NARXI]]-Таблица3[[#This Row],[OLINGAN NARXI $]]-Таблица3[[#This Row],[RASXOD]]</f>
        <v>-390</v>
      </c>
      <c r="O47" s="199" t="s">
        <v>19</v>
      </c>
    </row>
    <row r="48" spans="1:15" s="205" customFormat="1" x14ac:dyDescent="0.3">
      <c r="A48" s="218">
        <v>47</v>
      </c>
      <c r="B48" s="198" t="s">
        <v>207</v>
      </c>
      <c r="C48" s="199" t="s">
        <v>1428</v>
      </c>
      <c r="D48" s="200" t="s">
        <v>45</v>
      </c>
      <c r="E48" s="200" t="s">
        <v>15</v>
      </c>
      <c r="F48" s="201"/>
      <c r="G48" s="200"/>
      <c r="H48" s="202">
        <v>45841</v>
      </c>
      <c r="I48" s="203">
        <v>63</v>
      </c>
      <c r="J48" s="203"/>
      <c r="K48" s="202"/>
      <c r="L48" s="204">
        <f>Таблица3[[#This Row],[OLINGAN NARXI $]]+Таблица3[[#This Row],[RASXOD]]</f>
        <v>63</v>
      </c>
      <c r="M48" s="203"/>
      <c r="N48" s="203">
        <f>Таблица3[[#This Row],[SOTILGAN NARXI]]-Таблица3[[#This Row],[OLINGAN NARXI $]]-Таблица3[[#This Row],[RASXOD]]</f>
        <v>-63</v>
      </c>
      <c r="O48" s="199"/>
    </row>
    <row r="49" spans="1:15" s="205" customFormat="1" x14ac:dyDescent="0.3">
      <c r="A49" s="218">
        <v>48</v>
      </c>
      <c r="B49" s="198" t="s">
        <v>207</v>
      </c>
      <c r="C49" s="199" t="s">
        <v>1428</v>
      </c>
      <c r="D49" s="200" t="s">
        <v>21</v>
      </c>
      <c r="E49" s="200" t="s">
        <v>15</v>
      </c>
      <c r="F49" s="201"/>
      <c r="G49" s="200"/>
      <c r="H49" s="202">
        <v>45845</v>
      </c>
      <c r="I49" s="203">
        <v>60</v>
      </c>
      <c r="J49" s="203"/>
      <c r="K49" s="202"/>
      <c r="L49" s="204">
        <f>Таблица3[[#This Row],[OLINGAN NARXI $]]+Таблица3[[#This Row],[RASXOD]]</f>
        <v>60</v>
      </c>
      <c r="M49" s="203"/>
      <c r="N49" s="203">
        <f>Таблица3[[#This Row],[SOTILGAN NARXI]]-Таблица3[[#This Row],[OLINGAN NARXI $]]-Таблица3[[#This Row],[RASXOD]]</f>
        <v>-60</v>
      </c>
      <c r="O49" s="199"/>
    </row>
    <row r="50" spans="1:15" s="205" customFormat="1" x14ac:dyDescent="0.3">
      <c r="A50" s="218">
        <v>49</v>
      </c>
      <c r="B50" s="198" t="s">
        <v>207</v>
      </c>
      <c r="C50" s="199" t="s">
        <v>437</v>
      </c>
      <c r="D50" s="200" t="s">
        <v>18</v>
      </c>
      <c r="E50" s="200" t="s">
        <v>15</v>
      </c>
      <c r="F50" s="201"/>
      <c r="G50" s="200"/>
      <c r="H50" s="202">
        <v>45845</v>
      </c>
      <c r="I50" s="203">
        <v>120</v>
      </c>
      <c r="J50" s="203"/>
      <c r="K50" s="202"/>
      <c r="L50" s="204">
        <f>Таблица3[[#This Row],[OLINGAN NARXI $]]+Таблица3[[#This Row],[RASXOD]]</f>
        <v>120</v>
      </c>
      <c r="M50" s="203"/>
      <c r="N50" s="203">
        <f>Таблица3[[#This Row],[SOTILGAN NARXI]]-Таблица3[[#This Row],[OLINGAN NARXI $]]-Таблица3[[#This Row],[RASXOD]]</f>
        <v>-120</v>
      </c>
      <c r="O50" s="199"/>
    </row>
    <row r="51" spans="1:15" s="205" customFormat="1" x14ac:dyDescent="0.3">
      <c r="A51" s="218">
        <v>50</v>
      </c>
      <c r="B51" s="198" t="s">
        <v>16</v>
      </c>
      <c r="C51" s="199" t="s">
        <v>303</v>
      </c>
      <c r="D51" s="200" t="s">
        <v>187</v>
      </c>
      <c r="E51" s="200" t="s">
        <v>15</v>
      </c>
      <c r="F51" s="201">
        <v>350667478963251</v>
      </c>
      <c r="G51" s="200"/>
      <c r="H51" s="202">
        <v>45856</v>
      </c>
      <c r="I51" s="203">
        <v>380</v>
      </c>
      <c r="J51" s="203"/>
      <c r="K51" s="202"/>
      <c r="L51" s="204">
        <f>Таблица3[[#This Row],[OLINGAN NARXI $]]+Таблица3[[#This Row],[RASXOD]]</f>
        <v>380</v>
      </c>
      <c r="M51" s="203"/>
      <c r="N51" s="203">
        <f>Таблица3[[#This Row],[SOTILGAN NARXI]]-Таблица3[[#This Row],[OLINGAN NARXI $]]-Таблица3[[#This Row],[RASXOD]]</f>
        <v>-380</v>
      </c>
      <c r="O51" s="199" t="s">
        <v>1367</v>
      </c>
    </row>
    <row r="52" spans="1:15" s="205" customFormat="1" x14ac:dyDescent="0.3">
      <c r="A52" s="218">
        <v>51</v>
      </c>
      <c r="B52" s="198" t="s">
        <v>13</v>
      </c>
      <c r="C52" s="199" t="s">
        <v>255</v>
      </c>
      <c r="D52" s="200" t="s">
        <v>21</v>
      </c>
      <c r="E52" s="200" t="s">
        <v>15</v>
      </c>
      <c r="F52" s="201">
        <v>350513042948420</v>
      </c>
      <c r="G52" s="200"/>
      <c r="H52" s="202">
        <v>45857</v>
      </c>
      <c r="I52" s="203">
        <v>635</v>
      </c>
      <c r="J52" s="203"/>
      <c r="K52" s="202"/>
      <c r="L52" s="204">
        <f>Таблица3[[#This Row],[OLINGAN NARXI $]]+Таблица3[[#This Row],[RASXOD]]</f>
        <v>635</v>
      </c>
      <c r="M52" s="203"/>
      <c r="N52" s="203">
        <f>Таблица3[[#This Row],[SOTILGAN NARXI]]-Таблица3[[#This Row],[OLINGAN NARXI $]]-Таблица3[[#This Row],[RASXOD]]</f>
        <v>-635</v>
      </c>
      <c r="O52" s="199">
        <v>993009595</v>
      </c>
    </row>
    <row r="53" spans="1:15" s="205" customFormat="1" x14ac:dyDescent="0.3">
      <c r="A53" s="218">
        <v>52</v>
      </c>
      <c r="B53" s="198" t="s">
        <v>16</v>
      </c>
      <c r="C53" s="199" t="s">
        <v>1000</v>
      </c>
      <c r="D53" s="200" t="s">
        <v>583</v>
      </c>
      <c r="E53" s="200" t="s">
        <v>22</v>
      </c>
      <c r="F53" s="201">
        <v>353995656057761</v>
      </c>
      <c r="G53" s="200"/>
      <c r="H53" s="202">
        <v>45859</v>
      </c>
      <c r="I53" s="203">
        <v>1185</v>
      </c>
      <c r="J53" s="203"/>
      <c r="K53" s="202"/>
      <c r="L53" s="204">
        <f>Таблица3[[#This Row],[OLINGAN NARXI $]]+Таблица3[[#This Row],[RASXOD]]</f>
        <v>1185</v>
      </c>
      <c r="M53" s="203"/>
      <c r="N53" s="203">
        <f>Таблица3[[#This Row],[SOTILGAN NARXI]]-Таблица3[[#This Row],[OLINGAN NARXI $]]-Таблица3[[#This Row],[RASXOD]]</f>
        <v>-1185</v>
      </c>
      <c r="O53" s="199" t="s">
        <v>1506</v>
      </c>
    </row>
    <row r="54" spans="1:15" s="205" customFormat="1" x14ac:dyDescent="0.3">
      <c r="A54" s="218">
        <v>53</v>
      </c>
      <c r="B54" s="198" t="s">
        <v>207</v>
      </c>
      <c r="C54" s="199" t="s">
        <v>969</v>
      </c>
      <c r="D54" s="200" t="s">
        <v>21</v>
      </c>
      <c r="E54" s="200" t="s">
        <v>22</v>
      </c>
      <c r="F54" s="201"/>
      <c r="G54" s="200"/>
      <c r="H54" s="202">
        <v>45859</v>
      </c>
      <c r="I54" s="203">
        <v>156</v>
      </c>
      <c r="J54" s="203"/>
      <c r="K54" s="202"/>
      <c r="L54" s="204">
        <f>Таблица3[[#This Row],[OLINGAN NARXI $]]+Таблица3[[#This Row],[RASXOD]]</f>
        <v>156</v>
      </c>
      <c r="M54" s="203"/>
      <c r="N54" s="203">
        <f>Таблица3[[#This Row],[SOTILGAN NARXI]]-Таблица3[[#This Row],[OLINGAN NARXI $]]-Таблица3[[#This Row],[RASXOD]]</f>
        <v>-156</v>
      </c>
      <c r="O54" s="199" t="s">
        <v>262</v>
      </c>
    </row>
    <row r="55" spans="1:15" s="205" customFormat="1" x14ac:dyDescent="0.3">
      <c r="A55" s="218">
        <v>54</v>
      </c>
      <c r="B55" s="198" t="s">
        <v>16</v>
      </c>
      <c r="C55" s="199" t="s">
        <v>1510</v>
      </c>
      <c r="D55" s="200" t="s">
        <v>21</v>
      </c>
      <c r="E55" s="200" t="s">
        <v>22</v>
      </c>
      <c r="F55" s="201">
        <v>354331129054665</v>
      </c>
      <c r="G55" s="200"/>
      <c r="H55" s="202">
        <v>45860</v>
      </c>
      <c r="I55" s="203">
        <v>1030</v>
      </c>
      <c r="J55" s="203"/>
      <c r="K55" s="202"/>
      <c r="L55" s="204">
        <f>Таблица3[[#This Row],[OLINGAN NARXI $]]+Таблица3[[#This Row],[RASXOD]]</f>
        <v>1030</v>
      </c>
      <c r="M55" s="203"/>
      <c r="N55" s="203">
        <f>Таблица3[[#This Row],[SOTILGAN NARXI]]-Таблица3[[#This Row],[OLINGAN NARXI $]]-Таблица3[[#This Row],[RASXOD]]</f>
        <v>-1030</v>
      </c>
      <c r="O55" s="199">
        <v>910043253</v>
      </c>
    </row>
    <row r="56" spans="1:15" s="205" customFormat="1" x14ac:dyDescent="0.3">
      <c r="A56" s="218">
        <v>55</v>
      </c>
      <c r="B56" s="198" t="s">
        <v>16</v>
      </c>
      <c r="C56" s="199" t="s">
        <v>34</v>
      </c>
      <c r="D56" s="200" t="s">
        <v>21</v>
      </c>
      <c r="E56" s="200" t="s">
        <v>22</v>
      </c>
      <c r="F56" s="201">
        <v>350867186247530</v>
      </c>
      <c r="G56" s="200" t="s">
        <v>1525</v>
      </c>
      <c r="H56" s="202">
        <v>45863</v>
      </c>
      <c r="I56" s="203">
        <v>550</v>
      </c>
      <c r="J56" s="203"/>
      <c r="K56" s="202"/>
      <c r="L56" s="204">
        <f>Таблица3[[#This Row],[OLINGAN NARXI $]]+Таблица3[[#This Row],[RASXOD]]</f>
        <v>550</v>
      </c>
      <c r="M56" s="203"/>
      <c r="N56" s="203">
        <f>Таблица3[[#This Row],[SOTILGAN NARXI]]-Таблица3[[#This Row],[OLINGAN NARXI $]]-Таблица3[[#This Row],[RASXOD]]</f>
        <v>-550</v>
      </c>
      <c r="O56" s="199">
        <v>907218125</v>
      </c>
    </row>
    <row r="57" spans="1:15" s="205" customFormat="1" x14ac:dyDescent="0.3">
      <c r="A57" s="218">
        <v>56</v>
      </c>
      <c r="B57" s="198" t="s">
        <v>207</v>
      </c>
      <c r="C57" s="199" t="s">
        <v>208</v>
      </c>
      <c r="D57" s="200" t="s">
        <v>18</v>
      </c>
      <c r="E57" s="200" t="s">
        <v>22</v>
      </c>
      <c r="F57" s="201"/>
      <c r="G57" s="200"/>
      <c r="H57" s="202">
        <v>45864</v>
      </c>
      <c r="I57" s="203">
        <v>190</v>
      </c>
      <c r="J57" s="203"/>
      <c r="K57" s="202"/>
      <c r="L57" s="204">
        <f>Таблица3[[#This Row],[OLINGAN NARXI $]]+Таблица3[[#This Row],[RASXOD]]</f>
        <v>190</v>
      </c>
      <c r="M57" s="203"/>
      <c r="N57" s="203">
        <f>Таблица3[[#This Row],[SOTILGAN NARXI]]-Таблица3[[#This Row],[OLINGAN NARXI $]]-Таблица3[[#This Row],[RASXOD]]</f>
        <v>-190</v>
      </c>
      <c r="O57" s="199" t="s">
        <v>1535</v>
      </c>
    </row>
    <row r="58" spans="1:15" s="205" customFormat="1" x14ac:dyDescent="0.3">
      <c r="A58" s="218">
        <v>57</v>
      </c>
      <c r="B58" s="198" t="s">
        <v>13</v>
      </c>
      <c r="C58" s="199" t="s">
        <v>563</v>
      </c>
      <c r="D58" s="200" t="s">
        <v>97</v>
      </c>
      <c r="E58" s="200" t="s">
        <v>15</v>
      </c>
      <c r="F58" s="201">
        <v>352019422586630</v>
      </c>
      <c r="G58" s="200"/>
      <c r="H58" s="202">
        <v>45866</v>
      </c>
      <c r="I58" s="203">
        <v>370</v>
      </c>
      <c r="J58" s="203">
        <v>24.16</v>
      </c>
      <c r="K58" s="202"/>
      <c r="L58" s="204">
        <f>Таблица3[[#This Row],[OLINGAN NARXI $]]+Таблица3[[#This Row],[RASXOD]]</f>
        <v>394.16</v>
      </c>
      <c r="M58" s="203"/>
      <c r="N58" s="203">
        <f>Таблица3[[#This Row],[SOTILGAN NARXI]]-Таблица3[[#This Row],[OLINGAN NARXI $]]-Таблица3[[#This Row],[RASXOD]]</f>
        <v>-394.16</v>
      </c>
      <c r="O58" s="199" t="s">
        <v>19</v>
      </c>
    </row>
    <row r="59" spans="1:15" s="205" customFormat="1" x14ac:dyDescent="0.3">
      <c r="A59" s="218">
        <v>58</v>
      </c>
      <c r="B59" s="198" t="s">
        <v>13</v>
      </c>
      <c r="C59" s="199" t="s">
        <v>1115</v>
      </c>
      <c r="D59" s="200" t="s">
        <v>21</v>
      </c>
      <c r="E59" s="200" t="s">
        <v>15</v>
      </c>
      <c r="F59" s="201">
        <v>352649112318546</v>
      </c>
      <c r="G59" s="200"/>
      <c r="H59" s="202">
        <v>45866</v>
      </c>
      <c r="I59" s="203">
        <v>270</v>
      </c>
      <c r="J59" s="203"/>
      <c r="K59" s="202"/>
      <c r="L59" s="204">
        <f>Таблица3[[#This Row],[OLINGAN NARXI $]]+Таблица3[[#This Row],[RASXOD]]</f>
        <v>270</v>
      </c>
      <c r="M59" s="203"/>
      <c r="N59" s="203">
        <f>Таблица3[[#This Row],[SOTILGAN NARXI]]-Таблица3[[#This Row],[OLINGAN NARXI $]]-Таблица3[[#This Row],[RASXOD]]</f>
        <v>-270</v>
      </c>
      <c r="O59" s="199" t="s">
        <v>19</v>
      </c>
    </row>
    <row r="60" spans="1:15" s="205" customFormat="1" x14ac:dyDescent="0.3">
      <c r="A60" s="218">
        <v>59</v>
      </c>
      <c r="B60" s="198" t="s">
        <v>16</v>
      </c>
      <c r="C60" s="199" t="s">
        <v>1203</v>
      </c>
      <c r="D60" s="200" t="s">
        <v>18</v>
      </c>
      <c r="E60" s="200" t="s">
        <v>22</v>
      </c>
      <c r="F60" s="201">
        <v>356114093624038</v>
      </c>
      <c r="G60" s="200"/>
      <c r="H60" s="202">
        <v>45870</v>
      </c>
      <c r="I60" s="203">
        <v>135</v>
      </c>
      <c r="J60" s="203"/>
      <c r="K60" s="202"/>
      <c r="L60" s="204">
        <f>Таблица3[[#This Row],[OLINGAN NARXI $]]+Таблица3[[#This Row],[RASXOD]]</f>
        <v>135</v>
      </c>
      <c r="M60" s="203"/>
      <c r="N60" s="203">
        <f>Таблица3[[#This Row],[SOTILGAN NARXI]]-Таблица3[[#This Row],[OLINGAN NARXI $]]-Таблица3[[#This Row],[RASXOD]]</f>
        <v>-135</v>
      </c>
      <c r="O60" s="199" t="s">
        <v>1563</v>
      </c>
    </row>
    <row r="61" spans="1:15" s="205" customFormat="1" x14ac:dyDescent="0.3">
      <c r="A61" s="218">
        <v>60</v>
      </c>
      <c r="B61" s="198" t="s">
        <v>207</v>
      </c>
      <c r="C61" s="199" t="s">
        <v>1570</v>
      </c>
      <c r="D61" s="200" t="s">
        <v>21</v>
      </c>
      <c r="E61" s="200" t="s">
        <v>22</v>
      </c>
      <c r="F61" s="201"/>
      <c r="G61" s="200"/>
      <c r="H61" s="202">
        <v>45871</v>
      </c>
      <c r="I61" s="203">
        <v>60</v>
      </c>
      <c r="J61" s="203"/>
      <c r="K61" s="202"/>
      <c r="L61" s="204">
        <f>Таблица3[[#This Row],[OLINGAN NARXI $]]+Таблица3[[#This Row],[RASXOD]]</f>
        <v>60</v>
      </c>
      <c r="M61" s="203"/>
      <c r="N61" s="203">
        <f>Таблица3[[#This Row],[SOTILGAN NARXI]]-Таблица3[[#This Row],[OLINGAN NARXI $]]-Таблица3[[#This Row],[RASXOD]]</f>
        <v>-60</v>
      </c>
      <c r="O61" s="199"/>
    </row>
    <row r="62" spans="1:15" s="205" customFormat="1" x14ac:dyDescent="0.3">
      <c r="A62" s="218">
        <v>61</v>
      </c>
      <c r="B62" s="198" t="s">
        <v>13</v>
      </c>
      <c r="C62" s="199" t="s">
        <v>1082</v>
      </c>
      <c r="D62" s="200" t="s">
        <v>21</v>
      </c>
      <c r="E62" s="200" t="s">
        <v>15</v>
      </c>
      <c r="F62" s="201">
        <v>869632038754636</v>
      </c>
      <c r="G62" s="200" t="s">
        <v>1673</v>
      </c>
      <c r="H62" s="202">
        <v>45873</v>
      </c>
      <c r="I62" s="203">
        <v>160</v>
      </c>
      <c r="J62" s="203">
        <v>12.7</v>
      </c>
      <c r="K62" s="202"/>
      <c r="L62" s="204">
        <f>Таблица3[[#This Row],[OLINGAN NARXI $]]+Таблица3[[#This Row],[RASXOD]]</f>
        <v>172.7</v>
      </c>
      <c r="M62" s="203"/>
      <c r="N62" s="203">
        <f>Таблица3[[#This Row],[SOTILGAN NARXI]]-Таблица3[[#This Row],[OLINGAN NARXI $]]-Таблица3[[#This Row],[RASXOD]]</f>
        <v>-172.7</v>
      </c>
      <c r="O62" s="199" t="s">
        <v>1367</v>
      </c>
    </row>
    <row r="63" spans="1:15" s="205" customFormat="1" x14ac:dyDescent="0.3">
      <c r="A63" s="218">
        <v>62</v>
      </c>
      <c r="B63" s="198" t="s">
        <v>13</v>
      </c>
      <c r="C63" s="199" t="s">
        <v>1082</v>
      </c>
      <c r="D63" s="200" t="s">
        <v>21</v>
      </c>
      <c r="E63" s="200" t="s">
        <v>15</v>
      </c>
      <c r="F63" s="201">
        <v>869632038663274</v>
      </c>
      <c r="G63" s="200" t="s">
        <v>282</v>
      </c>
      <c r="H63" s="202">
        <v>45873</v>
      </c>
      <c r="I63" s="203">
        <v>160</v>
      </c>
      <c r="J63" s="203">
        <v>4.7</v>
      </c>
      <c r="K63" s="202"/>
      <c r="L63" s="204">
        <f>Таблица3[[#This Row],[OLINGAN NARXI $]]+Таблица3[[#This Row],[RASXOD]]</f>
        <v>164.7</v>
      </c>
      <c r="M63" s="203"/>
      <c r="N63" s="203">
        <f>Таблица3[[#This Row],[SOTILGAN NARXI]]-Таблица3[[#This Row],[OLINGAN NARXI $]]-Таблица3[[#This Row],[RASXOD]]</f>
        <v>-164.7</v>
      </c>
      <c r="O63" s="199" t="s">
        <v>1367</v>
      </c>
    </row>
    <row r="64" spans="1:15" s="205" customFormat="1" x14ac:dyDescent="0.3">
      <c r="A64" s="218">
        <v>63</v>
      </c>
      <c r="B64" s="198" t="s">
        <v>13</v>
      </c>
      <c r="C64" s="199" t="s">
        <v>1082</v>
      </c>
      <c r="D64" s="200" t="s">
        <v>21</v>
      </c>
      <c r="E64" s="200" t="s">
        <v>15</v>
      </c>
      <c r="F64" s="201">
        <v>357660101835197</v>
      </c>
      <c r="G64" s="200" t="s">
        <v>282</v>
      </c>
      <c r="H64" s="202">
        <v>45873</v>
      </c>
      <c r="I64" s="203">
        <v>160</v>
      </c>
      <c r="J64" s="203">
        <v>4.7</v>
      </c>
      <c r="K64" s="202"/>
      <c r="L64" s="204">
        <f>Таблица3[[#This Row],[OLINGAN NARXI $]]+Таблица3[[#This Row],[RASXOD]]</f>
        <v>164.7</v>
      </c>
      <c r="M64" s="203"/>
      <c r="N64" s="203">
        <f>Таблица3[[#This Row],[SOTILGAN NARXI]]-Таблица3[[#This Row],[OLINGAN NARXI $]]-Таблица3[[#This Row],[RASXOD]]</f>
        <v>-164.7</v>
      </c>
      <c r="O64" s="199" t="s">
        <v>1367</v>
      </c>
    </row>
    <row r="65" spans="1:15" s="205" customFormat="1" x14ac:dyDescent="0.3">
      <c r="A65" s="218">
        <v>64</v>
      </c>
      <c r="B65" s="198" t="s">
        <v>16</v>
      </c>
      <c r="C65" s="199" t="s">
        <v>1000</v>
      </c>
      <c r="D65" s="200" t="s">
        <v>583</v>
      </c>
      <c r="E65" s="200" t="s">
        <v>22</v>
      </c>
      <c r="F65" s="201">
        <v>357988121828201</v>
      </c>
      <c r="G65" s="200" t="s">
        <v>1580</v>
      </c>
      <c r="H65" s="202">
        <v>45874</v>
      </c>
      <c r="I65" s="203">
        <v>1100</v>
      </c>
      <c r="J65" s="203"/>
      <c r="K65" s="202"/>
      <c r="L65" s="204">
        <f>Таблица3[[#This Row],[OLINGAN NARXI $]]+Таблица3[[#This Row],[RASXOD]]</f>
        <v>1100</v>
      </c>
      <c r="M65" s="203"/>
      <c r="N65" s="203">
        <f>Таблица3[[#This Row],[SOTILGAN NARXI]]-Таблица3[[#This Row],[OLINGAN NARXI $]]-Таблица3[[#This Row],[RASXOD]]</f>
        <v>-1100</v>
      </c>
      <c r="O65" s="199" t="s">
        <v>1581</v>
      </c>
    </row>
    <row r="66" spans="1:15" s="205" customFormat="1" x14ac:dyDescent="0.3">
      <c r="A66" s="218">
        <v>65</v>
      </c>
      <c r="B66" s="198" t="s">
        <v>16</v>
      </c>
      <c r="C66" s="199" t="s">
        <v>1000</v>
      </c>
      <c r="D66" s="200" t="s">
        <v>583</v>
      </c>
      <c r="E66" s="200" t="s">
        <v>22</v>
      </c>
      <c r="F66" s="201">
        <v>350572418072918</v>
      </c>
      <c r="G66" s="200"/>
      <c r="H66" s="202">
        <v>45876</v>
      </c>
      <c r="I66" s="203">
        <v>1200</v>
      </c>
      <c r="J66" s="203"/>
      <c r="K66" s="202"/>
      <c r="L66" s="204">
        <f>Таблица3[[#This Row],[OLINGAN NARXI $]]+Таблица3[[#This Row],[RASXOD]]</f>
        <v>1200</v>
      </c>
      <c r="M66" s="203"/>
      <c r="N66" s="203">
        <f>Таблица3[[#This Row],[SOTILGAN NARXI]]-Таблица3[[#This Row],[OLINGAN NARXI $]]-Таблица3[[#This Row],[RASXOD]]</f>
        <v>-1200</v>
      </c>
      <c r="O66" s="199" t="s">
        <v>1595</v>
      </c>
    </row>
    <row r="67" spans="1:15" s="205" customFormat="1" x14ac:dyDescent="0.3">
      <c r="A67" s="218">
        <v>66</v>
      </c>
      <c r="B67" s="198" t="s">
        <v>16</v>
      </c>
      <c r="C67" s="199" t="s">
        <v>106</v>
      </c>
      <c r="D67" s="200" t="s">
        <v>18</v>
      </c>
      <c r="E67" s="200" t="s">
        <v>15</v>
      </c>
      <c r="F67" s="201">
        <v>352926113023097</v>
      </c>
      <c r="G67" s="200" t="s">
        <v>556</v>
      </c>
      <c r="H67" s="202">
        <v>45877</v>
      </c>
      <c r="I67" s="203">
        <v>210</v>
      </c>
      <c r="J67" s="203"/>
      <c r="K67" s="202"/>
      <c r="L67" s="204">
        <f>Таблица3[[#This Row],[OLINGAN NARXI $]]+Таблица3[[#This Row],[RASXOD]]</f>
        <v>210</v>
      </c>
      <c r="M67" s="203"/>
      <c r="N67" s="203">
        <f>Таблица3[[#This Row],[SOTILGAN NARXI]]-Таблица3[[#This Row],[OLINGAN NARXI $]]-Таблица3[[#This Row],[RASXOD]]</f>
        <v>-210</v>
      </c>
      <c r="O67" s="199" t="s">
        <v>262</v>
      </c>
    </row>
    <row r="68" spans="1:15" s="205" customFormat="1" x14ac:dyDescent="0.3">
      <c r="A68" s="218">
        <v>67</v>
      </c>
      <c r="B68" s="198" t="s">
        <v>16</v>
      </c>
      <c r="C68" s="199" t="s">
        <v>312</v>
      </c>
      <c r="D68" s="200" t="s">
        <v>65</v>
      </c>
      <c r="E68" s="200" t="s">
        <v>22</v>
      </c>
      <c r="F68" s="201">
        <v>351339414120755</v>
      </c>
      <c r="G68" s="200"/>
      <c r="H68" s="202">
        <v>45878</v>
      </c>
      <c r="I68" s="203">
        <v>570</v>
      </c>
      <c r="J68" s="203"/>
      <c r="K68" s="202"/>
      <c r="L68" s="204">
        <f>Таблица3[[#This Row],[OLINGAN NARXI $]]+Таблица3[[#This Row],[RASXOD]]</f>
        <v>570</v>
      </c>
      <c r="M68" s="203"/>
      <c r="N68" s="203">
        <f>Таблица3[[#This Row],[SOTILGAN NARXI]]-Таблица3[[#This Row],[OLINGAN NARXI $]]-Таблица3[[#This Row],[RASXOD]]</f>
        <v>-570</v>
      </c>
      <c r="O68" s="199" t="s">
        <v>1598</v>
      </c>
    </row>
    <row r="69" spans="1:15" s="205" customFormat="1" x14ac:dyDescent="0.3">
      <c r="A69" s="218">
        <v>68</v>
      </c>
      <c r="B69" s="198" t="s">
        <v>16</v>
      </c>
      <c r="C69" s="199" t="s">
        <v>25</v>
      </c>
      <c r="D69" s="200" t="s">
        <v>65</v>
      </c>
      <c r="E69" s="200" t="s">
        <v>22</v>
      </c>
      <c r="F69" s="201">
        <v>354449449759571</v>
      </c>
      <c r="G69" s="200"/>
      <c r="H69" s="202">
        <v>45879</v>
      </c>
      <c r="I69" s="203">
        <v>850</v>
      </c>
      <c r="J69" s="203"/>
      <c r="K69" s="202"/>
      <c r="L69" s="204">
        <f>Таблица3[[#This Row],[OLINGAN NARXI $]]+Таблица3[[#This Row],[RASXOD]]</f>
        <v>850</v>
      </c>
      <c r="M69" s="203"/>
      <c r="N69" s="203">
        <f>Таблица3[[#This Row],[SOTILGAN NARXI]]-Таблица3[[#This Row],[OLINGAN NARXI $]]-Таблица3[[#This Row],[RASXOD]]</f>
        <v>-850</v>
      </c>
      <c r="O69" s="199" t="s">
        <v>262</v>
      </c>
    </row>
    <row r="70" spans="1:15" s="205" customFormat="1" x14ac:dyDescent="0.3">
      <c r="A70" s="218">
        <v>69</v>
      </c>
      <c r="B70" s="198" t="s">
        <v>16</v>
      </c>
      <c r="C70" s="199" t="s">
        <v>312</v>
      </c>
      <c r="D70" s="200" t="s">
        <v>65</v>
      </c>
      <c r="E70" s="200" t="s">
        <v>15</v>
      </c>
      <c r="F70" s="201">
        <v>351243320535421</v>
      </c>
      <c r="G70" s="200"/>
      <c r="H70" s="202">
        <v>45882</v>
      </c>
      <c r="I70" s="203">
        <v>550</v>
      </c>
      <c r="J70" s="203"/>
      <c r="K70" s="202"/>
      <c r="L70" s="204">
        <f>Таблица3[[#This Row],[OLINGAN NARXI $]]+Таблица3[[#This Row],[RASXOD]]</f>
        <v>550</v>
      </c>
      <c r="M70" s="203"/>
      <c r="N70" s="203">
        <f>Таблица3[[#This Row],[SOTILGAN NARXI]]-Таблица3[[#This Row],[OLINGAN NARXI $]]-Таблица3[[#This Row],[RASXOD]]</f>
        <v>-550</v>
      </c>
      <c r="O70" s="199" t="s">
        <v>1234</v>
      </c>
    </row>
    <row r="71" spans="1:15" s="205" customFormat="1" x14ac:dyDescent="0.3">
      <c r="A71" s="218">
        <v>70</v>
      </c>
      <c r="B71" s="198" t="s">
        <v>16</v>
      </c>
      <c r="C71" s="199" t="s">
        <v>32</v>
      </c>
      <c r="D71" s="200" t="s">
        <v>26</v>
      </c>
      <c r="E71" s="200" t="s">
        <v>22</v>
      </c>
      <c r="F71" s="201">
        <v>358571319941637</v>
      </c>
      <c r="G71" s="200"/>
      <c r="H71" s="202">
        <v>45884</v>
      </c>
      <c r="I71" s="203">
        <v>720</v>
      </c>
      <c r="J71" s="203"/>
      <c r="K71" s="202"/>
      <c r="L71" s="204">
        <f>Таблица3[[#This Row],[OLINGAN NARXI $]]+Таблица3[[#This Row],[RASXOD]]</f>
        <v>720</v>
      </c>
      <c r="M71" s="203"/>
      <c r="N71" s="203">
        <f>Таблица3[[#This Row],[SOTILGAN NARXI]]-Таблица3[[#This Row],[OLINGAN NARXI $]]-Таблица3[[#This Row],[RASXOD]]</f>
        <v>-720</v>
      </c>
      <c r="O71" s="199" t="s">
        <v>262</v>
      </c>
    </row>
    <row r="72" spans="1:15" s="205" customFormat="1" x14ac:dyDescent="0.3">
      <c r="A72" s="218">
        <v>71</v>
      </c>
      <c r="B72" s="198" t="s">
        <v>13</v>
      </c>
      <c r="C72" s="199" t="s">
        <v>1619</v>
      </c>
      <c r="D72" s="200" t="s">
        <v>65</v>
      </c>
      <c r="E72" s="200" t="s">
        <v>15</v>
      </c>
      <c r="F72" s="201">
        <v>356540306336731</v>
      </c>
      <c r="G72" s="200"/>
      <c r="H72" s="202">
        <v>45885</v>
      </c>
      <c r="I72" s="203">
        <v>350</v>
      </c>
      <c r="J72" s="203">
        <v>114</v>
      </c>
      <c r="K72" s="202"/>
      <c r="L72" s="204">
        <f>Таблица3[[#This Row],[OLINGAN NARXI $]]+Таблица3[[#This Row],[RASXOD]]</f>
        <v>464</v>
      </c>
      <c r="M72" s="203"/>
      <c r="N72" s="203">
        <f>Таблица3[[#This Row],[SOTILGAN NARXI]]-Таблица3[[#This Row],[OLINGAN NARXI $]]-Таблица3[[#This Row],[RASXOD]]</f>
        <v>-464</v>
      </c>
      <c r="O72" s="199" t="s">
        <v>1620</v>
      </c>
    </row>
    <row r="73" spans="1:15" s="205" customFormat="1" x14ac:dyDescent="0.3">
      <c r="A73" s="218">
        <v>72</v>
      </c>
      <c r="B73" s="198" t="s">
        <v>59</v>
      </c>
      <c r="C73" s="199" t="s">
        <v>1621</v>
      </c>
      <c r="D73" s="200" t="s">
        <v>21</v>
      </c>
      <c r="E73" s="200" t="s">
        <v>15</v>
      </c>
      <c r="F73" s="201">
        <v>860136061282928</v>
      </c>
      <c r="G73" s="200"/>
      <c r="H73" s="202">
        <v>45885</v>
      </c>
      <c r="I73" s="203">
        <v>330</v>
      </c>
      <c r="J73" s="203"/>
      <c r="K73" s="202"/>
      <c r="L73" s="204">
        <f>Таблица3[[#This Row],[OLINGAN NARXI $]]+Таблица3[[#This Row],[RASXOD]]</f>
        <v>330</v>
      </c>
      <c r="M73" s="203"/>
      <c r="N73" s="203">
        <f>Таблица3[[#This Row],[SOTILGAN NARXI]]-Таблица3[[#This Row],[OLINGAN NARXI $]]-Таблица3[[#This Row],[RASXOD]]</f>
        <v>-330</v>
      </c>
      <c r="O73" s="199" t="s">
        <v>1620</v>
      </c>
    </row>
    <row r="74" spans="1:15" s="205" customFormat="1" x14ac:dyDescent="0.3">
      <c r="A74" s="218">
        <v>73</v>
      </c>
      <c r="B74" s="198" t="s">
        <v>16</v>
      </c>
      <c r="C74" s="199" t="s">
        <v>34</v>
      </c>
      <c r="D74" s="200" t="s">
        <v>35</v>
      </c>
      <c r="E74" s="200" t="s">
        <v>15</v>
      </c>
      <c r="F74" s="201">
        <v>359928551092942</v>
      </c>
      <c r="G74" s="200" t="s">
        <v>556</v>
      </c>
      <c r="H74" s="202">
        <v>45885</v>
      </c>
      <c r="I74" s="203">
        <v>565</v>
      </c>
      <c r="J74" s="203"/>
      <c r="K74" s="202"/>
      <c r="L74" s="204">
        <f>Таблица3[[#This Row],[OLINGAN NARXI $]]+Таблица3[[#This Row],[RASXOD]]</f>
        <v>565</v>
      </c>
      <c r="M74" s="203"/>
      <c r="N74" s="203">
        <f>Таблица3[[#This Row],[SOTILGAN NARXI]]-Таблица3[[#This Row],[OLINGAN NARXI $]]-Таблица3[[#This Row],[RASXOD]]</f>
        <v>-565</v>
      </c>
      <c r="O74" s="199" t="s">
        <v>1628</v>
      </c>
    </row>
    <row r="75" spans="1:15" s="205" customFormat="1" x14ac:dyDescent="0.3">
      <c r="A75" s="218">
        <v>74</v>
      </c>
      <c r="B75" s="349" t="s">
        <v>16</v>
      </c>
      <c r="C75" s="350" t="s">
        <v>152</v>
      </c>
      <c r="D75" s="351" t="s">
        <v>65</v>
      </c>
      <c r="E75" s="351" t="s">
        <v>15</v>
      </c>
      <c r="F75" s="352">
        <v>352310728380434</v>
      </c>
      <c r="G75" s="200" t="s">
        <v>1686</v>
      </c>
      <c r="H75" s="202">
        <v>45886</v>
      </c>
      <c r="I75" s="203">
        <v>500</v>
      </c>
      <c r="J75" s="203">
        <v>50</v>
      </c>
      <c r="K75" s="202"/>
      <c r="L75" s="204">
        <f>Таблица3[[#This Row],[OLINGAN NARXI $]]+Таблица3[[#This Row],[RASXOD]]</f>
        <v>550</v>
      </c>
      <c r="M75" s="203"/>
      <c r="N75" s="203">
        <f>Таблица3[[#This Row],[SOTILGAN NARXI]]-Таблица3[[#This Row],[OLINGAN NARXI $]]-Таблица3[[#This Row],[RASXOD]]</f>
        <v>-550</v>
      </c>
      <c r="O75" s="199" t="s">
        <v>1630</v>
      </c>
    </row>
    <row r="76" spans="1:15" s="205" customFormat="1" x14ac:dyDescent="0.3">
      <c r="A76" s="218">
        <v>75</v>
      </c>
      <c r="B76" s="198" t="s">
        <v>16</v>
      </c>
      <c r="C76" s="199" t="s">
        <v>1616</v>
      </c>
      <c r="D76" s="200" t="s">
        <v>65</v>
      </c>
      <c r="E76" s="200" t="s">
        <v>15</v>
      </c>
      <c r="F76" s="201">
        <v>351145700673229</v>
      </c>
      <c r="G76" s="200"/>
      <c r="H76" s="202">
        <v>45886</v>
      </c>
      <c r="I76" s="203">
        <v>330</v>
      </c>
      <c r="J76" s="203"/>
      <c r="K76" s="202"/>
      <c r="L76" s="204">
        <f>Таблица3[[#This Row],[OLINGAN NARXI $]]+Таблица3[[#This Row],[RASXOD]]</f>
        <v>330</v>
      </c>
      <c r="M76" s="203"/>
      <c r="N76" s="203">
        <f>Таблица3[[#This Row],[SOTILGAN NARXI]]-Таблица3[[#This Row],[OLINGAN NARXI $]]-Таблица3[[#This Row],[RASXOD]]</f>
        <v>-330</v>
      </c>
      <c r="O76" s="199">
        <v>881114728</v>
      </c>
    </row>
    <row r="77" spans="1:15" s="205" customFormat="1" x14ac:dyDescent="0.3">
      <c r="A77" s="218">
        <v>76</v>
      </c>
      <c r="B77" s="198" t="s">
        <v>16</v>
      </c>
      <c r="C77" s="199" t="s">
        <v>106</v>
      </c>
      <c r="D77" s="200" t="s">
        <v>21</v>
      </c>
      <c r="E77" s="200" t="s">
        <v>15</v>
      </c>
      <c r="F77" s="201">
        <v>352895113532631</v>
      </c>
      <c r="G77" s="200" t="s">
        <v>1606</v>
      </c>
      <c r="H77" s="202">
        <v>45886</v>
      </c>
      <c r="I77" s="203">
        <v>160</v>
      </c>
      <c r="J77" s="203"/>
      <c r="K77" s="202"/>
      <c r="L77" s="204">
        <f>Таблица3[[#This Row],[OLINGAN NARXI $]]+Таблица3[[#This Row],[RASXOD]]</f>
        <v>160</v>
      </c>
      <c r="M77" s="203"/>
      <c r="N77" s="203">
        <f>Таблица3[[#This Row],[SOTILGAN NARXI]]-Таблица3[[#This Row],[OLINGAN NARXI $]]-Таблица3[[#This Row],[RASXOD]]</f>
        <v>-160</v>
      </c>
      <c r="O77" s="199">
        <v>901366002</v>
      </c>
    </row>
    <row r="78" spans="1:15" s="205" customFormat="1" x14ac:dyDescent="0.3">
      <c r="A78" s="218">
        <v>77</v>
      </c>
      <c r="B78" s="198" t="s">
        <v>13</v>
      </c>
      <c r="C78" s="199" t="s">
        <v>1635</v>
      </c>
      <c r="D78" s="200" t="s">
        <v>21</v>
      </c>
      <c r="E78" s="200" t="s">
        <v>15</v>
      </c>
      <c r="F78" s="201">
        <v>352271450308128</v>
      </c>
      <c r="G78" s="200"/>
      <c r="H78" s="202">
        <v>45887</v>
      </c>
      <c r="I78" s="203">
        <v>450</v>
      </c>
      <c r="J78" s="203"/>
      <c r="K78" s="202"/>
      <c r="L78" s="204">
        <f>Таблица3[[#This Row],[OLINGAN NARXI $]]+Таблица3[[#This Row],[RASXOD]]</f>
        <v>450</v>
      </c>
      <c r="M78" s="203"/>
      <c r="N78" s="203">
        <f>Таблица3[[#This Row],[SOTILGAN NARXI]]-Таблица3[[#This Row],[OLINGAN NARXI $]]-Таблица3[[#This Row],[RASXOD]]</f>
        <v>-450</v>
      </c>
      <c r="O78" s="199" t="s">
        <v>1636</v>
      </c>
    </row>
    <row r="79" spans="1:15" s="205" customFormat="1" x14ac:dyDescent="0.3">
      <c r="A79" s="218">
        <v>78</v>
      </c>
      <c r="B79" s="198" t="s">
        <v>16</v>
      </c>
      <c r="C79" s="199" t="s">
        <v>25</v>
      </c>
      <c r="D79" s="200" t="s">
        <v>21</v>
      </c>
      <c r="E79" s="200" t="s">
        <v>22</v>
      </c>
      <c r="F79" s="201">
        <v>359824371592668</v>
      </c>
      <c r="G79" s="200"/>
      <c r="H79" s="202">
        <v>45887</v>
      </c>
      <c r="I79" s="203">
        <v>900</v>
      </c>
      <c r="J79" s="203"/>
      <c r="K79" s="202"/>
      <c r="L79" s="204">
        <f>Таблица3[[#This Row],[OLINGAN NARXI $]]+Таблица3[[#This Row],[RASXOD]]</f>
        <v>900</v>
      </c>
      <c r="M79" s="203"/>
      <c r="N79" s="203">
        <f>Таблица3[[#This Row],[SOTILGAN NARXI]]-Таблица3[[#This Row],[OLINGAN NARXI $]]-Таблица3[[#This Row],[RASXOD]]</f>
        <v>-900</v>
      </c>
      <c r="O79" s="199" t="s">
        <v>1637</v>
      </c>
    </row>
    <row r="80" spans="1:15" s="205" customFormat="1" x14ac:dyDescent="0.3">
      <c r="A80" s="218">
        <v>79</v>
      </c>
      <c r="B80" s="198" t="s">
        <v>13</v>
      </c>
      <c r="C80" s="199" t="s">
        <v>255</v>
      </c>
      <c r="D80" s="200" t="s">
        <v>21</v>
      </c>
      <c r="E80" s="200" t="s">
        <v>22</v>
      </c>
      <c r="F80" s="201">
        <v>352208779797508</v>
      </c>
      <c r="G80" s="200"/>
      <c r="H80" s="202" t="s">
        <v>1638</v>
      </c>
      <c r="I80" s="203">
        <v>700</v>
      </c>
      <c r="J80" s="203"/>
      <c r="K80" s="202"/>
      <c r="L80" s="204">
        <f>Таблица3[[#This Row],[OLINGAN NARXI $]]+Таблица3[[#This Row],[RASXOD]]</f>
        <v>700</v>
      </c>
      <c r="M80" s="203"/>
      <c r="N80" s="203">
        <f>Таблица3[[#This Row],[SOTILGAN NARXI]]-Таблица3[[#This Row],[OLINGAN NARXI $]]-Таблица3[[#This Row],[RASXOD]]</f>
        <v>-700</v>
      </c>
      <c r="O80" s="199" t="s">
        <v>1267</v>
      </c>
    </row>
    <row r="81" spans="1:15" s="205" customFormat="1" x14ac:dyDescent="0.3">
      <c r="A81" s="218">
        <v>80</v>
      </c>
      <c r="B81" s="198" t="s">
        <v>16</v>
      </c>
      <c r="C81" s="199" t="s">
        <v>1000</v>
      </c>
      <c r="D81" s="200" t="s">
        <v>583</v>
      </c>
      <c r="E81" s="200" t="s">
        <v>22</v>
      </c>
      <c r="F81" s="201">
        <v>358798963489486</v>
      </c>
      <c r="G81" s="200" t="s">
        <v>1606</v>
      </c>
      <c r="H81" s="202">
        <v>45887</v>
      </c>
      <c r="I81" s="203">
        <v>1080</v>
      </c>
      <c r="J81" s="203"/>
      <c r="K81" s="202"/>
      <c r="L81" s="204">
        <f>Таблица3[[#This Row],[OLINGAN NARXI $]]+Таблица3[[#This Row],[RASXOD]]</f>
        <v>1080</v>
      </c>
      <c r="M81" s="203"/>
      <c r="N81" s="203">
        <f>Таблица3[[#This Row],[SOTILGAN NARXI]]-Таблица3[[#This Row],[OLINGAN NARXI $]]-Таблица3[[#This Row],[RASXOD]]</f>
        <v>-1080</v>
      </c>
      <c r="O81" s="199" t="s">
        <v>1108</v>
      </c>
    </row>
    <row r="82" spans="1:15" s="205" customFormat="1" x14ac:dyDescent="0.3">
      <c r="A82" s="218">
        <v>81</v>
      </c>
      <c r="B82" s="198" t="s">
        <v>16</v>
      </c>
      <c r="C82" s="199" t="s">
        <v>25</v>
      </c>
      <c r="D82" s="200" t="s">
        <v>26</v>
      </c>
      <c r="E82" s="200" t="s">
        <v>22</v>
      </c>
      <c r="F82" s="201">
        <v>358560156372766</v>
      </c>
      <c r="G82" s="200"/>
      <c r="H82" s="202">
        <v>45888</v>
      </c>
      <c r="I82" s="203">
        <v>850</v>
      </c>
      <c r="J82" s="203"/>
      <c r="K82" s="202"/>
      <c r="L82" s="204">
        <f>Таблица3[[#This Row],[OLINGAN NARXI $]]+Таблица3[[#This Row],[RASXOD]]</f>
        <v>850</v>
      </c>
      <c r="M82" s="203"/>
      <c r="N82" s="203">
        <f>Таблица3[[#This Row],[SOTILGAN NARXI]]-Таблица3[[#This Row],[OLINGAN NARXI $]]-Таблица3[[#This Row],[RASXOD]]</f>
        <v>-850</v>
      </c>
      <c r="O82" s="199">
        <v>886899797</v>
      </c>
    </row>
    <row r="83" spans="1:15" s="205" customFormat="1" x14ac:dyDescent="0.3">
      <c r="A83" s="218">
        <v>82</v>
      </c>
      <c r="B83" s="198" t="s">
        <v>207</v>
      </c>
      <c r="C83" s="199" t="s">
        <v>1648</v>
      </c>
      <c r="D83" s="200" t="s">
        <v>45</v>
      </c>
      <c r="E83" s="200" t="s">
        <v>22</v>
      </c>
      <c r="F83" s="201"/>
      <c r="G83" s="200"/>
      <c r="H83" s="202">
        <v>45888</v>
      </c>
      <c r="I83" s="203">
        <v>0</v>
      </c>
      <c r="J83" s="203"/>
      <c r="K83" s="202"/>
      <c r="L83" s="204">
        <f>Таблица3[[#This Row],[OLINGAN NARXI $]]+Таблица3[[#This Row],[RASXOD]]</f>
        <v>0</v>
      </c>
      <c r="M83" s="203"/>
      <c r="N83" s="203">
        <f>Таблица3[[#This Row],[SOTILGAN NARXI]]-Таблица3[[#This Row],[OLINGAN NARXI $]]-Таблица3[[#This Row],[RASXOD]]</f>
        <v>0</v>
      </c>
      <c r="O83" s="199">
        <v>200207722</v>
      </c>
    </row>
    <row r="84" spans="1:15" s="205" customFormat="1" x14ac:dyDescent="0.3">
      <c r="A84" s="218">
        <v>83</v>
      </c>
      <c r="B84" s="198" t="s">
        <v>16</v>
      </c>
      <c r="C84" s="199" t="s">
        <v>25</v>
      </c>
      <c r="D84" s="200" t="s">
        <v>65</v>
      </c>
      <c r="E84" s="200" t="s">
        <v>22</v>
      </c>
      <c r="F84" s="201">
        <v>356303487606871</v>
      </c>
      <c r="G84" s="200"/>
      <c r="H84" s="202">
        <v>45889</v>
      </c>
      <c r="I84" s="203">
        <v>860</v>
      </c>
      <c r="J84" s="203"/>
      <c r="K84" s="202"/>
      <c r="L84" s="204">
        <f>Таблица3[[#This Row],[OLINGAN NARXI $]]+Таблица3[[#This Row],[RASXOD]]</f>
        <v>860</v>
      </c>
      <c r="M84" s="203"/>
      <c r="N84" s="203">
        <f>Таблица3[[#This Row],[SOTILGAN NARXI]]-Таблица3[[#This Row],[OLINGAN NARXI $]]-Таблица3[[#This Row],[RASXOD]]</f>
        <v>-860</v>
      </c>
      <c r="O84" s="199" t="s">
        <v>1655</v>
      </c>
    </row>
    <row r="85" spans="1:15" s="205" customFormat="1" x14ac:dyDescent="0.3">
      <c r="A85" s="218">
        <v>84</v>
      </c>
      <c r="B85" s="198" t="s">
        <v>16</v>
      </c>
      <c r="C85" s="199" t="s">
        <v>312</v>
      </c>
      <c r="D85" s="200" t="s">
        <v>21</v>
      </c>
      <c r="E85" s="200" t="s">
        <v>15</v>
      </c>
      <c r="F85" s="201">
        <v>354798780963493</v>
      </c>
      <c r="G85" s="200" t="s">
        <v>556</v>
      </c>
      <c r="H85" s="202">
        <v>45889</v>
      </c>
      <c r="I85" s="203">
        <v>400</v>
      </c>
      <c r="J85" s="203">
        <v>27.7</v>
      </c>
      <c r="K85" s="202"/>
      <c r="L85" s="204">
        <f>Таблица3[[#This Row],[OLINGAN NARXI $]]+Таблица3[[#This Row],[RASXOD]]</f>
        <v>427.7</v>
      </c>
      <c r="M85" s="203"/>
      <c r="N85" s="203">
        <f>Таблица3[[#This Row],[SOTILGAN NARXI]]-Таблица3[[#This Row],[OLINGAN NARXI $]]-Таблица3[[#This Row],[RASXOD]]</f>
        <v>-427.7</v>
      </c>
      <c r="O85" s="199" t="s">
        <v>1651</v>
      </c>
    </row>
    <row r="86" spans="1:15" s="205" customFormat="1" x14ac:dyDescent="0.3">
      <c r="A86" s="218">
        <v>85</v>
      </c>
      <c r="B86" s="198" t="s">
        <v>16</v>
      </c>
      <c r="C86" s="199" t="s">
        <v>312</v>
      </c>
      <c r="D86" s="200" t="s">
        <v>65</v>
      </c>
      <c r="E86" s="200" t="s">
        <v>15</v>
      </c>
      <c r="F86" s="201">
        <v>358074290838898</v>
      </c>
      <c r="G86" s="200"/>
      <c r="H86" s="202">
        <v>45889</v>
      </c>
      <c r="I86" s="203">
        <v>560</v>
      </c>
      <c r="J86" s="203"/>
      <c r="K86" s="202"/>
      <c r="L86" s="204">
        <f>Таблица3[[#This Row],[OLINGAN NARXI $]]+Таблица3[[#This Row],[RASXOD]]</f>
        <v>560</v>
      </c>
      <c r="M86" s="203"/>
      <c r="N86" s="203">
        <f>Таблица3[[#This Row],[SOTILGAN NARXI]]-Таблица3[[#This Row],[OLINGAN NARXI $]]-Таблица3[[#This Row],[RASXOD]]</f>
        <v>-560</v>
      </c>
      <c r="O86" s="199" t="s">
        <v>262</v>
      </c>
    </row>
    <row r="87" spans="1:15" s="205" customFormat="1" x14ac:dyDescent="0.3">
      <c r="A87" s="218">
        <v>86</v>
      </c>
      <c r="B87" s="198" t="s">
        <v>13</v>
      </c>
      <c r="C87" s="199" t="s">
        <v>115</v>
      </c>
      <c r="D87" s="200" t="s">
        <v>35</v>
      </c>
      <c r="E87" s="200" t="s">
        <v>15</v>
      </c>
      <c r="F87" s="201">
        <v>354773802101620</v>
      </c>
      <c r="G87" s="200"/>
      <c r="H87" s="202">
        <v>45890</v>
      </c>
      <c r="I87" s="203">
        <v>210</v>
      </c>
      <c r="J87" s="203"/>
      <c r="K87" s="202"/>
      <c r="L87" s="204">
        <f>Таблица3[[#This Row],[OLINGAN NARXI $]]+Таблица3[[#This Row],[RASXOD]]</f>
        <v>210</v>
      </c>
      <c r="M87" s="203"/>
      <c r="N87" s="203">
        <f>Таблица3[[#This Row],[SOTILGAN NARXI]]-Таблица3[[#This Row],[OLINGAN NARXI $]]-Таблица3[[#This Row],[RASXOD]]</f>
        <v>-210</v>
      </c>
      <c r="O87" s="199" t="s">
        <v>19</v>
      </c>
    </row>
    <row r="88" spans="1:15" s="205" customFormat="1" x14ac:dyDescent="0.3">
      <c r="A88" s="218">
        <v>87</v>
      </c>
      <c r="B88" s="198" t="s">
        <v>13</v>
      </c>
      <c r="C88" s="199" t="s">
        <v>115</v>
      </c>
      <c r="D88" s="200" t="s">
        <v>830</v>
      </c>
      <c r="E88" s="200" t="s">
        <v>15</v>
      </c>
      <c r="F88" s="201">
        <v>351376411530388</v>
      </c>
      <c r="G88" s="200"/>
      <c r="H88" s="202">
        <v>45890</v>
      </c>
      <c r="I88" s="203">
        <v>210</v>
      </c>
      <c r="J88" s="203"/>
      <c r="K88" s="202"/>
      <c r="L88" s="204">
        <f>Таблица3[[#This Row],[OLINGAN NARXI $]]+Таблица3[[#This Row],[RASXOD]]</f>
        <v>210</v>
      </c>
      <c r="M88" s="203"/>
      <c r="N88" s="203">
        <f>Таблица3[[#This Row],[SOTILGAN NARXI]]-Таблица3[[#This Row],[OLINGAN NARXI $]]-Таблица3[[#This Row],[RASXOD]]</f>
        <v>-210</v>
      </c>
      <c r="O88" s="199" t="s">
        <v>19</v>
      </c>
    </row>
    <row r="89" spans="1:15" s="205" customFormat="1" x14ac:dyDescent="0.3">
      <c r="A89" s="218">
        <v>88</v>
      </c>
      <c r="B89" s="198" t="s">
        <v>16</v>
      </c>
      <c r="C89" s="199" t="s">
        <v>32</v>
      </c>
      <c r="D89" s="200" t="s">
        <v>65</v>
      </c>
      <c r="E89" s="200" t="s">
        <v>22</v>
      </c>
      <c r="F89" s="201">
        <v>354321297930473</v>
      </c>
      <c r="G89" s="200"/>
      <c r="H89" s="202">
        <v>45891</v>
      </c>
      <c r="I89" s="203">
        <v>775</v>
      </c>
      <c r="J89" s="203"/>
      <c r="K89" s="202"/>
      <c r="L89" s="204">
        <f>Таблица3[[#This Row],[OLINGAN NARXI $]]+Таблица3[[#This Row],[RASXOD]]</f>
        <v>775</v>
      </c>
      <c r="M89" s="203"/>
      <c r="N89" s="203">
        <f>Таблица3[[#This Row],[SOTILGAN NARXI]]-Таблица3[[#This Row],[OLINGAN NARXI $]]-Таблица3[[#This Row],[RASXOD]]</f>
        <v>-775</v>
      </c>
      <c r="O89" s="199">
        <v>931438801</v>
      </c>
    </row>
    <row r="90" spans="1:15" s="205" customFormat="1" x14ac:dyDescent="0.3">
      <c r="A90" s="218">
        <v>89</v>
      </c>
      <c r="B90" s="198" t="s">
        <v>16</v>
      </c>
      <c r="C90" s="199" t="s">
        <v>372</v>
      </c>
      <c r="D90" s="200" t="s">
        <v>65</v>
      </c>
      <c r="E90" s="200" t="s">
        <v>22</v>
      </c>
      <c r="F90" s="201">
        <v>355018176245093</v>
      </c>
      <c r="G90" s="200"/>
      <c r="H90" s="202">
        <v>45891</v>
      </c>
      <c r="I90" s="203">
        <v>420</v>
      </c>
      <c r="J90" s="203"/>
      <c r="K90" s="202"/>
      <c r="L90" s="204">
        <f>Таблица3[[#This Row],[OLINGAN NARXI $]]+Таблица3[[#This Row],[RASXOD]]</f>
        <v>420</v>
      </c>
      <c r="M90" s="203"/>
      <c r="N90" s="203">
        <f>Таблица3[[#This Row],[SOTILGAN NARXI]]-Таблица3[[#This Row],[OLINGAN NARXI $]]-Таблица3[[#This Row],[RASXOD]]</f>
        <v>-420</v>
      </c>
      <c r="O90" s="199" t="s">
        <v>1660</v>
      </c>
    </row>
    <row r="91" spans="1:15" s="205" customFormat="1" x14ac:dyDescent="0.3">
      <c r="A91" s="218">
        <v>90</v>
      </c>
      <c r="B91" s="198" t="s">
        <v>16</v>
      </c>
      <c r="C91" s="199" t="s">
        <v>83</v>
      </c>
      <c r="D91" s="200" t="s">
        <v>65</v>
      </c>
      <c r="E91" s="200" t="s">
        <v>15</v>
      </c>
      <c r="F91" s="201">
        <v>35387923374077</v>
      </c>
      <c r="G91" s="200"/>
      <c r="H91" s="202">
        <v>45891</v>
      </c>
      <c r="I91" s="203">
        <v>470</v>
      </c>
      <c r="J91" s="203"/>
      <c r="K91" s="202"/>
      <c r="L91" s="204">
        <f>Таблица3[[#This Row],[OLINGAN NARXI $]]+Таблица3[[#This Row],[RASXOD]]</f>
        <v>470</v>
      </c>
      <c r="M91" s="203"/>
      <c r="N91" s="203">
        <f>Таблица3[[#This Row],[SOTILGAN NARXI]]-Таблица3[[#This Row],[OLINGAN NARXI $]]-Таблица3[[#This Row],[RASXOD]]</f>
        <v>-470</v>
      </c>
      <c r="O91" s="199">
        <v>772102100</v>
      </c>
    </row>
    <row r="92" spans="1:15" s="205" customFormat="1" x14ac:dyDescent="0.3">
      <c r="A92" s="218">
        <v>91</v>
      </c>
      <c r="B92" s="198" t="s">
        <v>13</v>
      </c>
      <c r="C92" s="199" t="s">
        <v>370</v>
      </c>
      <c r="D92" s="200" t="s">
        <v>21</v>
      </c>
      <c r="E92" s="200" t="s">
        <v>15</v>
      </c>
      <c r="F92" s="201">
        <v>351357514936987</v>
      </c>
      <c r="G92" s="200"/>
      <c r="H92" s="202">
        <v>45891</v>
      </c>
      <c r="I92" s="203">
        <v>320</v>
      </c>
      <c r="J92" s="203"/>
      <c r="K92" s="202"/>
      <c r="L92" s="204">
        <f>Таблица3[[#This Row],[OLINGAN NARXI $]]+Таблица3[[#This Row],[RASXOD]]</f>
        <v>320</v>
      </c>
      <c r="M92" s="203"/>
      <c r="N92" s="203">
        <f>Таблица3[[#This Row],[SOTILGAN NARXI]]-Таблица3[[#This Row],[OLINGAN NARXI $]]-Таблица3[[#This Row],[RASXOD]]</f>
        <v>-320</v>
      </c>
      <c r="O92" s="199" t="s">
        <v>147</v>
      </c>
    </row>
    <row r="93" spans="1:15" s="205" customFormat="1" x14ac:dyDescent="0.3">
      <c r="A93" s="218">
        <v>92</v>
      </c>
      <c r="B93" s="198" t="s">
        <v>13</v>
      </c>
      <c r="C93" s="199" t="s">
        <v>255</v>
      </c>
      <c r="D93" s="200" t="s">
        <v>21</v>
      </c>
      <c r="E93" s="200" t="s">
        <v>15</v>
      </c>
      <c r="F93" s="201">
        <v>351123966932647</v>
      </c>
      <c r="G93" s="200"/>
      <c r="H93" s="202">
        <v>45892</v>
      </c>
      <c r="I93" s="203">
        <v>700</v>
      </c>
      <c r="J93" s="203"/>
      <c r="K93" s="202"/>
      <c r="L93" s="204">
        <f>Таблица3[[#This Row],[OLINGAN NARXI $]]+Таблица3[[#This Row],[RASXOD]]</f>
        <v>700</v>
      </c>
      <c r="M93" s="203"/>
      <c r="N93" s="203">
        <f>Таблица3[[#This Row],[SOTILGAN NARXI]]-Таблица3[[#This Row],[OLINGAN NARXI $]]-Таблица3[[#This Row],[RASXOD]]</f>
        <v>-700</v>
      </c>
      <c r="O93" s="199" t="s">
        <v>19</v>
      </c>
    </row>
    <row r="94" spans="1:15" s="205" customFormat="1" x14ac:dyDescent="0.3">
      <c r="A94" s="218">
        <v>93</v>
      </c>
      <c r="B94" s="198" t="s">
        <v>16</v>
      </c>
      <c r="C94" s="199" t="s">
        <v>1000</v>
      </c>
      <c r="D94" s="200" t="s">
        <v>26</v>
      </c>
      <c r="E94" s="200" t="s">
        <v>22</v>
      </c>
      <c r="F94" s="201">
        <v>356415754116887</v>
      </c>
      <c r="G94" s="200"/>
      <c r="H94" s="202">
        <v>45892</v>
      </c>
      <c r="I94" s="203">
        <v>1190</v>
      </c>
      <c r="J94" s="203"/>
      <c r="K94" s="202"/>
      <c r="L94" s="204">
        <f>Таблица3[[#This Row],[OLINGAN NARXI $]]+Таблица3[[#This Row],[RASXOD]]</f>
        <v>1190</v>
      </c>
      <c r="M94" s="203"/>
      <c r="N94" s="203">
        <f>Таблица3[[#This Row],[SOTILGAN NARXI]]-Таблица3[[#This Row],[OLINGAN NARXI $]]-Таблица3[[#This Row],[RASXOD]]</f>
        <v>-1190</v>
      </c>
      <c r="O94" s="199">
        <v>998775437</v>
      </c>
    </row>
    <row r="95" spans="1:15" s="205" customFormat="1" x14ac:dyDescent="0.3">
      <c r="A95" s="218">
        <v>94</v>
      </c>
      <c r="B95" s="198" t="s">
        <v>16</v>
      </c>
      <c r="C95" s="199" t="s">
        <v>132</v>
      </c>
      <c r="D95" s="200" t="s">
        <v>290</v>
      </c>
      <c r="E95" s="200" t="s">
        <v>15</v>
      </c>
      <c r="F95" s="201">
        <v>351696725398234</v>
      </c>
      <c r="G95" s="200"/>
      <c r="H95" s="202">
        <v>45893</v>
      </c>
      <c r="I95" s="203">
        <v>250</v>
      </c>
      <c r="J95" s="203"/>
      <c r="K95" s="202"/>
      <c r="L95" s="204">
        <f>Таблица3[[#This Row],[OLINGAN NARXI $]]+Таблица3[[#This Row],[RASXOD]]</f>
        <v>250</v>
      </c>
      <c r="M95" s="203"/>
      <c r="N95" s="203">
        <f>Таблица3[[#This Row],[SOTILGAN NARXI]]-Таблица3[[#This Row],[OLINGAN NARXI $]]-Таблица3[[#This Row],[RASXOD]]</f>
        <v>-250</v>
      </c>
      <c r="O95" s="199" t="s">
        <v>1666</v>
      </c>
    </row>
    <row r="96" spans="1:15" s="205" customFormat="1" x14ac:dyDescent="0.3">
      <c r="A96" s="218">
        <v>95</v>
      </c>
      <c r="B96" s="198" t="s">
        <v>16</v>
      </c>
      <c r="C96" s="199" t="s">
        <v>96</v>
      </c>
      <c r="D96" s="200" t="s">
        <v>18</v>
      </c>
      <c r="E96" s="200" t="s">
        <v>15</v>
      </c>
      <c r="F96" s="201">
        <v>353828106804112</v>
      </c>
      <c r="G96" s="200"/>
      <c r="H96" s="202">
        <v>45893</v>
      </c>
      <c r="I96" s="203">
        <v>220</v>
      </c>
      <c r="J96" s="203"/>
      <c r="K96" s="202"/>
      <c r="L96" s="204">
        <f>Таблица3[[#This Row],[OLINGAN NARXI $]]+Таблица3[[#This Row],[RASXOD]]</f>
        <v>220</v>
      </c>
      <c r="M96" s="203"/>
      <c r="N96" s="203">
        <f>Таблица3[[#This Row],[SOTILGAN NARXI]]-Таблица3[[#This Row],[OLINGAN NARXI $]]-Таблица3[[#This Row],[RASXOD]]</f>
        <v>-220</v>
      </c>
      <c r="O96" s="199">
        <v>900801196</v>
      </c>
    </row>
    <row r="97" spans="1:15" s="205" customFormat="1" x14ac:dyDescent="0.3">
      <c r="A97" s="218">
        <v>96</v>
      </c>
      <c r="B97" s="198" t="s">
        <v>16</v>
      </c>
      <c r="C97" s="199" t="s">
        <v>312</v>
      </c>
      <c r="D97" s="200" t="s">
        <v>65</v>
      </c>
      <c r="E97" s="200" t="s">
        <v>15</v>
      </c>
      <c r="F97" s="201">
        <v>353510600253828</v>
      </c>
      <c r="G97" s="200"/>
      <c r="H97" s="202">
        <v>45893</v>
      </c>
      <c r="I97" s="203">
        <v>575</v>
      </c>
      <c r="J97" s="203"/>
      <c r="K97" s="202"/>
      <c r="L97" s="204">
        <f>Таблица3[[#This Row],[OLINGAN NARXI $]]+Таблица3[[#This Row],[RASXOD]]</f>
        <v>575</v>
      </c>
      <c r="M97" s="203"/>
      <c r="N97" s="203">
        <f>Таблица3[[#This Row],[SOTILGAN NARXI]]-Таблица3[[#This Row],[OLINGAN NARXI $]]-Таблица3[[#This Row],[RASXOD]]</f>
        <v>-575</v>
      </c>
      <c r="O97" s="199" t="s">
        <v>1667</v>
      </c>
    </row>
    <row r="98" spans="1:15" s="205" customFormat="1" x14ac:dyDescent="0.3">
      <c r="A98" s="218">
        <v>97</v>
      </c>
      <c r="B98" s="198" t="s">
        <v>16</v>
      </c>
      <c r="C98" s="199" t="s">
        <v>312</v>
      </c>
      <c r="D98" s="200" t="s">
        <v>65</v>
      </c>
      <c r="E98" s="200" t="s">
        <v>15</v>
      </c>
      <c r="F98" s="201">
        <v>352206205077149</v>
      </c>
      <c r="G98" s="200"/>
      <c r="H98" s="202">
        <v>45893</v>
      </c>
      <c r="I98" s="203">
        <v>600</v>
      </c>
      <c r="J98" s="203"/>
      <c r="K98" s="202"/>
      <c r="L98" s="204">
        <f>Таблица3[[#This Row],[OLINGAN NARXI $]]+Таблица3[[#This Row],[RASXOD]]</f>
        <v>600</v>
      </c>
      <c r="M98" s="203"/>
      <c r="N98" s="203">
        <f>Таблица3[[#This Row],[SOTILGAN NARXI]]-Таблица3[[#This Row],[OLINGAN NARXI $]]-Таблица3[[#This Row],[RASXOD]]</f>
        <v>-600</v>
      </c>
      <c r="O98" s="199">
        <v>910887161</v>
      </c>
    </row>
    <row r="99" spans="1:15" s="205" customFormat="1" x14ac:dyDescent="0.3">
      <c r="A99" s="218">
        <v>98</v>
      </c>
      <c r="B99" s="198" t="s">
        <v>16</v>
      </c>
      <c r="C99" s="199" t="s">
        <v>74</v>
      </c>
      <c r="D99" s="200" t="s">
        <v>21</v>
      </c>
      <c r="E99" s="200" t="s">
        <v>15</v>
      </c>
      <c r="F99" s="201">
        <v>353730794162375</v>
      </c>
      <c r="G99" s="200" t="s">
        <v>181</v>
      </c>
      <c r="H99" s="202">
        <v>45894</v>
      </c>
      <c r="I99" s="203">
        <v>430</v>
      </c>
      <c r="J99" s="203"/>
      <c r="K99" s="202"/>
      <c r="L99" s="204">
        <f>Таблица3[[#This Row],[OLINGAN NARXI $]]+Таблица3[[#This Row],[RASXOD]]</f>
        <v>430</v>
      </c>
      <c r="M99" s="203"/>
      <c r="N99" s="203">
        <f>Таблица3[[#This Row],[SOTILGAN NARXI]]-Таблица3[[#This Row],[OLINGAN NARXI $]]-Таблица3[[#This Row],[RASXOD]]</f>
        <v>-430</v>
      </c>
      <c r="O99" s="199" t="s">
        <v>262</v>
      </c>
    </row>
    <row r="100" spans="1:15" s="205" customFormat="1" x14ac:dyDescent="0.3">
      <c r="A100" s="218">
        <v>99</v>
      </c>
      <c r="B100" s="198" t="s">
        <v>16</v>
      </c>
      <c r="C100" s="199" t="s">
        <v>1000</v>
      </c>
      <c r="D100" s="200" t="s">
        <v>583</v>
      </c>
      <c r="E100" s="200" t="s">
        <v>22</v>
      </c>
      <c r="F100" s="201">
        <v>351366062176839</v>
      </c>
      <c r="G100" s="200"/>
      <c r="H100" s="202">
        <v>45894</v>
      </c>
      <c r="I100" s="203">
        <v>1160</v>
      </c>
      <c r="J100" s="203"/>
      <c r="K100" s="202"/>
      <c r="L100" s="204">
        <f>Таблица3[[#This Row],[OLINGAN NARXI $]]+Таблица3[[#This Row],[RASXOD]]</f>
        <v>1160</v>
      </c>
      <c r="M100" s="203"/>
      <c r="N100" s="203">
        <f>Таблица3[[#This Row],[SOTILGAN NARXI]]-Таблица3[[#This Row],[OLINGAN NARXI $]]-Таблица3[[#This Row],[RASXOD]]</f>
        <v>-1160</v>
      </c>
      <c r="O100" s="199">
        <v>884758787</v>
      </c>
    </row>
    <row r="101" spans="1:15" s="205" customFormat="1" x14ac:dyDescent="0.3">
      <c r="A101" s="218">
        <v>100</v>
      </c>
      <c r="B101" s="198" t="s">
        <v>13</v>
      </c>
      <c r="C101" s="199" t="s">
        <v>563</v>
      </c>
      <c r="D101" s="200" t="s">
        <v>884</v>
      </c>
      <c r="E101" s="200" t="s">
        <v>15</v>
      </c>
      <c r="F101" s="201">
        <v>351562312749116</v>
      </c>
      <c r="G101" s="200"/>
      <c r="H101" s="202">
        <v>45894</v>
      </c>
      <c r="I101" s="203">
        <v>340</v>
      </c>
      <c r="J101" s="203"/>
      <c r="K101" s="202"/>
      <c r="L101" s="204">
        <f>Таблица3[[#This Row],[OLINGAN NARXI $]]+Таблица3[[#This Row],[RASXOD]]</f>
        <v>340</v>
      </c>
      <c r="M101" s="203"/>
      <c r="N101" s="203">
        <f>Таблица3[[#This Row],[SOTILGAN NARXI]]-Таблица3[[#This Row],[OLINGAN NARXI $]]-Таблица3[[#This Row],[RASXOD]]</f>
        <v>-340</v>
      </c>
      <c r="O101" s="199">
        <v>507794060</v>
      </c>
    </row>
    <row r="102" spans="1:15" s="205" customFormat="1" x14ac:dyDescent="0.3">
      <c r="A102" s="218">
        <v>101</v>
      </c>
      <c r="B102" s="198" t="s">
        <v>13</v>
      </c>
      <c r="C102" s="199" t="s">
        <v>255</v>
      </c>
      <c r="D102" s="200" t="s">
        <v>26</v>
      </c>
      <c r="E102" s="200" t="s">
        <v>22</v>
      </c>
      <c r="F102" s="201">
        <v>350683211354690</v>
      </c>
      <c r="G102" s="200" t="s">
        <v>1675</v>
      </c>
      <c r="H102" s="202">
        <v>45894</v>
      </c>
      <c r="I102" s="203">
        <v>500</v>
      </c>
      <c r="J102" s="203">
        <v>8</v>
      </c>
      <c r="K102" s="202"/>
      <c r="L102" s="204">
        <f>Таблица3[[#This Row],[OLINGAN NARXI $]]+Таблица3[[#This Row],[RASXOD]]</f>
        <v>508</v>
      </c>
      <c r="M102" s="203"/>
      <c r="N102" s="203">
        <f>Таблица3[[#This Row],[SOTILGAN NARXI]]-Таблица3[[#This Row],[OLINGAN NARXI $]]-Таблица3[[#This Row],[RASXOD]]</f>
        <v>-508</v>
      </c>
      <c r="O102" s="199" t="s">
        <v>1516</v>
      </c>
    </row>
    <row r="103" spans="1:15" s="205" customFormat="1" x14ac:dyDescent="0.3">
      <c r="A103" s="218">
        <v>102</v>
      </c>
      <c r="B103" s="198" t="s">
        <v>207</v>
      </c>
      <c r="C103" s="199" t="s">
        <v>1360</v>
      </c>
      <c r="D103" s="200" t="s">
        <v>1681</v>
      </c>
      <c r="E103" s="200" t="s">
        <v>15</v>
      </c>
      <c r="F103" s="201"/>
      <c r="G103" s="200"/>
      <c r="H103" s="202">
        <v>45896</v>
      </c>
      <c r="I103" s="203">
        <v>130</v>
      </c>
      <c r="J103" s="203"/>
      <c r="K103" s="202"/>
      <c r="L103" s="204">
        <f>Таблица3[[#This Row],[OLINGAN NARXI $]]+Таблица3[[#This Row],[RASXOD]]</f>
        <v>130</v>
      </c>
      <c r="M103" s="203"/>
      <c r="N103" s="203">
        <f>Таблица3[[#This Row],[SOTILGAN NARXI]]-Таблица3[[#This Row],[OLINGAN NARXI $]]-Таблица3[[#This Row],[RASXOD]]</f>
        <v>-130</v>
      </c>
      <c r="O103" s="199" t="s">
        <v>262</v>
      </c>
    </row>
    <row r="104" spans="1:15" s="205" customFormat="1" x14ac:dyDescent="0.3">
      <c r="A104" s="218">
        <v>103</v>
      </c>
      <c r="B104" s="198" t="s">
        <v>16</v>
      </c>
      <c r="C104" s="199" t="s">
        <v>34</v>
      </c>
      <c r="D104" s="200" t="s">
        <v>35</v>
      </c>
      <c r="E104" s="200" t="s">
        <v>22</v>
      </c>
      <c r="F104" s="201">
        <v>352784982083662</v>
      </c>
      <c r="G104" s="200"/>
      <c r="H104" s="202">
        <v>45897</v>
      </c>
      <c r="I104" s="203">
        <v>650</v>
      </c>
      <c r="J104" s="203"/>
      <c r="K104" s="202"/>
      <c r="L104" s="204">
        <f>Таблица3[[#This Row],[OLINGAN NARXI $]]+Таблица3[[#This Row],[RASXOD]]</f>
        <v>650</v>
      </c>
      <c r="M104" s="203"/>
      <c r="N104" s="203">
        <f>Таблица3[[#This Row],[SOTILGAN NARXI]]-Таблица3[[#This Row],[OLINGAN NARXI $]]-Таблица3[[#This Row],[RASXOD]]</f>
        <v>-650</v>
      </c>
      <c r="O104" s="199" t="s">
        <v>1685</v>
      </c>
    </row>
    <row r="105" spans="1:15" s="205" customFormat="1" x14ac:dyDescent="0.3">
      <c r="A105" s="218">
        <v>104</v>
      </c>
      <c r="B105" s="198" t="s">
        <v>16</v>
      </c>
      <c r="C105" s="199" t="s">
        <v>39</v>
      </c>
      <c r="D105" s="200" t="s">
        <v>35</v>
      </c>
      <c r="E105" s="200" t="s">
        <v>22</v>
      </c>
      <c r="F105" s="201">
        <v>357132532438348</v>
      </c>
      <c r="G105" s="200"/>
      <c r="H105" s="202">
        <v>45898</v>
      </c>
      <c r="I105" s="203">
        <v>600</v>
      </c>
      <c r="J105" s="203"/>
      <c r="K105" s="202"/>
      <c r="L105" s="204">
        <f>Таблица3[[#This Row],[OLINGAN NARXI $]]+Таблица3[[#This Row],[RASXOD]]</f>
        <v>600</v>
      </c>
      <c r="M105" s="203"/>
      <c r="N105" s="203">
        <f>Таблица3[[#This Row],[SOTILGAN NARXI]]-Таблица3[[#This Row],[OLINGAN NARXI $]]-Таблица3[[#This Row],[RASXOD]]</f>
        <v>-600</v>
      </c>
      <c r="O105" s="199">
        <v>901876388</v>
      </c>
    </row>
    <row r="106" spans="1:15" s="205" customFormat="1" x14ac:dyDescent="0.3">
      <c r="A106" s="218">
        <v>105</v>
      </c>
      <c r="B106" s="198" t="s">
        <v>16</v>
      </c>
      <c r="C106" s="199" t="s">
        <v>303</v>
      </c>
      <c r="D106" s="200" t="s">
        <v>21</v>
      </c>
      <c r="E106" s="200" t="s">
        <v>15</v>
      </c>
      <c r="F106" s="201">
        <v>350735458278162</v>
      </c>
      <c r="G106" s="200"/>
      <c r="H106" s="202">
        <v>45898</v>
      </c>
      <c r="I106" s="203">
        <v>410</v>
      </c>
      <c r="J106" s="203"/>
      <c r="K106" s="202"/>
      <c r="L106" s="204">
        <f>Таблица3[[#This Row],[OLINGAN NARXI $]]+Таблица3[[#This Row],[RASXOD]]</f>
        <v>410</v>
      </c>
      <c r="M106" s="203"/>
      <c r="N106" s="203">
        <f>Таблица3[[#This Row],[SOTILGAN NARXI]]-Таблица3[[#This Row],[OLINGAN NARXI $]]-Таблица3[[#This Row],[RASXOD]]</f>
        <v>-410</v>
      </c>
      <c r="O106" s="199" t="s">
        <v>1704</v>
      </c>
    </row>
    <row r="107" spans="1:15" s="205" customFormat="1" x14ac:dyDescent="0.3">
      <c r="A107" s="218">
        <v>106</v>
      </c>
      <c r="B107" s="198" t="s">
        <v>16</v>
      </c>
      <c r="C107" s="199" t="s">
        <v>17</v>
      </c>
      <c r="D107" s="200" t="s">
        <v>21</v>
      </c>
      <c r="E107" s="200" t="s">
        <v>15</v>
      </c>
      <c r="F107" s="201">
        <v>352835111514892</v>
      </c>
      <c r="G107" s="200" t="s">
        <v>140</v>
      </c>
      <c r="H107" s="202">
        <v>45899</v>
      </c>
      <c r="I107" s="203">
        <v>170</v>
      </c>
      <c r="J107" s="203">
        <v>32.31</v>
      </c>
      <c r="K107" s="202"/>
      <c r="L107" s="204">
        <f>Таблица3[[#This Row],[OLINGAN NARXI $]]+Таблица3[[#This Row],[RASXOD]]</f>
        <v>202.31</v>
      </c>
      <c r="M107" s="203"/>
      <c r="N107" s="203">
        <f>Таблица3[[#This Row],[SOTILGAN NARXI]]-Таблица3[[#This Row],[OLINGAN NARXI $]]-Таблица3[[#This Row],[RASXOD]]</f>
        <v>-202.31</v>
      </c>
      <c r="O107" s="199" t="s">
        <v>1713</v>
      </c>
    </row>
    <row r="108" spans="1:15" s="205" customFormat="1" x14ac:dyDescent="0.3">
      <c r="A108" s="218">
        <v>107</v>
      </c>
      <c r="B108" s="198" t="s">
        <v>13</v>
      </c>
      <c r="C108" s="199" t="s">
        <v>1115</v>
      </c>
      <c r="D108" s="200" t="s">
        <v>21</v>
      </c>
      <c r="E108" s="200" t="s">
        <v>15</v>
      </c>
      <c r="F108" s="201">
        <v>352649111106736</v>
      </c>
      <c r="G108" s="200" t="s">
        <v>1772</v>
      </c>
      <c r="H108" s="202">
        <v>45899</v>
      </c>
      <c r="I108" s="203">
        <v>176</v>
      </c>
      <c r="J108" s="203">
        <v>36.24</v>
      </c>
      <c r="K108" s="202"/>
      <c r="L108" s="204">
        <f>Таблица3[[#This Row],[OLINGAN NARXI $]]+Таблица3[[#This Row],[RASXOD]]</f>
        <v>212.24</v>
      </c>
      <c r="M108" s="203"/>
      <c r="N108" s="203">
        <f>Таблица3[[#This Row],[SOTILGAN NARXI]]-Таблица3[[#This Row],[OLINGAN NARXI $]]-Таблица3[[#This Row],[RASXOD]]</f>
        <v>-212.24</v>
      </c>
      <c r="O108" s="199" t="s">
        <v>1715</v>
      </c>
    </row>
    <row r="109" spans="1:15" s="205" customFormat="1" x14ac:dyDescent="0.3">
      <c r="A109" s="218">
        <v>108</v>
      </c>
      <c r="B109" s="198" t="s">
        <v>16</v>
      </c>
      <c r="C109" s="199" t="s">
        <v>25</v>
      </c>
      <c r="D109" s="200" t="s">
        <v>21</v>
      </c>
      <c r="E109" s="200" t="s">
        <v>15</v>
      </c>
      <c r="F109" s="201">
        <v>358181356366159</v>
      </c>
      <c r="G109" s="200"/>
      <c r="H109" s="202">
        <v>45900</v>
      </c>
      <c r="I109" s="203">
        <v>920</v>
      </c>
      <c r="J109" s="203"/>
      <c r="K109" s="202"/>
      <c r="L109" s="204">
        <f>Таблица3[[#This Row],[OLINGAN NARXI $]]+Таблица3[[#This Row],[RASXOD]]</f>
        <v>920</v>
      </c>
      <c r="M109" s="203"/>
      <c r="N109" s="203">
        <f>Таблица3[[#This Row],[SOTILGAN NARXI]]-Таблица3[[#This Row],[OLINGAN NARXI $]]-Таблица3[[#This Row],[RASXOD]]</f>
        <v>-920</v>
      </c>
      <c r="O109" s="199" t="s">
        <v>1716</v>
      </c>
    </row>
    <row r="110" spans="1:15" s="205" customFormat="1" x14ac:dyDescent="0.3">
      <c r="A110" s="218">
        <v>109</v>
      </c>
      <c r="B110" s="198" t="s">
        <v>16</v>
      </c>
      <c r="C110" s="199" t="s">
        <v>160</v>
      </c>
      <c r="D110" s="200" t="s">
        <v>18</v>
      </c>
      <c r="E110" s="200" t="s">
        <v>15</v>
      </c>
      <c r="F110" s="201">
        <v>358635142407247</v>
      </c>
      <c r="G110" s="200" t="s">
        <v>556</v>
      </c>
      <c r="H110" s="202">
        <v>45900</v>
      </c>
      <c r="I110" s="203">
        <v>900</v>
      </c>
      <c r="J110" s="203"/>
      <c r="K110" s="202"/>
      <c r="L110" s="204">
        <f>Таблица3[[#This Row],[OLINGAN NARXI $]]+Таблица3[[#This Row],[RASXOD]]</f>
        <v>900</v>
      </c>
      <c r="M110" s="203"/>
      <c r="N110" s="203">
        <f>Таблица3[[#This Row],[SOTILGAN NARXI]]-Таблица3[[#This Row],[OLINGAN NARXI $]]-Таблица3[[#This Row],[RASXOD]]</f>
        <v>-900</v>
      </c>
      <c r="O110" s="199" t="s">
        <v>1367</v>
      </c>
    </row>
    <row r="111" spans="1:15" s="205" customFormat="1" x14ac:dyDescent="0.3">
      <c r="A111" s="218">
        <v>110</v>
      </c>
      <c r="B111" s="198" t="s">
        <v>16</v>
      </c>
      <c r="C111" s="199" t="s">
        <v>160</v>
      </c>
      <c r="D111" s="200" t="s">
        <v>18</v>
      </c>
      <c r="E111" s="200" t="s">
        <v>15</v>
      </c>
      <c r="F111" s="201">
        <v>358579646147307</v>
      </c>
      <c r="G111" s="200" t="s">
        <v>98</v>
      </c>
      <c r="H111" s="202">
        <v>45900</v>
      </c>
      <c r="I111" s="203">
        <v>850</v>
      </c>
      <c r="J111" s="203"/>
      <c r="K111" s="202"/>
      <c r="L111" s="204">
        <f>Таблица3[[#This Row],[OLINGAN NARXI $]]+Таблица3[[#This Row],[RASXOD]]</f>
        <v>850</v>
      </c>
      <c r="M111" s="203"/>
      <c r="N111" s="203">
        <f>Таблица3[[#This Row],[SOTILGAN NARXI]]-Таблица3[[#This Row],[OLINGAN NARXI $]]-Таблица3[[#This Row],[RASXOD]]</f>
        <v>-850</v>
      </c>
      <c r="O111" s="199" t="s">
        <v>1367</v>
      </c>
    </row>
    <row r="112" spans="1:15" s="205" customFormat="1" x14ac:dyDescent="0.3">
      <c r="A112" s="218">
        <v>111</v>
      </c>
      <c r="B112" s="245" t="s">
        <v>16</v>
      </c>
      <c r="C112" s="246" t="s">
        <v>129</v>
      </c>
      <c r="D112" s="247" t="s">
        <v>290</v>
      </c>
      <c r="E112" s="247" t="s">
        <v>22</v>
      </c>
      <c r="F112" s="248">
        <v>357782727854533</v>
      </c>
      <c r="G112" s="200" t="s">
        <v>1748</v>
      </c>
      <c r="H112" s="202">
        <v>45901</v>
      </c>
      <c r="I112" s="203">
        <v>500</v>
      </c>
      <c r="J112" s="203"/>
      <c r="K112" s="202"/>
      <c r="L112" s="204">
        <f>Таблица3[[#This Row],[OLINGAN NARXI $]]+Таблица3[[#This Row],[RASXOD]]</f>
        <v>500</v>
      </c>
      <c r="M112" s="203"/>
      <c r="N112" s="203">
        <f>Таблица3[[#This Row],[SOTILGAN NARXI]]-Таблица3[[#This Row],[OLINGAN NARXI $]]-Таблица3[[#This Row],[RASXOD]]</f>
        <v>-500</v>
      </c>
      <c r="O112" s="199" t="s">
        <v>1749</v>
      </c>
    </row>
    <row r="113" spans="1:15" s="205" customFormat="1" x14ac:dyDescent="0.3">
      <c r="A113" s="218">
        <v>112</v>
      </c>
      <c r="B113" s="198" t="s">
        <v>16</v>
      </c>
      <c r="C113" s="199" t="s">
        <v>39</v>
      </c>
      <c r="D113" s="200" t="s">
        <v>35</v>
      </c>
      <c r="E113" s="200" t="s">
        <v>15</v>
      </c>
      <c r="F113" s="201">
        <v>358547328767247</v>
      </c>
      <c r="G113" s="200"/>
      <c r="H113" s="202">
        <v>45901</v>
      </c>
      <c r="I113" s="203">
        <v>660</v>
      </c>
      <c r="J113" s="203"/>
      <c r="K113" s="202"/>
      <c r="L113" s="204">
        <v>660</v>
      </c>
      <c r="M113" s="203"/>
      <c r="N113" s="203">
        <f>Таблица3[[#This Row],[SOTILGAN NARXI]]-Таблица3[[#This Row],[OLINGAN NARXI $]]-Таблица3[[#This Row],[RASXOD]]</f>
        <v>-660</v>
      </c>
      <c r="O113" s="199" t="s">
        <v>1004</v>
      </c>
    </row>
    <row r="114" spans="1:15" s="205" customFormat="1" x14ac:dyDescent="0.3">
      <c r="A114" s="218">
        <v>113</v>
      </c>
      <c r="B114" s="198" t="s">
        <v>16</v>
      </c>
      <c r="C114" s="199" t="s">
        <v>312</v>
      </c>
      <c r="D114" s="200" t="s">
        <v>45</v>
      </c>
      <c r="E114" s="200" t="s">
        <v>22</v>
      </c>
      <c r="F114" s="201">
        <v>353210485051781</v>
      </c>
      <c r="G114" s="200"/>
      <c r="H114" s="202">
        <v>45901</v>
      </c>
      <c r="I114" s="203">
        <v>640</v>
      </c>
      <c r="J114" s="203"/>
      <c r="K114" s="202"/>
      <c r="L114" s="204">
        <f>Таблица3[[#This Row],[OLINGAN NARXI $]]+Таблица3[[#This Row],[RASXOD]]</f>
        <v>640</v>
      </c>
      <c r="M114" s="203"/>
      <c r="N114" s="203">
        <f>Таблица3[[#This Row],[SOTILGAN NARXI]]-Таблица3[[#This Row],[OLINGAN NARXI $]]-Таблица3[[#This Row],[RASXOD]]</f>
        <v>-640</v>
      </c>
      <c r="O114" s="199" t="s">
        <v>1744</v>
      </c>
    </row>
    <row r="115" spans="1:15" s="205" customFormat="1" x14ac:dyDescent="0.3">
      <c r="A115" s="218">
        <v>114</v>
      </c>
      <c r="B115" s="198" t="s">
        <v>16</v>
      </c>
      <c r="C115" s="199" t="s">
        <v>34</v>
      </c>
      <c r="D115" s="200" t="s">
        <v>35</v>
      </c>
      <c r="E115" s="200" t="s">
        <v>22</v>
      </c>
      <c r="F115" s="201">
        <v>359761970636969</v>
      </c>
      <c r="G115" s="200"/>
      <c r="H115" s="202">
        <v>45901</v>
      </c>
      <c r="I115" s="203">
        <v>670</v>
      </c>
      <c r="J115" s="203"/>
      <c r="K115" s="202"/>
      <c r="L115" s="204">
        <f>Таблица3[[#This Row],[OLINGAN NARXI $]]+Таблица3[[#This Row],[RASXOD]]</f>
        <v>670</v>
      </c>
      <c r="M115" s="203"/>
      <c r="N115" s="203">
        <f>Таблица3[[#This Row],[SOTILGAN NARXI]]-Таблица3[[#This Row],[OLINGAN NARXI $]]-Таблица3[[#This Row],[RASXOD]]</f>
        <v>-670</v>
      </c>
      <c r="O115" s="199" t="s">
        <v>1747</v>
      </c>
    </row>
    <row r="116" spans="1:15" s="205" customFormat="1" x14ac:dyDescent="0.3">
      <c r="A116" s="218">
        <v>115</v>
      </c>
      <c r="B116" s="198" t="s">
        <v>16</v>
      </c>
      <c r="C116" s="199" t="s">
        <v>312</v>
      </c>
      <c r="D116" s="200" t="s">
        <v>97</v>
      </c>
      <c r="E116" s="200" t="s">
        <v>15</v>
      </c>
      <c r="F116" s="201">
        <v>350566107241958</v>
      </c>
      <c r="G116" s="200"/>
      <c r="H116" s="202">
        <v>45901</v>
      </c>
      <c r="I116" s="203">
        <v>610</v>
      </c>
      <c r="J116" s="203"/>
      <c r="K116" s="202"/>
      <c r="L116" s="204">
        <f>Таблица3[[#This Row],[OLINGAN NARXI $]]+Таблица3[[#This Row],[RASXOD]]</f>
        <v>610</v>
      </c>
      <c r="M116" s="203"/>
      <c r="N116" s="203">
        <f>Таблица3[[#This Row],[SOTILGAN NARXI]]-Таблица3[[#This Row],[OLINGAN NARXI $]]-Таблица3[[#This Row],[RASXOD]]</f>
        <v>-610</v>
      </c>
      <c r="O116" s="199">
        <v>774975050</v>
      </c>
    </row>
    <row r="117" spans="1:15" s="205" customFormat="1" x14ac:dyDescent="0.3">
      <c r="A117" s="218">
        <v>116</v>
      </c>
      <c r="B117" s="198" t="s">
        <v>16</v>
      </c>
      <c r="C117" s="199" t="s">
        <v>88</v>
      </c>
      <c r="D117" s="200" t="s">
        <v>97</v>
      </c>
      <c r="E117" s="200" t="s">
        <v>22</v>
      </c>
      <c r="F117" s="201">
        <v>359595819334232</v>
      </c>
      <c r="G117" s="200"/>
      <c r="H117" s="202">
        <v>45901</v>
      </c>
      <c r="I117" s="203">
        <v>410</v>
      </c>
      <c r="J117" s="203"/>
      <c r="K117" s="202"/>
      <c r="L117" s="204">
        <f>Таблица3[[#This Row],[OLINGAN NARXI $]]+Таблица3[[#This Row],[RASXOD]]</f>
        <v>410</v>
      </c>
      <c r="M117" s="203"/>
      <c r="N117" s="203">
        <f>Таблица3[[#This Row],[SOTILGAN NARXI]]-Таблица3[[#This Row],[OLINGAN NARXI $]]-Таблица3[[#This Row],[RASXOD]]</f>
        <v>-410</v>
      </c>
      <c r="O117" s="199">
        <v>774975050</v>
      </c>
    </row>
    <row r="118" spans="1:15" s="205" customFormat="1" x14ac:dyDescent="0.3">
      <c r="A118" s="218">
        <v>117</v>
      </c>
      <c r="B118" s="198" t="s">
        <v>16</v>
      </c>
      <c r="C118" s="199" t="s">
        <v>265</v>
      </c>
      <c r="D118" s="200" t="s">
        <v>21</v>
      </c>
      <c r="E118" s="200" t="s">
        <v>22</v>
      </c>
      <c r="F118" s="201">
        <v>353816088264736</v>
      </c>
      <c r="G118" s="200"/>
      <c r="H118" s="202">
        <v>45901</v>
      </c>
      <c r="I118" s="203">
        <v>32</v>
      </c>
      <c r="J118" s="203"/>
      <c r="K118" s="202"/>
      <c r="L118" s="204">
        <f>Таблица3[[#This Row],[OLINGAN NARXI $]]+Таблица3[[#This Row],[RASXOD]]</f>
        <v>32</v>
      </c>
      <c r="M118" s="203"/>
      <c r="N118" s="203">
        <f>Таблица3[[#This Row],[SOTILGAN NARXI]]-Таблица3[[#This Row],[OLINGAN NARXI $]]-Таблица3[[#This Row],[RASXOD]]</f>
        <v>-32</v>
      </c>
      <c r="O118" s="199" t="s">
        <v>1752</v>
      </c>
    </row>
    <row r="119" spans="1:15" s="205" customFormat="1" x14ac:dyDescent="0.3">
      <c r="A119" s="218">
        <v>118</v>
      </c>
      <c r="B119" s="198" t="s">
        <v>16</v>
      </c>
      <c r="C119" s="199" t="s">
        <v>129</v>
      </c>
      <c r="D119" s="200" t="s">
        <v>21</v>
      </c>
      <c r="E119" s="200" t="s">
        <v>22</v>
      </c>
      <c r="F119" s="201">
        <v>355475795944979</v>
      </c>
      <c r="G119" s="200"/>
      <c r="H119" s="202">
        <v>45902</v>
      </c>
      <c r="I119" s="203">
        <v>585</v>
      </c>
      <c r="J119" s="203"/>
      <c r="K119" s="202"/>
      <c r="L119" s="204">
        <f>Таблица3[[#This Row],[OLINGAN NARXI $]]+Таблица3[[#This Row],[RASXOD]]</f>
        <v>585</v>
      </c>
      <c r="M119" s="203"/>
      <c r="N119" s="203">
        <f>Таблица3[[#This Row],[SOTILGAN NARXI]]-Таблица3[[#This Row],[OLINGAN NARXI $]]-Таблица3[[#This Row],[RASXOD]]</f>
        <v>-585</v>
      </c>
      <c r="O119" s="199" t="s">
        <v>1654</v>
      </c>
    </row>
    <row r="120" spans="1:15" s="205" customFormat="1" x14ac:dyDescent="0.3">
      <c r="A120" s="218">
        <v>119</v>
      </c>
      <c r="B120" s="198" t="s">
        <v>16</v>
      </c>
      <c r="C120" s="199" t="s">
        <v>106</v>
      </c>
      <c r="D120" s="200" t="s">
        <v>21</v>
      </c>
      <c r="E120" s="200" t="s">
        <v>15</v>
      </c>
      <c r="F120" s="201">
        <v>356543103477294</v>
      </c>
      <c r="G120" s="200"/>
      <c r="H120" s="202">
        <v>45902</v>
      </c>
      <c r="I120" s="203">
        <v>190</v>
      </c>
      <c r="J120" s="203"/>
      <c r="K120" s="202"/>
      <c r="L120" s="204">
        <f>Таблица3[[#This Row],[OLINGAN NARXI $]]+Таблица3[[#This Row],[RASXOD]]</f>
        <v>190</v>
      </c>
      <c r="M120" s="203"/>
      <c r="N120" s="203">
        <f>Таблица3[[#This Row],[SOTILGAN NARXI]]-Таблица3[[#This Row],[OLINGAN NARXI $]]-Таблица3[[#This Row],[RASXOD]]</f>
        <v>-190</v>
      </c>
      <c r="O120" s="199" t="s">
        <v>262</v>
      </c>
    </row>
    <row r="121" spans="1:15" s="205" customFormat="1" x14ac:dyDescent="0.3">
      <c r="A121" s="218">
        <v>120</v>
      </c>
      <c r="B121" s="198" t="s">
        <v>16</v>
      </c>
      <c r="C121" s="199" t="s">
        <v>1000</v>
      </c>
      <c r="D121" s="200" t="s">
        <v>583</v>
      </c>
      <c r="E121" s="200" t="s">
        <v>15</v>
      </c>
      <c r="F121" s="201">
        <v>350096146176510</v>
      </c>
      <c r="G121" s="200"/>
      <c r="H121" s="202">
        <v>45903</v>
      </c>
      <c r="I121" s="203">
        <v>990</v>
      </c>
      <c r="J121" s="203"/>
      <c r="K121" s="202"/>
      <c r="L121" s="204">
        <f>Таблица3[[#This Row],[OLINGAN NARXI $]]+Таблица3[[#This Row],[RASXOD]]</f>
        <v>990</v>
      </c>
      <c r="M121" s="203"/>
      <c r="N121" s="372">
        <f>Таблица3[[#This Row],[SOTILGAN NARXI]]-Таблица3[[#This Row],[OLINGAN NARXI $]]-Таблица3[[#This Row],[RASXOD]]</f>
        <v>-990</v>
      </c>
      <c r="O121" s="199">
        <v>774975050</v>
      </c>
    </row>
    <row r="122" spans="1:15" s="205" customFormat="1" x14ac:dyDescent="0.3">
      <c r="A122" s="218">
        <v>121</v>
      </c>
      <c r="B122" s="198" t="s">
        <v>16</v>
      </c>
      <c r="C122" s="199" t="s">
        <v>74</v>
      </c>
      <c r="D122" s="200" t="s">
        <v>35</v>
      </c>
      <c r="E122" s="200" t="s">
        <v>15</v>
      </c>
      <c r="F122" s="201">
        <v>354811953518588</v>
      </c>
      <c r="G122" s="200"/>
      <c r="H122" s="202">
        <v>45903</v>
      </c>
      <c r="I122" s="203">
        <v>560</v>
      </c>
      <c r="J122" s="203"/>
      <c r="K122" s="202"/>
      <c r="L122" s="204">
        <f>Таблица3[[#This Row],[OLINGAN NARXI $]]+Таблица3[[#This Row],[RASXOD]]</f>
        <v>560</v>
      </c>
      <c r="M122" s="203"/>
      <c r="N122" s="372">
        <f>Таблица3[[#This Row],[SOTILGAN NARXI]]-Таблица3[[#This Row],[OLINGAN NARXI $]]-Таблица3[[#This Row],[RASXOD]]</f>
        <v>-560</v>
      </c>
      <c r="O122" s="199">
        <v>774975050</v>
      </c>
    </row>
    <row r="123" spans="1:15" s="205" customFormat="1" x14ac:dyDescent="0.3">
      <c r="A123" s="218">
        <v>122</v>
      </c>
      <c r="B123" s="198" t="s">
        <v>13</v>
      </c>
      <c r="C123" s="199" t="s">
        <v>563</v>
      </c>
      <c r="D123" s="200" t="s">
        <v>884</v>
      </c>
      <c r="E123" s="200" t="s">
        <v>15</v>
      </c>
      <c r="F123" s="201">
        <v>352019420179255</v>
      </c>
      <c r="G123" s="200"/>
      <c r="H123" s="202">
        <v>45903</v>
      </c>
      <c r="I123" s="203">
        <v>330</v>
      </c>
      <c r="J123" s="203"/>
      <c r="K123" s="202"/>
      <c r="L123" s="204">
        <f>Таблица3[[#This Row],[OLINGAN NARXI $]]+Таблица3[[#This Row],[RASXOD]]</f>
        <v>330</v>
      </c>
      <c r="M123" s="203"/>
      <c r="N123" s="372">
        <f>Таблица3[[#This Row],[SOTILGAN NARXI]]-Таблица3[[#This Row],[OLINGAN NARXI $]]-Таблица3[[#This Row],[RASXOD]]</f>
        <v>-330</v>
      </c>
      <c r="O123" s="199" t="s">
        <v>1780</v>
      </c>
    </row>
    <row r="124" spans="1:15" s="205" customFormat="1" x14ac:dyDescent="0.3">
      <c r="A124" s="218">
        <v>123</v>
      </c>
      <c r="B124" s="198" t="s">
        <v>16</v>
      </c>
      <c r="C124" s="199" t="s">
        <v>81</v>
      </c>
      <c r="D124" s="200" t="s">
        <v>65</v>
      </c>
      <c r="E124" s="200" t="s">
        <v>15</v>
      </c>
      <c r="F124" s="201">
        <v>359664929242998</v>
      </c>
      <c r="G124" s="200"/>
      <c r="H124" s="202">
        <v>45903</v>
      </c>
      <c r="I124" s="203">
        <v>520</v>
      </c>
      <c r="J124" s="203"/>
      <c r="K124" s="202"/>
      <c r="L124" s="204">
        <f>Таблица3[[#This Row],[OLINGAN NARXI $]]+Таблица3[[#This Row],[RASXOD]]</f>
        <v>520</v>
      </c>
      <c r="M124" s="203"/>
      <c r="N124" s="372">
        <f>Таблица3[[#This Row],[SOTILGAN NARXI]]-Таблица3[[#This Row],[OLINGAN NARXI $]]-Таблица3[[#This Row],[RASXOD]]</f>
        <v>-520</v>
      </c>
      <c r="O124" s="199" t="s">
        <v>1781</v>
      </c>
    </row>
    <row r="125" spans="1:15" s="205" customFormat="1" x14ac:dyDescent="0.3">
      <c r="A125" s="218">
        <v>124</v>
      </c>
      <c r="B125" s="198" t="s">
        <v>16</v>
      </c>
      <c r="C125" s="199" t="s">
        <v>104</v>
      </c>
      <c r="D125" s="200" t="s">
        <v>45</v>
      </c>
      <c r="E125" s="200" t="s">
        <v>15</v>
      </c>
      <c r="F125" s="201">
        <v>351330881258962</v>
      </c>
      <c r="G125" s="200" t="s">
        <v>556</v>
      </c>
      <c r="H125" s="202">
        <v>45903</v>
      </c>
      <c r="I125" s="203">
        <v>370</v>
      </c>
      <c r="J125" s="203"/>
      <c r="K125" s="202"/>
      <c r="L125" s="204">
        <f>Таблица3[[#This Row],[OLINGAN NARXI $]]+Таблица3[[#This Row],[RASXOD]]</f>
        <v>370</v>
      </c>
      <c r="M125" s="203"/>
      <c r="N125" s="372">
        <f>Таблица3[[#This Row],[SOTILGAN NARXI]]-Таблица3[[#This Row],[OLINGAN NARXI $]]-Таблица3[[#This Row],[RASXOD]]</f>
        <v>-370</v>
      </c>
      <c r="O125" s="199" t="s">
        <v>1716</v>
      </c>
    </row>
    <row r="126" spans="1:15" s="205" customFormat="1" x14ac:dyDescent="0.3">
      <c r="A126" s="218">
        <v>125</v>
      </c>
      <c r="B126" s="198" t="s">
        <v>13</v>
      </c>
      <c r="C126" s="199" t="s">
        <v>1207</v>
      </c>
      <c r="D126" s="200" t="s">
        <v>21</v>
      </c>
      <c r="E126" s="200" t="s">
        <v>22</v>
      </c>
      <c r="F126" s="201">
        <v>355289668318199</v>
      </c>
      <c r="G126" s="200"/>
      <c r="H126" s="202">
        <v>45903</v>
      </c>
      <c r="I126" s="203">
        <v>64</v>
      </c>
      <c r="J126" s="203"/>
      <c r="K126" s="202"/>
      <c r="L126" s="204">
        <f>Таблица3[[#This Row],[OLINGAN NARXI $]]+Таблица3[[#This Row],[RASXOD]]</f>
        <v>64</v>
      </c>
      <c r="M126" s="203"/>
      <c r="N126" s="372">
        <f>Таблица3[[#This Row],[SOTILGAN NARXI]]-Таблица3[[#This Row],[OLINGAN NARXI $]]-Таблица3[[#This Row],[RASXOD]]</f>
        <v>-64</v>
      </c>
      <c r="O126" s="199"/>
    </row>
    <row r="127" spans="1:15" s="205" customFormat="1" x14ac:dyDescent="0.3">
      <c r="A127" s="218">
        <v>126</v>
      </c>
      <c r="B127" s="198"/>
      <c r="C127" s="199"/>
      <c r="D127" s="200"/>
      <c r="E127" s="200"/>
      <c r="F127" s="201"/>
      <c r="G127" s="200"/>
      <c r="H127" s="202"/>
      <c r="I127" s="203"/>
      <c r="J127" s="203"/>
      <c r="K127" s="202"/>
      <c r="L127" s="204">
        <f>Таблица3[[#This Row],[OLINGAN NARXI $]]+Таблица3[[#This Row],[RASXOD]]</f>
        <v>0</v>
      </c>
      <c r="M127" s="203"/>
      <c r="N127" s="372">
        <f>Таблица3[[#This Row],[SOTILGAN NARXI]]-Таблица3[[#This Row],[OLINGAN NARXI $]]-Таблица3[[#This Row],[RASXOD]]</f>
        <v>0</v>
      </c>
      <c r="O127" s="199"/>
    </row>
    <row r="128" spans="1:15" s="205" customFormat="1" x14ac:dyDescent="0.3">
      <c r="A128" s="218">
        <v>127</v>
      </c>
      <c r="B128" s="198"/>
      <c r="C128" s="199"/>
      <c r="D128" s="200"/>
      <c r="E128" s="200"/>
      <c r="F128" s="201"/>
      <c r="G128" s="200"/>
      <c r="H128" s="202"/>
      <c r="I128" s="203"/>
      <c r="J128" s="203"/>
      <c r="K128" s="202"/>
      <c r="L128" s="204">
        <f>Таблица3[[#This Row],[OLINGAN NARXI $]]+Таблица3[[#This Row],[RASXOD]]</f>
        <v>0</v>
      </c>
      <c r="M128" s="203"/>
      <c r="N128" s="372">
        <f>Таблица3[[#This Row],[SOTILGAN NARXI]]-Таблица3[[#This Row],[OLINGAN NARXI $]]-Таблица3[[#This Row],[RASXOD]]</f>
        <v>0</v>
      </c>
      <c r="O128" s="199"/>
    </row>
    <row r="129" spans="1:15" s="205" customFormat="1" x14ac:dyDescent="0.3">
      <c r="A129" s="218">
        <v>128</v>
      </c>
      <c r="B129" s="198"/>
      <c r="C129" s="199"/>
      <c r="D129" s="200"/>
      <c r="E129" s="200"/>
      <c r="F129" s="201"/>
      <c r="G129" s="200"/>
      <c r="H129" s="202"/>
      <c r="I129" s="203"/>
      <c r="J129" s="203"/>
      <c r="K129" s="202"/>
      <c r="L129" s="204">
        <f>Таблица3[[#This Row],[OLINGAN NARXI $]]+Таблица3[[#This Row],[RASXOD]]</f>
        <v>0</v>
      </c>
      <c r="M129" s="203"/>
      <c r="N129" s="372">
        <f>Таблица3[[#This Row],[SOTILGAN NARXI]]-Таблица3[[#This Row],[OLINGAN NARXI $]]-Таблица3[[#This Row],[RASXOD]]</f>
        <v>0</v>
      </c>
      <c r="O129" s="199"/>
    </row>
    <row r="130" spans="1:15" s="205" customFormat="1" x14ac:dyDescent="0.3">
      <c r="A130" s="218">
        <v>129</v>
      </c>
      <c r="B130" s="198"/>
      <c r="C130" s="199"/>
      <c r="D130" s="200"/>
      <c r="E130" s="200"/>
      <c r="F130" s="201"/>
      <c r="G130" s="200"/>
      <c r="H130" s="202"/>
      <c r="I130" s="203"/>
      <c r="J130" s="203"/>
      <c r="K130" s="202"/>
      <c r="L130" s="204">
        <f>Таблица3[[#This Row],[OLINGAN NARXI $]]+Таблица3[[#This Row],[RASXOD]]</f>
        <v>0</v>
      </c>
      <c r="M130" s="203"/>
      <c r="N130" s="203">
        <f>Таблица3[[#This Row],[SOTILGAN NARXI]]-Таблица3[[#This Row],[OLINGAN NARXI $]]-Таблица3[[#This Row],[RASXOD]]</f>
        <v>0</v>
      </c>
      <c r="O130" s="199"/>
    </row>
    <row r="131" spans="1:15" s="205" customFormat="1" x14ac:dyDescent="0.3">
      <c r="A131" s="218">
        <v>130</v>
      </c>
      <c r="B131" s="198"/>
      <c r="C131" s="199"/>
      <c r="D131" s="200"/>
      <c r="E131" s="200"/>
      <c r="F131" s="201"/>
      <c r="G131" s="200"/>
      <c r="H131" s="202"/>
      <c r="I131" s="203"/>
      <c r="J131" s="203"/>
      <c r="K131" s="202"/>
      <c r="L131" s="204">
        <f>Таблица3[[#This Row],[OLINGAN NARXI $]]+Таблица3[[#This Row],[RASXOD]]</f>
        <v>0</v>
      </c>
      <c r="M131" s="203"/>
      <c r="N131" s="203">
        <f>Таблица3[[#This Row],[SOTILGAN NARXI]]-Таблица3[[#This Row],[OLINGAN NARXI $]]-Таблица3[[#This Row],[RASXOD]]</f>
        <v>0</v>
      </c>
      <c r="O131" s="199"/>
    </row>
    <row r="132" spans="1:15" s="205" customFormat="1" x14ac:dyDescent="0.3">
      <c r="A132" s="218">
        <v>131</v>
      </c>
      <c r="B132" s="198"/>
      <c r="C132" s="199"/>
      <c r="D132" s="200"/>
      <c r="E132" s="200"/>
      <c r="F132" s="201"/>
      <c r="G132" s="200"/>
      <c r="H132" s="202"/>
      <c r="I132" s="203"/>
      <c r="J132" s="203"/>
      <c r="K132" s="202"/>
      <c r="L132" s="204">
        <f>Таблица3[[#This Row],[OLINGAN NARXI $]]+Таблица3[[#This Row],[RASXOD]]</f>
        <v>0</v>
      </c>
      <c r="M132" s="203"/>
      <c r="N132" s="203">
        <f>Таблица3[[#This Row],[SOTILGAN NARXI]]-Таблица3[[#This Row],[OLINGAN NARXI $]]-Таблица3[[#This Row],[RASXOD]]</f>
        <v>0</v>
      </c>
      <c r="O132" s="199"/>
    </row>
    <row r="133" spans="1:15" s="205" customFormat="1" x14ac:dyDescent="0.3">
      <c r="A133" s="218">
        <v>132</v>
      </c>
      <c r="B133" s="198"/>
      <c r="C133" s="199"/>
      <c r="D133" s="200"/>
      <c r="E133" s="200"/>
      <c r="F133" s="201"/>
      <c r="G133" s="200"/>
      <c r="H133" s="202"/>
      <c r="I133" s="203"/>
      <c r="J133" s="203"/>
      <c r="K133" s="202"/>
      <c r="L133" s="204">
        <f>Таблица3[[#This Row],[OLINGAN NARXI $]]+Таблица3[[#This Row],[RASXOD]]</f>
        <v>0</v>
      </c>
      <c r="M133" s="203"/>
      <c r="N133" s="203">
        <f>Таблица3[[#This Row],[SOTILGAN NARXI]]-Таблица3[[#This Row],[OLINGAN NARXI $]]-Таблица3[[#This Row],[RASXOD]]</f>
        <v>0</v>
      </c>
      <c r="O133" s="199"/>
    </row>
    <row r="134" spans="1:15" s="205" customFormat="1" x14ac:dyDescent="0.3">
      <c r="A134" s="218">
        <v>133</v>
      </c>
      <c r="B134" s="198"/>
      <c r="C134" s="199"/>
      <c r="D134" s="200"/>
      <c r="E134" s="200"/>
      <c r="F134" s="201"/>
      <c r="G134" s="200"/>
      <c r="H134" s="202"/>
      <c r="I134" s="203"/>
      <c r="J134" s="203"/>
      <c r="K134" s="202"/>
      <c r="L134" s="204">
        <f>Таблица3[[#This Row],[OLINGAN NARXI $]]+Таблица3[[#This Row],[RASXOD]]</f>
        <v>0</v>
      </c>
      <c r="M134" s="203"/>
      <c r="N134" s="203">
        <f>Таблица3[[#This Row],[SOTILGAN NARXI]]-Таблица3[[#This Row],[OLINGAN NARXI $]]-Таблица3[[#This Row],[RASXOD]]</f>
        <v>0</v>
      </c>
      <c r="O134" s="199"/>
    </row>
    <row r="135" spans="1:15" s="205" customFormat="1" x14ac:dyDescent="0.3">
      <c r="A135" s="218">
        <v>134</v>
      </c>
      <c r="B135" s="198"/>
      <c r="C135" s="199"/>
      <c r="D135" s="200"/>
      <c r="E135" s="200"/>
      <c r="F135" s="201"/>
      <c r="G135" s="200"/>
      <c r="H135" s="202"/>
      <c r="I135" s="203"/>
      <c r="J135" s="203"/>
      <c r="K135" s="202"/>
      <c r="L135" s="204">
        <f>Таблица3[[#This Row],[OLINGAN NARXI $]]+Таблица3[[#This Row],[RASXOD]]</f>
        <v>0</v>
      </c>
      <c r="M135" s="203"/>
      <c r="N135" s="203">
        <f>Таблица3[[#This Row],[SOTILGAN NARXI]]-Таблица3[[#This Row],[OLINGAN NARXI $]]-Таблица3[[#This Row],[RASXOD]]</f>
        <v>0</v>
      </c>
      <c r="O135" s="199"/>
    </row>
    <row r="136" spans="1:15" s="205" customFormat="1" x14ac:dyDescent="0.3">
      <c r="A136" s="218">
        <v>135</v>
      </c>
      <c r="B136" s="198"/>
      <c r="C136" s="199"/>
      <c r="D136" s="200"/>
      <c r="E136" s="200"/>
      <c r="F136" s="201"/>
      <c r="G136" s="200"/>
      <c r="H136" s="202"/>
      <c r="I136" s="203"/>
      <c r="J136" s="203"/>
      <c r="K136" s="202"/>
      <c r="L136" s="204">
        <f>Таблица3[[#This Row],[OLINGAN NARXI $]]+Таблица3[[#This Row],[RASXOD]]</f>
        <v>0</v>
      </c>
      <c r="M136" s="203"/>
      <c r="N136" s="203">
        <f>Таблица3[[#This Row],[SOTILGAN NARXI]]-Таблица3[[#This Row],[OLINGAN NARXI $]]-Таблица3[[#This Row],[RASXOD]]</f>
        <v>0</v>
      </c>
      <c r="O136" s="199"/>
    </row>
    <row r="137" spans="1:15" s="205" customFormat="1" x14ac:dyDescent="0.3">
      <c r="A137" s="218">
        <v>136</v>
      </c>
      <c r="B137" s="198"/>
      <c r="C137" s="199"/>
      <c r="D137" s="200"/>
      <c r="E137" s="200"/>
      <c r="F137" s="201" t="s">
        <v>1717</v>
      </c>
      <c r="G137" s="200"/>
      <c r="H137" s="202"/>
      <c r="I137" s="203"/>
      <c r="J137" s="203"/>
      <c r="K137" s="202"/>
      <c r="L137" s="204">
        <f>Таблица3[[#This Row],[OLINGAN NARXI $]]+Таблица3[[#This Row],[RASXOD]]</f>
        <v>0</v>
      </c>
      <c r="M137" s="203"/>
      <c r="N137" s="203">
        <f>Таблица3[[#This Row],[SOTILGAN NARXI]]-Таблица3[[#This Row],[OLINGAN NARXI $]]-Таблица3[[#This Row],[RASXOD]]</f>
        <v>0</v>
      </c>
      <c r="O137" s="199"/>
    </row>
    <row r="138" spans="1:15" s="205" customFormat="1" x14ac:dyDescent="0.3">
      <c r="A138" s="218">
        <v>137</v>
      </c>
      <c r="B138" s="198"/>
      <c r="C138" s="199"/>
      <c r="D138" s="200"/>
      <c r="E138" s="200"/>
      <c r="F138" s="201"/>
      <c r="G138" s="200"/>
      <c r="H138" s="202"/>
      <c r="I138" s="203"/>
      <c r="J138" s="203"/>
      <c r="K138" s="202"/>
      <c r="L138" s="204">
        <f>Таблица3[[#This Row],[OLINGAN NARXI $]]+Таблица3[[#This Row],[RASXOD]]</f>
        <v>0</v>
      </c>
      <c r="M138" s="203"/>
      <c r="N138" s="203">
        <f>Таблица3[[#This Row],[SOTILGAN NARXI]]-Таблица3[[#This Row],[OLINGAN NARXI $]]-Таблица3[[#This Row],[RASXOD]]</f>
        <v>0</v>
      </c>
      <c r="O138" s="199"/>
    </row>
    <row r="139" spans="1:15" s="205" customFormat="1" x14ac:dyDescent="0.3">
      <c r="A139" s="218">
        <v>138</v>
      </c>
      <c r="B139" s="198"/>
      <c r="C139" s="199"/>
      <c r="D139" s="200"/>
      <c r="E139" s="200"/>
      <c r="F139" s="201"/>
      <c r="G139" s="200"/>
      <c r="H139" s="202"/>
      <c r="I139" s="203"/>
      <c r="J139" s="203"/>
      <c r="K139" s="202"/>
      <c r="L139" s="204">
        <f>Таблица3[[#This Row],[OLINGAN NARXI $]]+Таблица3[[#This Row],[RASXOD]]</f>
        <v>0</v>
      </c>
      <c r="M139" s="203"/>
      <c r="N139" s="203">
        <f>Таблица3[[#This Row],[SOTILGAN NARXI]]-Таблица3[[#This Row],[OLINGAN NARXI $]]-Таблица3[[#This Row],[RASXOD]]</f>
        <v>0</v>
      </c>
      <c r="O139" s="199"/>
    </row>
    <row r="140" spans="1:15" s="205" customFormat="1" x14ac:dyDescent="0.3">
      <c r="A140" s="218">
        <v>139</v>
      </c>
      <c r="B140" s="218" t="s">
        <v>1233</v>
      </c>
      <c r="C140" s="199"/>
      <c r="D140" s="200"/>
      <c r="E140" s="200"/>
      <c r="F140" s="201"/>
      <c r="G140" s="200"/>
      <c r="H140" s="202"/>
      <c r="I140" s="203"/>
      <c r="J140" s="203"/>
      <c r="K140" s="202"/>
      <c r="L140" s="204">
        <f>Таблица3[[#This Row],[OLINGAN NARXI $]]+Таблица3[[#This Row],[RASXOD]]</f>
        <v>0</v>
      </c>
      <c r="M140" s="203"/>
      <c r="N140" s="203">
        <f>Таблица3[[#This Row],[SOTILGAN NARXI]]-Таблица3[[#This Row],[OLINGAN NARXI $]]-Таблица3[[#This Row],[RASXOD]]</f>
        <v>0</v>
      </c>
      <c r="O140" s="199"/>
    </row>
    <row r="141" spans="1:15" s="205" customFormat="1" x14ac:dyDescent="0.3">
      <c r="A141" s="198"/>
      <c r="B141" s="198"/>
      <c r="C141" s="199"/>
      <c r="D141" s="200"/>
      <c r="E141" s="200"/>
      <c r="F141" s="201"/>
      <c r="G141" s="200"/>
      <c r="H141" s="202"/>
      <c r="I141" s="203"/>
      <c r="J141" s="203"/>
      <c r="K141" s="202"/>
      <c r="L141" s="204">
        <f>Таблица3[[#This Row],[OLINGAN NARXI $]]+Таблица3[[#This Row],[RASXOD]]</f>
        <v>0</v>
      </c>
      <c r="M141" s="203"/>
      <c r="N141" s="203"/>
      <c r="O141" s="199"/>
    </row>
    <row r="142" spans="1:15" s="205" customFormat="1" x14ac:dyDescent="0.3">
      <c r="A142" s="198"/>
      <c r="B142" s="198"/>
      <c r="C142" s="199"/>
      <c r="D142" s="200"/>
      <c r="E142" s="200"/>
      <c r="F142" s="201"/>
      <c r="G142" s="200"/>
      <c r="H142" s="202"/>
      <c r="I142" s="203"/>
      <c r="J142" s="203"/>
      <c r="K142" s="202"/>
      <c r="L142" s="204">
        <f>Таблица3[[#This Row],[OLINGAN NARXI $]]+Таблица3[[#This Row],[RASXOD]]</f>
        <v>0</v>
      </c>
      <c r="M142" s="203"/>
      <c r="N142" s="203"/>
      <c r="O142" s="199"/>
    </row>
    <row r="143" spans="1:15" s="205" customFormat="1" ht="20.25" customHeight="1" x14ac:dyDescent="0.3">
      <c r="A143" s="218"/>
      <c r="B143" s="217" t="s">
        <v>1231</v>
      </c>
      <c r="C143" s="254"/>
      <c r="D143" s="255"/>
      <c r="E143" s="255"/>
      <c r="F143" s="256"/>
      <c r="G143" s="255"/>
      <c r="H143" s="257"/>
      <c r="I143" s="258"/>
      <c r="J143" s="258"/>
      <c r="K143" s="257"/>
      <c r="L143" s="226">
        <f>Таблица3[[#This Row],[OLINGAN NARXI $]]+Таблица3[[#This Row],[RASXOD]]</f>
        <v>0</v>
      </c>
      <c r="M143" s="258"/>
      <c r="N143" s="203"/>
      <c r="O143" s="199"/>
    </row>
    <row r="144" spans="1:15" s="205" customFormat="1" x14ac:dyDescent="0.3">
      <c r="A144" s="218">
        <v>1</v>
      </c>
      <c r="B144" s="198" t="s">
        <v>13</v>
      </c>
      <c r="C144" s="199" t="s">
        <v>668</v>
      </c>
      <c r="D144" s="200" t="s">
        <v>35</v>
      </c>
      <c r="E144" s="200" t="s">
        <v>22</v>
      </c>
      <c r="F144" s="201">
        <v>350525850846058</v>
      </c>
      <c r="G144" s="200"/>
      <c r="H144" s="202">
        <v>45649</v>
      </c>
      <c r="I144" s="203">
        <v>200</v>
      </c>
      <c r="J144" s="203"/>
      <c r="K144" s="202"/>
      <c r="L144" s="204">
        <f>Таблица3[[#This Row],[OLINGAN NARXI $]]+Таблица3[[#This Row],[RASXOD]]</f>
        <v>200</v>
      </c>
      <c r="M144" s="203"/>
      <c r="N144" s="203">
        <f>Таблица3[[#This Row],[SOTILGAN NARXI]]-Таблица3[[#This Row],[OLINGAN NARXI $]]-Таблица3[[#This Row],[RASXOD]]</f>
        <v>-200</v>
      </c>
      <c r="O144" s="199" t="s">
        <v>669</v>
      </c>
    </row>
    <row r="145" spans="1:15" s="205" customFormat="1" ht="15.75" customHeight="1" x14ac:dyDescent="0.3">
      <c r="A145" s="218">
        <v>2</v>
      </c>
      <c r="B145" s="198" t="s">
        <v>16</v>
      </c>
      <c r="C145" s="199" t="s">
        <v>149</v>
      </c>
      <c r="D145" s="200" t="s">
        <v>187</v>
      </c>
      <c r="E145" s="200" t="s">
        <v>15</v>
      </c>
      <c r="F145" s="201">
        <v>352916112502084</v>
      </c>
      <c r="G145" s="200"/>
      <c r="H145" s="202">
        <v>45650</v>
      </c>
      <c r="I145" s="203">
        <v>190</v>
      </c>
      <c r="J145" s="203">
        <v>18</v>
      </c>
      <c r="K145" s="202"/>
      <c r="L145" s="204">
        <f>Таблица3[[#This Row],[OLINGAN NARXI $]]+Таблица3[[#This Row],[RASXOD]]</f>
        <v>208</v>
      </c>
      <c r="M145" s="203"/>
      <c r="N145" s="203">
        <f>Таблица3[[#This Row],[SOTILGAN NARXI]]-Таблица3[[#This Row],[OLINGAN NARXI $]]-Таблица3[[#This Row],[RASXOD]]</f>
        <v>-208</v>
      </c>
      <c r="O145" s="199" t="s">
        <v>147</v>
      </c>
    </row>
    <row r="146" spans="1:15" s="205" customFormat="1" x14ac:dyDescent="0.3">
      <c r="A146" s="218">
        <v>3</v>
      </c>
      <c r="B146" s="198" t="s">
        <v>16</v>
      </c>
      <c r="C146" s="199" t="s">
        <v>149</v>
      </c>
      <c r="D146" s="200" t="s">
        <v>21</v>
      </c>
      <c r="E146" s="200" t="s">
        <v>15</v>
      </c>
      <c r="F146" s="201">
        <v>353993109599679</v>
      </c>
      <c r="G146" s="200" t="s">
        <v>66</v>
      </c>
      <c r="H146" s="202">
        <v>45673</v>
      </c>
      <c r="I146" s="203">
        <v>170</v>
      </c>
      <c r="J146" s="203"/>
      <c r="K146" s="202"/>
      <c r="L146" s="204">
        <f>Таблица3[[#This Row],[OLINGAN NARXI $]]+Таблица3[[#This Row],[RASXOD]]</f>
        <v>170</v>
      </c>
      <c r="M146" s="203"/>
      <c r="N146" s="203">
        <f>Таблица3[[#This Row],[SOTILGAN NARXI]]-Таблица3[[#This Row],[OLINGAN NARXI $]]-Таблица3[[#This Row],[RASXOD]]</f>
        <v>-170</v>
      </c>
      <c r="O146" s="199" t="s">
        <v>262</v>
      </c>
    </row>
    <row r="147" spans="1:15" s="205" customFormat="1" x14ac:dyDescent="0.3">
      <c r="A147" s="218">
        <v>4</v>
      </c>
      <c r="B147" s="198" t="s">
        <v>13</v>
      </c>
      <c r="C147" s="199" t="s">
        <v>455</v>
      </c>
      <c r="D147" s="200" t="s">
        <v>21</v>
      </c>
      <c r="E147" s="200" t="s">
        <v>15</v>
      </c>
      <c r="F147" s="201">
        <v>352412373892901</v>
      </c>
      <c r="G147" s="200"/>
      <c r="H147" s="202">
        <v>45675</v>
      </c>
      <c r="I147" s="203">
        <v>275</v>
      </c>
      <c r="J147" s="203"/>
      <c r="K147" s="202"/>
      <c r="L147" s="204">
        <f>Таблица3[[#This Row],[OLINGAN NARXI $]]+Таблица3[[#This Row],[RASXOD]]</f>
        <v>275</v>
      </c>
      <c r="M147" s="203"/>
      <c r="N147" s="203">
        <f>Таблица3[[#This Row],[SOTILGAN NARXI]]-Таблица3[[#This Row],[OLINGAN NARXI $]]-Таблица3[[#This Row],[RASXOD]]</f>
        <v>-275</v>
      </c>
      <c r="O147" s="199" t="s">
        <v>764</v>
      </c>
    </row>
    <row r="148" spans="1:15" s="205" customFormat="1" x14ac:dyDescent="0.3">
      <c r="A148" s="218">
        <v>5</v>
      </c>
      <c r="B148" s="198" t="s">
        <v>13</v>
      </c>
      <c r="C148" s="199" t="s">
        <v>793</v>
      </c>
      <c r="D148" s="200" t="s">
        <v>89</v>
      </c>
      <c r="E148" s="200" t="s">
        <v>15</v>
      </c>
      <c r="F148" s="201">
        <v>350330058184596</v>
      </c>
      <c r="G148" s="200"/>
      <c r="H148" s="202">
        <v>45681</v>
      </c>
      <c r="I148" s="203">
        <v>250</v>
      </c>
      <c r="J148" s="203"/>
      <c r="K148" s="202"/>
      <c r="L148" s="204">
        <f>Таблица3[[#This Row],[OLINGAN NARXI $]]+Таблица3[[#This Row],[RASXOD]]</f>
        <v>250</v>
      </c>
      <c r="M148" s="203"/>
      <c r="N148" s="203">
        <f>Таблица3[[#This Row],[SOTILGAN NARXI]]-Таблица3[[#This Row],[OLINGAN NARXI $]]-Таблица3[[#This Row],[RASXOD]]</f>
        <v>-250</v>
      </c>
      <c r="O148" s="199" t="s">
        <v>794</v>
      </c>
    </row>
    <row r="149" spans="1:15" s="205" customFormat="1" x14ac:dyDescent="0.3">
      <c r="A149" s="218">
        <v>6</v>
      </c>
      <c r="B149" s="198" t="s">
        <v>13</v>
      </c>
      <c r="C149" s="199" t="s">
        <v>119</v>
      </c>
      <c r="D149" s="200" t="s">
        <v>830</v>
      </c>
      <c r="E149" s="200" t="s">
        <v>15</v>
      </c>
      <c r="F149" s="201">
        <v>350345220717032</v>
      </c>
      <c r="G149" s="200"/>
      <c r="H149" s="202">
        <v>45754</v>
      </c>
      <c r="I149" s="203">
        <v>275</v>
      </c>
      <c r="J149" s="203"/>
      <c r="K149" s="202"/>
      <c r="L149" s="204">
        <f>Таблица3[[#This Row],[OLINGAN NARXI $]]+Таблица3[[#This Row],[RASXOD]]</f>
        <v>275</v>
      </c>
      <c r="M149" s="203"/>
      <c r="N149" s="203">
        <f>Таблица3[[#This Row],[SOTILGAN NARXI]]-Таблица3[[#This Row],[OLINGAN NARXI $]]-Таблица3[[#This Row],[RASXOD]]</f>
        <v>-275</v>
      </c>
      <c r="O149" s="199" t="s">
        <v>147</v>
      </c>
    </row>
    <row r="150" spans="1:15" s="205" customFormat="1" x14ac:dyDescent="0.3">
      <c r="A150" s="218">
        <v>7</v>
      </c>
      <c r="B150" s="198" t="s">
        <v>13</v>
      </c>
      <c r="C150" s="199" t="s">
        <v>119</v>
      </c>
      <c r="D150" s="200" t="s">
        <v>830</v>
      </c>
      <c r="E150" s="200" t="s">
        <v>15</v>
      </c>
      <c r="F150" s="201">
        <v>352399300454162</v>
      </c>
      <c r="G150" s="200"/>
      <c r="H150" s="202">
        <v>45754</v>
      </c>
      <c r="I150" s="203">
        <v>275</v>
      </c>
      <c r="J150" s="203"/>
      <c r="K150" s="202"/>
      <c r="L150" s="204">
        <f>Таблица3[[#This Row],[OLINGAN NARXI $]]+Таблица3[[#This Row],[RASXOD]]</f>
        <v>275</v>
      </c>
      <c r="M150" s="203"/>
      <c r="N150" s="203">
        <f>Таблица3[[#This Row],[SOTILGAN NARXI]]-Таблица3[[#This Row],[OLINGAN NARXI $]]-Таблица3[[#This Row],[RASXOD]]</f>
        <v>-275</v>
      </c>
      <c r="O150" s="199" t="s">
        <v>147</v>
      </c>
    </row>
    <row r="151" spans="1:15" s="205" customFormat="1" x14ac:dyDescent="0.3">
      <c r="A151" s="218">
        <v>8</v>
      </c>
      <c r="B151" s="198" t="s">
        <v>1026</v>
      </c>
      <c r="C151" s="199" t="s">
        <v>1034</v>
      </c>
      <c r="D151" s="200" t="s">
        <v>18</v>
      </c>
      <c r="E151" s="200" t="s">
        <v>22</v>
      </c>
      <c r="F151" s="201">
        <v>475</v>
      </c>
      <c r="G151" s="200" t="s">
        <v>98</v>
      </c>
      <c r="H151" s="202">
        <v>45760</v>
      </c>
      <c r="I151" s="203">
        <v>16</v>
      </c>
      <c r="J151" s="203">
        <v>19</v>
      </c>
      <c r="K151" s="202"/>
      <c r="L151" s="204">
        <f>Таблица3[[#This Row],[OLINGAN NARXI $]]+Таблица3[[#This Row],[RASXOD]]</f>
        <v>35</v>
      </c>
      <c r="M151" s="203"/>
      <c r="N151" s="203">
        <f>Таблица3[[#This Row],[SOTILGAN NARXI]]-Таблица3[[#This Row],[OLINGAN NARXI $]]-Таблица3[[#This Row],[RASXOD]]</f>
        <v>-35</v>
      </c>
      <c r="O151" s="199" t="s">
        <v>1035</v>
      </c>
    </row>
    <row r="152" spans="1:15" s="205" customFormat="1" x14ac:dyDescent="0.3">
      <c r="A152" s="218">
        <v>9</v>
      </c>
      <c r="B152" s="198" t="s">
        <v>13</v>
      </c>
      <c r="C152" s="199" t="s">
        <v>1115</v>
      </c>
      <c r="D152" s="200" t="s">
        <v>1123</v>
      </c>
      <c r="E152" s="200" t="s">
        <v>15</v>
      </c>
      <c r="F152" s="201">
        <v>352650110838196</v>
      </c>
      <c r="G152" s="200" t="s">
        <v>556</v>
      </c>
      <c r="H152" s="202">
        <v>45776</v>
      </c>
      <c r="I152" s="203">
        <v>225</v>
      </c>
      <c r="J152" s="203">
        <v>27</v>
      </c>
      <c r="K152" s="202"/>
      <c r="L152" s="204">
        <f>Таблица3[[#This Row],[OLINGAN NARXI $]]+Таблица3[[#This Row],[RASXOD]]</f>
        <v>252</v>
      </c>
      <c r="M152" s="203"/>
      <c r="N152" s="203">
        <f>Таблица3[[#This Row],[SOTILGAN NARXI]]-Таблица3[[#This Row],[OLINGAN NARXI $]]-Таблица3[[#This Row],[RASXOD]]</f>
        <v>-252</v>
      </c>
      <c r="O152" s="199" t="s">
        <v>147</v>
      </c>
    </row>
    <row r="153" spans="1:15" s="205" customFormat="1" x14ac:dyDescent="0.3">
      <c r="A153" s="218">
        <v>10</v>
      </c>
      <c r="B153" s="198" t="s">
        <v>13</v>
      </c>
      <c r="C153" s="199" t="s">
        <v>1115</v>
      </c>
      <c r="D153" s="200" t="s">
        <v>21</v>
      </c>
      <c r="E153" s="200" t="s">
        <v>15</v>
      </c>
      <c r="F153" s="201">
        <v>352649110605381</v>
      </c>
      <c r="G153" s="200" t="s">
        <v>113</v>
      </c>
      <c r="H153" s="202">
        <v>45781</v>
      </c>
      <c r="I153" s="203">
        <v>154</v>
      </c>
      <c r="J153" s="203"/>
      <c r="K153" s="202"/>
      <c r="L153" s="204">
        <f>Таблица3[[#This Row],[OLINGAN NARXI $]]+Таблица3[[#This Row],[RASXOD]]</f>
        <v>154</v>
      </c>
      <c r="M153" s="203"/>
      <c r="N153" s="203">
        <f>Таблица3[[#This Row],[SOTILGAN NARXI]]-Таблица3[[#This Row],[OLINGAN NARXI $]]-Таблица3[[#This Row],[RASXOD]]</f>
        <v>-154</v>
      </c>
      <c r="O153" s="199" t="s">
        <v>1157</v>
      </c>
    </row>
    <row r="154" spans="1:15" s="205" customFormat="1" x14ac:dyDescent="0.3">
      <c r="A154" s="218">
        <v>11</v>
      </c>
      <c r="B154" s="198" t="s">
        <v>13</v>
      </c>
      <c r="C154" s="199" t="s">
        <v>1115</v>
      </c>
      <c r="D154" s="200" t="s">
        <v>21</v>
      </c>
      <c r="E154" s="200" t="s">
        <v>15</v>
      </c>
      <c r="F154" s="201">
        <v>352650110716350</v>
      </c>
      <c r="G154" s="200"/>
      <c r="H154" s="202">
        <v>45789</v>
      </c>
      <c r="I154" s="203">
        <v>220</v>
      </c>
      <c r="J154" s="203">
        <v>32.6</v>
      </c>
      <c r="K154" s="202"/>
      <c r="L154" s="204">
        <f>Таблица3[[#This Row],[OLINGAN NARXI $]]+Таблица3[[#This Row],[RASXOD]]</f>
        <v>252.6</v>
      </c>
      <c r="M154" s="203"/>
      <c r="N154" s="203">
        <f>Таблица3[[#This Row],[SOTILGAN NARXI]]-Таблица3[[#This Row],[OLINGAN NARXI $]]-Таблица3[[#This Row],[RASXOD]]</f>
        <v>-252.6</v>
      </c>
      <c r="O154" s="199" t="s">
        <v>147</v>
      </c>
    </row>
    <row r="155" spans="1:15" s="205" customFormat="1" x14ac:dyDescent="0.3">
      <c r="A155" s="218">
        <v>12</v>
      </c>
      <c r="B155" s="198" t="s">
        <v>13</v>
      </c>
      <c r="C155" s="199" t="s">
        <v>370</v>
      </c>
      <c r="D155" s="200" t="s">
        <v>18</v>
      </c>
      <c r="E155" s="200" t="s">
        <v>15</v>
      </c>
      <c r="F155" s="201">
        <v>351357511948514</v>
      </c>
      <c r="G155" s="200"/>
      <c r="H155" s="202">
        <v>45790</v>
      </c>
      <c r="I155" s="203">
        <v>270</v>
      </c>
      <c r="J155" s="203">
        <v>16</v>
      </c>
      <c r="K155" s="202"/>
      <c r="L155" s="204">
        <f>Таблица3[[#This Row],[OLINGAN NARXI $]]+Таблица3[[#This Row],[RASXOD]]</f>
        <v>286</v>
      </c>
      <c r="M155" s="203"/>
      <c r="N155" s="203">
        <f>Таблица3[[#This Row],[SOTILGAN NARXI]]-Таблица3[[#This Row],[OLINGAN NARXI $]]-Таблица3[[#This Row],[RASXOD]]</f>
        <v>-286</v>
      </c>
      <c r="O155" s="199" t="s">
        <v>147</v>
      </c>
    </row>
    <row r="156" spans="1:15" s="205" customFormat="1" x14ac:dyDescent="0.3">
      <c r="A156" s="218">
        <v>13</v>
      </c>
      <c r="B156" s="198" t="s">
        <v>13</v>
      </c>
      <c r="C156" s="199" t="s">
        <v>119</v>
      </c>
      <c r="D156" s="200" t="s">
        <v>21</v>
      </c>
      <c r="E156" s="200" t="s">
        <v>15</v>
      </c>
      <c r="F156" s="201">
        <v>352399300162807</v>
      </c>
      <c r="G156" s="200"/>
      <c r="H156" s="202">
        <v>45804</v>
      </c>
      <c r="I156" s="203">
        <v>250</v>
      </c>
      <c r="J156" s="203"/>
      <c r="K156" s="202"/>
      <c r="L156" s="204">
        <f>Таблица3[[#This Row],[OLINGAN NARXI $]]+Таблица3[[#This Row],[RASXOD]]</f>
        <v>250</v>
      </c>
      <c r="M156" s="203"/>
      <c r="N156" s="203">
        <f>Таблица3[[#This Row],[SOTILGAN NARXI]]-Таблица3[[#This Row],[OLINGAN NARXI $]]-Таблица3[[#This Row],[RASXOD]]</f>
        <v>-250</v>
      </c>
      <c r="O156" s="199" t="s">
        <v>1264</v>
      </c>
    </row>
    <row r="157" spans="1:15" s="205" customFormat="1" x14ac:dyDescent="0.3">
      <c r="A157" s="218">
        <v>14</v>
      </c>
      <c r="B157" s="198" t="s">
        <v>16</v>
      </c>
      <c r="C157" s="199" t="s">
        <v>541</v>
      </c>
      <c r="D157" s="200" t="s">
        <v>21</v>
      </c>
      <c r="E157" s="200" t="s">
        <v>22</v>
      </c>
      <c r="F157" s="201">
        <v>353892103069996</v>
      </c>
      <c r="G157" s="200" t="s">
        <v>571</v>
      </c>
      <c r="H157" s="202">
        <v>45627</v>
      </c>
      <c r="I157" s="203">
        <v>250</v>
      </c>
      <c r="J157" s="203"/>
      <c r="K157" s="202"/>
      <c r="L157" s="204">
        <f>Таблица3[[#This Row],[OLINGAN NARXI $]]+Таблица3[[#This Row],[RASXOD]]</f>
        <v>250</v>
      </c>
      <c r="M157" s="203"/>
      <c r="N157" s="203">
        <f>Таблица3[[#This Row],[SOTILGAN NARXI]]-Таблица3[[#This Row],[OLINGAN NARXI $]]-Таблица3[[#This Row],[RASXOD]]</f>
        <v>-250</v>
      </c>
      <c r="O157" s="199" t="s">
        <v>262</v>
      </c>
    </row>
    <row r="158" spans="1:15" s="205" customFormat="1" x14ac:dyDescent="0.3">
      <c r="A158" s="218">
        <v>15</v>
      </c>
      <c r="B158" s="198" t="s">
        <v>13</v>
      </c>
      <c r="C158" s="199" t="s">
        <v>255</v>
      </c>
      <c r="D158" s="200"/>
      <c r="E158" s="200" t="s">
        <v>15</v>
      </c>
      <c r="F158" s="201">
        <v>350513041312727</v>
      </c>
      <c r="G158" s="200"/>
      <c r="H158" s="202">
        <v>45813</v>
      </c>
      <c r="I158" s="203">
        <v>645</v>
      </c>
      <c r="J158" s="203"/>
      <c r="K158" s="202"/>
      <c r="L158" s="204">
        <f>Таблица3[[#This Row],[OLINGAN NARXI $]]+Таблица3[[#This Row],[RASXOD]]</f>
        <v>645</v>
      </c>
      <c r="M158" s="203"/>
      <c r="N158" s="203">
        <f>Таблица3[[#This Row],[SOTILGAN NARXI]]-Таблица3[[#This Row],[OLINGAN NARXI $]]-Таблица3[[#This Row],[RASXOD]]</f>
        <v>-645</v>
      </c>
      <c r="O158" s="199" t="s">
        <v>19</v>
      </c>
    </row>
    <row r="159" spans="1:15" s="205" customFormat="1" x14ac:dyDescent="0.3">
      <c r="A159" s="218">
        <v>16</v>
      </c>
      <c r="B159" s="198" t="s">
        <v>13</v>
      </c>
      <c r="C159" s="199" t="s">
        <v>216</v>
      </c>
      <c r="D159" s="200" t="s">
        <v>295</v>
      </c>
      <c r="E159" s="200" t="s">
        <v>15</v>
      </c>
      <c r="F159" s="201">
        <v>355347583842089</v>
      </c>
      <c r="G159" s="200"/>
      <c r="H159" s="202">
        <v>45813</v>
      </c>
      <c r="I159" s="203">
        <v>180</v>
      </c>
      <c r="J159" s="203"/>
      <c r="K159" s="202"/>
      <c r="L159" s="204">
        <f>Таблица3[[#This Row],[OLINGAN NARXI $]]+Таблица3[[#This Row],[RASXOD]]</f>
        <v>180</v>
      </c>
      <c r="M159" s="203"/>
      <c r="N159" s="203">
        <f>Таблица3[[#This Row],[SOTILGAN NARXI]]-Таблица3[[#This Row],[OLINGAN NARXI $]]-Таблица3[[#This Row],[RASXOD]]</f>
        <v>-180</v>
      </c>
      <c r="O159" s="199" t="s">
        <v>19</v>
      </c>
    </row>
    <row r="160" spans="1:15" s="205" customFormat="1" x14ac:dyDescent="0.3">
      <c r="A160" s="218">
        <v>17</v>
      </c>
      <c r="B160" s="198" t="s">
        <v>13</v>
      </c>
      <c r="C160" s="199" t="s">
        <v>1115</v>
      </c>
      <c r="D160" s="200" t="s">
        <v>21</v>
      </c>
      <c r="E160" s="200" t="s">
        <v>15</v>
      </c>
      <c r="F160" s="201">
        <v>352649114031816</v>
      </c>
      <c r="G160" s="200"/>
      <c r="H160" s="202">
        <v>45778</v>
      </c>
      <c r="I160" s="203">
        <v>245</v>
      </c>
      <c r="J160" s="203"/>
      <c r="K160" s="202"/>
      <c r="L160" s="204">
        <f>Таблица3[[#This Row],[OLINGAN NARXI $]]+Таблица3[[#This Row],[RASXOD]]</f>
        <v>245</v>
      </c>
      <c r="M160" s="203"/>
      <c r="N160" s="203">
        <f>Таблица3[[#This Row],[SOTILGAN NARXI]]-Таблица3[[#This Row],[OLINGAN NARXI $]]-Таблица3[[#This Row],[RASXOD]]</f>
        <v>-245</v>
      </c>
      <c r="O160" s="199" t="s">
        <v>19</v>
      </c>
    </row>
    <row r="161" spans="1:15" s="205" customFormat="1" x14ac:dyDescent="0.3">
      <c r="A161" s="218">
        <v>18</v>
      </c>
      <c r="B161" s="198" t="s">
        <v>13</v>
      </c>
      <c r="C161" s="199" t="s">
        <v>455</v>
      </c>
      <c r="D161" s="200" t="s">
        <v>21</v>
      </c>
      <c r="E161" s="200" t="s">
        <v>15</v>
      </c>
      <c r="F161" s="201">
        <v>352412374368752</v>
      </c>
      <c r="G161" s="200" t="s">
        <v>556</v>
      </c>
      <c r="H161" s="202">
        <v>45788</v>
      </c>
      <c r="I161" s="203">
        <v>280</v>
      </c>
      <c r="J161" s="203"/>
      <c r="K161" s="202"/>
      <c r="L161" s="204">
        <f>Таблица3[[#This Row],[OLINGAN NARXI $]]+Таблица3[[#This Row],[RASXOD]]</f>
        <v>280</v>
      </c>
      <c r="M161" s="203"/>
      <c r="N161" s="203">
        <f>Таблица3[[#This Row],[SOTILGAN NARXI]]-Таблица3[[#This Row],[OLINGAN NARXI $]]-Таблица3[[#This Row],[RASXOD]]</f>
        <v>-280</v>
      </c>
      <c r="O161" s="199" t="s">
        <v>1197</v>
      </c>
    </row>
    <row r="162" spans="1:15" s="205" customFormat="1" x14ac:dyDescent="0.3">
      <c r="A162" s="218">
        <v>19</v>
      </c>
      <c r="B162" s="198" t="s">
        <v>16</v>
      </c>
      <c r="C162" s="199" t="s">
        <v>159</v>
      </c>
      <c r="D162" s="200" t="s">
        <v>65</v>
      </c>
      <c r="E162" s="200" t="s">
        <v>15</v>
      </c>
      <c r="F162" s="201">
        <v>351678911932521</v>
      </c>
      <c r="G162" s="200" t="s">
        <v>839</v>
      </c>
      <c r="H162" s="202">
        <v>45510</v>
      </c>
      <c r="I162" s="203">
        <v>550</v>
      </c>
      <c r="J162" s="203">
        <v>15</v>
      </c>
      <c r="K162" s="202"/>
      <c r="L162" s="204">
        <f>Таблица3[[#This Row],[OLINGAN NARXI $]]+Таблица3[[#This Row],[RASXOD]]</f>
        <v>565</v>
      </c>
      <c r="M162" s="203"/>
      <c r="N162" s="203">
        <f>Таблица3[[#This Row],[SOTILGAN NARXI]]-Таблица3[[#This Row],[OLINGAN NARXI $]]-Таблица3[[#This Row],[RASXOD]]</f>
        <v>-565</v>
      </c>
      <c r="O162" s="199" t="s">
        <v>67</v>
      </c>
    </row>
    <row r="163" spans="1:15" s="205" customFormat="1" x14ac:dyDescent="0.3">
      <c r="A163" s="218">
        <v>20</v>
      </c>
      <c r="B163" s="198" t="s">
        <v>16</v>
      </c>
      <c r="C163" s="199" t="s">
        <v>1294</v>
      </c>
      <c r="D163" s="200" t="s">
        <v>21</v>
      </c>
      <c r="E163" s="200" t="s">
        <v>22</v>
      </c>
      <c r="F163" s="201">
        <v>356752989770702</v>
      </c>
      <c r="G163" s="200" t="s">
        <v>98</v>
      </c>
      <c r="H163" s="202">
        <v>45845</v>
      </c>
      <c r="I163" s="203">
        <v>270</v>
      </c>
      <c r="J163" s="203">
        <v>31</v>
      </c>
      <c r="K163" s="202"/>
      <c r="L163" s="204">
        <f>Таблица3[[#This Row],[OLINGAN NARXI $]]+Таблица3[[#This Row],[RASXOD]]</f>
        <v>301</v>
      </c>
      <c r="M163" s="203"/>
      <c r="N163" s="203">
        <f>Таблица3[[#This Row],[SOTILGAN NARXI]]-Таблица3[[#This Row],[OLINGAN NARXI $]]-Таблица3[[#This Row],[RASXOD]]</f>
        <v>-301</v>
      </c>
      <c r="O163" s="199">
        <v>909060494</v>
      </c>
    </row>
    <row r="164" spans="1:15" s="205" customFormat="1" x14ac:dyDescent="0.3">
      <c r="A164" s="218">
        <v>21</v>
      </c>
      <c r="B164" s="198" t="s">
        <v>13</v>
      </c>
      <c r="C164" s="199" t="s">
        <v>1477</v>
      </c>
      <c r="D164" s="200" t="s">
        <v>18</v>
      </c>
      <c r="E164" s="200" t="s">
        <v>22</v>
      </c>
      <c r="F164" s="201">
        <v>357081196188998</v>
      </c>
      <c r="G164" s="200"/>
      <c r="H164" s="202">
        <v>45854</v>
      </c>
      <c r="I164" s="203">
        <v>57</v>
      </c>
      <c r="J164" s="203"/>
      <c r="K164" s="202"/>
      <c r="L164" s="204">
        <f>Таблица3[[#This Row],[OLINGAN NARXI $]]+Таблица3[[#This Row],[RASXOD]]</f>
        <v>57</v>
      </c>
      <c r="M164" s="203"/>
      <c r="N164" s="203">
        <f>Таблица3[[#This Row],[SOTILGAN NARXI]]-Таблица3[[#This Row],[OLINGAN NARXI $]]-Таблица3[[#This Row],[RASXOD]]</f>
        <v>-57</v>
      </c>
      <c r="O164" s="199" t="s">
        <v>1478</v>
      </c>
    </row>
    <row r="165" spans="1:15" s="205" customFormat="1" x14ac:dyDescent="0.3">
      <c r="A165" s="218">
        <v>22</v>
      </c>
      <c r="B165" s="198" t="s">
        <v>13</v>
      </c>
      <c r="C165" s="199" t="s">
        <v>1479</v>
      </c>
      <c r="D165" s="200" t="s">
        <v>123</v>
      </c>
      <c r="E165" s="200" t="s">
        <v>15</v>
      </c>
      <c r="F165" s="201"/>
      <c r="G165" s="200"/>
      <c r="H165" s="202">
        <v>45854</v>
      </c>
      <c r="I165" s="203">
        <v>150</v>
      </c>
      <c r="J165" s="203"/>
      <c r="K165" s="202"/>
      <c r="L165" s="204">
        <f>Таблица3[[#This Row],[OLINGAN NARXI $]]+Таблица3[[#This Row],[RASXOD]]</f>
        <v>150</v>
      </c>
      <c r="M165" s="203"/>
      <c r="N165" s="203">
        <f>Таблица3[[#This Row],[SOTILGAN NARXI]]-Таблица3[[#This Row],[OLINGAN NARXI $]]-Таблица3[[#This Row],[RASXOD]]</f>
        <v>-150</v>
      </c>
      <c r="O165" s="199" t="s">
        <v>1480</v>
      </c>
    </row>
    <row r="166" spans="1:15" s="205" customFormat="1" x14ac:dyDescent="0.3">
      <c r="A166" s="218">
        <v>23</v>
      </c>
      <c r="B166" s="198" t="s">
        <v>13</v>
      </c>
      <c r="C166" s="199" t="s">
        <v>1539</v>
      </c>
      <c r="D166" s="200" t="s">
        <v>885</v>
      </c>
      <c r="E166" s="200" t="s">
        <v>15</v>
      </c>
      <c r="F166" s="201">
        <v>352676100866392</v>
      </c>
      <c r="G166" s="200"/>
      <c r="H166" s="202">
        <v>45866</v>
      </c>
      <c r="I166" s="203">
        <v>200</v>
      </c>
      <c r="J166" s="203"/>
      <c r="K166" s="202"/>
      <c r="L166" s="204">
        <f>Таблица3[[#This Row],[OLINGAN NARXI $]]+Таблица3[[#This Row],[RASXOD]]</f>
        <v>200</v>
      </c>
      <c r="M166" s="203"/>
      <c r="N166" s="203">
        <f>Таблица3[[#This Row],[SOTILGAN NARXI]]-Таблица3[[#This Row],[OLINGAN NARXI $]]-Таблица3[[#This Row],[RASXOD]]</f>
        <v>-200</v>
      </c>
      <c r="O166" s="199" t="s">
        <v>262</v>
      </c>
    </row>
    <row r="167" spans="1:15" s="205" customFormat="1" x14ac:dyDescent="0.3">
      <c r="A167" s="218">
        <v>24</v>
      </c>
      <c r="B167" s="198" t="s">
        <v>13</v>
      </c>
      <c r="C167" s="199" t="s">
        <v>1082</v>
      </c>
      <c r="D167" s="200" t="s">
        <v>21</v>
      </c>
      <c r="E167" s="200" t="s">
        <v>15</v>
      </c>
      <c r="F167" s="201">
        <v>355374107817355</v>
      </c>
      <c r="G167" s="200" t="s">
        <v>1578</v>
      </c>
      <c r="H167" s="202">
        <v>45873</v>
      </c>
      <c r="I167" s="203">
        <v>160</v>
      </c>
      <c r="J167" s="203"/>
      <c r="K167" s="202"/>
      <c r="L167" s="204">
        <v>160</v>
      </c>
      <c r="M167" s="203"/>
      <c r="N167" s="203">
        <v>-160</v>
      </c>
      <c r="O167" s="199" t="s">
        <v>1367</v>
      </c>
    </row>
    <row r="168" spans="1:15" s="205" customFormat="1" x14ac:dyDescent="0.3">
      <c r="A168" s="218">
        <v>25</v>
      </c>
      <c r="B168" s="198" t="s">
        <v>13</v>
      </c>
      <c r="C168" s="199" t="s">
        <v>1082</v>
      </c>
      <c r="D168" s="200" t="s">
        <v>21</v>
      </c>
      <c r="E168" s="200" t="s">
        <v>15</v>
      </c>
      <c r="F168" s="201">
        <v>355374107830952</v>
      </c>
      <c r="G168" s="200" t="s">
        <v>1578</v>
      </c>
      <c r="H168" s="202">
        <v>45873</v>
      </c>
      <c r="I168" s="203">
        <v>160</v>
      </c>
      <c r="J168" s="203"/>
      <c r="K168" s="202"/>
      <c r="L168" s="204">
        <v>160</v>
      </c>
      <c r="M168" s="203"/>
      <c r="N168" s="203">
        <v>-160</v>
      </c>
      <c r="O168" s="199" t="s">
        <v>1367</v>
      </c>
    </row>
    <row r="169" spans="1:15" s="205" customFormat="1" x14ac:dyDescent="0.3">
      <c r="A169" s="218">
        <v>26</v>
      </c>
      <c r="B169" s="198" t="s">
        <v>13</v>
      </c>
      <c r="C169" s="199" t="s">
        <v>1082</v>
      </c>
      <c r="D169" s="200" t="s">
        <v>21</v>
      </c>
      <c r="E169" s="200" t="s">
        <v>15</v>
      </c>
      <c r="F169" s="201">
        <v>355374107826414</v>
      </c>
      <c r="G169" s="200" t="s">
        <v>1578</v>
      </c>
      <c r="H169" s="202">
        <v>45873</v>
      </c>
      <c r="I169" s="203">
        <v>160</v>
      </c>
      <c r="J169" s="203"/>
      <c r="K169" s="202"/>
      <c r="L169" s="204">
        <v>160</v>
      </c>
      <c r="M169" s="203"/>
      <c r="N169" s="203">
        <v>-160</v>
      </c>
      <c r="O169" s="199" t="s">
        <v>1367</v>
      </c>
    </row>
    <row r="170" spans="1:15" s="205" customFormat="1" x14ac:dyDescent="0.3">
      <c r="A170" s="218">
        <v>27</v>
      </c>
      <c r="B170" s="198" t="s">
        <v>13</v>
      </c>
      <c r="C170" s="199" t="s">
        <v>1082</v>
      </c>
      <c r="D170" s="200" t="s">
        <v>21</v>
      </c>
      <c r="E170" s="200" t="s">
        <v>15</v>
      </c>
      <c r="F170" s="201">
        <v>355374107826604</v>
      </c>
      <c r="G170" s="200" t="s">
        <v>1578</v>
      </c>
      <c r="H170" s="202">
        <v>45873</v>
      </c>
      <c r="I170" s="203">
        <v>160</v>
      </c>
      <c r="J170" s="203"/>
      <c r="K170" s="202"/>
      <c r="L170" s="204">
        <v>160</v>
      </c>
      <c r="M170" s="203"/>
      <c r="N170" s="203">
        <v>-160</v>
      </c>
      <c r="O170" s="199" t="s">
        <v>1367</v>
      </c>
    </row>
    <row r="171" spans="1:15" s="205" customFormat="1" x14ac:dyDescent="0.3">
      <c r="A171" s="218">
        <v>28</v>
      </c>
      <c r="B171" s="198" t="s">
        <v>13</v>
      </c>
      <c r="C171" s="199" t="s">
        <v>1082</v>
      </c>
      <c r="D171" s="200" t="s">
        <v>21</v>
      </c>
      <c r="E171" s="200" t="s">
        <v>15</v>
      </c>
      <c r="F171" s="201">
        <v>355374107817199</v>
      </c>
      <c r="G171" s="200" t="s">
        <v>1578</v>
      </c>
      <c r="H171" s="202">
        <v>45873</v>
      </c>
      <c r="I171" s="203">
        <v>160</v>
      </c>
      <c r="J171" s="203"/>
      <c r="K171" s="202"/>
      <c r="L171" s="204">
        <v>160</v>
      </c>
      <c r="M171" s="203"/>
      <c r="N171" s="203">
        <v>-160</v>
      </c>
      <c r="O171" s="199" t="s">
        <v>1367</v>
      </c>
    </row>
    <row r="172" spans="1:15" s="205" customFormat="1" x14ac:dyDescent="0.3">
      <c r="A172" s="218">
        <v>29</v>
      </c>
      <c r="B172" s="198" t="s">
        <v>16</v>
      </c>
      <c r="C172" s="199" t="s">
        <v>1582</v>
      </c>
      <c r="D172" s="200" t="s">
        <v>65</v>
      </c>
      <c r="E172" s="200" t="s">
        <v>22</v>
      </c>
      <c r="F172" s="201">
        <v>356514416749760</v>
      </c>
      <c r="G172" s="200"/>
      <c r="H172" s="202">
        <v>45874</v>
      </c>
      <c r="I172" s="203">
        <v>550</v>
      </c>
      <c r="J172" s="203"/>
      <c r="K172" s="202"/>
      <c r="L172" s="204">
        <f>Таблица3[[#This Row],[OLINGAN NARXI $]]+Таблица3[[#This Row],[RASXOD]]</f>
        <v>550</v>
      </c>
      <c r="M172" s="203"/>
      <c r="N172" s="203">
        <f>Таблица3[[#This Row],[SOTILGAN NARXI]]-Таблица3[[#This Row],[OLINGAN NARXI $]]-Таблица3[[#This Row],[RASXOD]]</f>
        <v>-550</v>
      </c>
      <c r="O172" s="199" t="s">
        <v>1583</v>
      </c>
    </row>
    <row r="173" spans="1:15" s="205" customFormat="1" x14ac:dyDescent="0.3">
      <c r="A173" s="218">
        <v>30</v>
      </c>
      <c r="B173" s="198" t="s">
        <v>13</v>
      </c>
      <c r="C173" s="199" t="s">
        <v>255</v>
      </c>
      <c r="D173" s="200" t="s">
        <v>65</v>
      </c>
      <c r="E173" s="200" t="s">
        <v>15</v>
      </c>
      <c r="F173" s="201">
        <v>350256190416846</v>
      </c>
      <c r="G173" s="200" t="s">
        <v>1454</v>
      </c>
      <c r="H173" s="202">
        <v>45885</v>
      </c>
      <c r="I173" s="203">
        <v>308</v>
      </c>
      <c r="J173" s="203">
        <v>113.2</v>
      </c>
      <c r="K173" s="202"/>
      <c r="L173" s="204">
        <f>Таблица3[[#This Row],[OLINGAN NARXI $]]+Таблица3[[#This Row],[RASXOD]]</f>
        <v>421.2</v>
      </c>
      <c r="M173" s="203"/>
      <c r="N173" s="203">
        <f>Таблица3[[#This Row],[SOTILGAN NARXI]]-Таблица3[[#This Row],[OLINGAN NARXI $]]-Таблица3[[#This Row],[RASXOD]]</f>
        <v>-421.2</v>
      </c>
      <c r="O173" s="199" t="s">
        <v>1620</v>
      </c>
    </row>
    <row r="174" spans="1:15" s="205" customFormat="1" x14ac:dyDescent="0.3">
      <c r="A174" s="218">
        <v>31</v>
      </c>
      <c r="B174" s="198" t="s">
        <v>13</v>
      </c>
      <c r="C174" s="199" t="s">
        <v>216</v>
      </c>
      <c r="D174" s="200" t="s">
        <v>295</v>
      </c>
      <c r="E174" s="200" t="s">
        <v>15</v>
      </c>
      <c r="F174" s="201">
        <v>355347583422171</v>
      </c>
      <c r="G174" s="200"/>
      <c r="H174" s="202">
        <v>45888</v>
      </c>
      <c r="I174" s="203">
        <v>100</v>
      </c>
      <c r="J174" s="203"/>
      <c r="K174" s="202"/>
      <c r="L174" s="204">
        <f>Таблица3[[#This Row],[OLINGAN NARXI $]]+Таблица3[[#This Row],[RASXOD]]</f>
        <v>100</v>
      </c>
      <c r="M174" s="203"/>
      <c r="N174" s="203">
        <f>Таблица3[[#This Row],[SOTILGAN NARXI]]-Таблица3[[#This Row],[OLINGAN NARXI $]]-Таблица3[[#This Row],[RASXOD]]</f>
        <v>-100</v>
      </c>
      <c r="O174" s="199" t="s">
        <v>1646</v>
      </c>
    </row>
    <row r="175" spans="1:15" s="205" customFormat="1" x14ac:dyDescent="0.3">
      <c r="A175" s="218">
        <v>32</v>
      </c>
      <c r="B175" s="198" t="s">
        <v>13</v>
      </c>
      <c r="C175" s="199" t="s">
        <v>1207</v>
      </c>
      <c r="D175" s="200" t="s">
        <v>21</v>
      </c>
      <c r="E175" s="200" t="s">
        <v>15</v>
      </c>
      <c r="F175" s="201">
        <v>357726599133244</v>
      </c>
      <c r="G175" s="200" t="s">
        <v>66</v>
      </c>
      <c r="H175" s="202">
        <v>45889</v>
      </c>
      <c r="I175" s="203">
        <v>40</v>
      </c>
      <c r="J175" s="203"/>
      <c r="K175" s="202"/>
      <c r="L175" s="204">
        <f>Таблица3[[#This Row],[OLINGAN NARXI $]]+Таблица3[[#This Row],[RASXOD]]</f>
        <v>40</v>
      </c>
      <c r="M175" s="203"/>
      <c r="N175" s="203">
        <f>Таблица3[[#This Row],[SOTILGAN NARXI]]-Таблица3[[#This Row],[OLINGAN NARXI $]]-Таблица3[[#This Row],[RASXOD]]</f>
        <v>-40</v>
      </c>
      <c r="O175" s="199">
        <v>998699559</v>
      </c>
    </row>
    <row r="176" spans="1:15" s="205" customFormat="1" x14ac:dyDescent="0.3">
      <c r="A176" s="218">
        <v>33</v>
      </c>
      <c r="B176" s="198" t="s">
        <v>13</v>
      </c>
      <c r="C176" s="199" t="s">
        <v>455</v>
      </c>
      <c r="D176" s="200" t="s">
        <v>21</v>
      </c>
      <c r="E176" s="200" t="s">
        <v>15</v>
      </c>
      <c r="F176" s="201">
        <v>350299944484884</v>
      </c>
      <c r="G176" s="200" t="s">
        <v>145</v>
      </c>
      <c r="H176" s="202">
        <v>45897</v>
      </c>
      <c r="I176" s="203">
        <v>280</v>
      </c>
      <c r="J176" s="203">
        <v>12</v>
      </c>
      <c r="K176" s="202"/>
      <c r="L176" s="204">
        <f>Таблица3[[#This Row],[OLINGAN NARXI $]]+Таблица3[[#This Row],[RASXOD]]</f>
        <v>292</v>
      </c>
      <c r="M176" s="203"/>
      <c r="N176" s="203">
        <f>Таблица3[[#This Row],[SOTILGAN NARXI]]-Таблица3[[#This Row],[OLINGAN NARXI $]]-Таблица3[[#This Row],[RASXOD]]</f>
        <v>-292</v>
      </c>
      <c r="O176" s="199">
        <v>998458835</v>
      </c>
    </row>
    <row r="177" spans="1:15" s="205" customFormat="1" x14ac:dyDescent="0.3">
      <c r="A177" s="218">
        <v>34</v>
      </c>
      <c r="B177" s="198" t="s">
        <v>1077</v>
      </c>
      <c r="C177" s="199" t="s">
        <v>1320</v>
      </c>
      <c r="D177" s="200" t="s">
        <v>65</v>
      </c>
      <c r="E177" s="200" t="s">
        <v>22</v>
      </c>
      <c r="F177" s="201">
        <v>86630056914770</v>
      </c>
      <c r="G177" s="200"/>
      <c r="H177" s="202">
        <v>45898</v>
      </c>
      <c r="I177" s="203">
        <v>24</v>
      </c>
      <c r="J177" s="203"/>
      <c r="K177" s="202"/>
      <c r="L177" s="204">
        <f>Таблица3[[#This Row],[OLINGAN NARXI $]]+Таблица3[[#This Row],[RASXOD]]</f>
        <v>24</v>
      </c>
      <c r="M177" s="203"/>
      <c r="N177" s="203">
        <f>Таблица3[[#This Row],[SOTILGAN NARXI]]-Таблица3[[#This Row],[OLINGAN NARXI $]]-Таблица3[[#This Row],[RASXOD]]</f>
        <v>-24</v>
      </c>
      <c r="O177" s="199" t="s">
        <v>1596</v>
      </c>
    </row>
    <row r="178" spans="1:15" s="205" customFormat="1" x14ac:dyDescent="0.3">
      <c r="A178" s="218">
        <v>35</v>
      </c>
      <c r="B178" s="198" t="s">
        <v>13</v>
      </c>
      <c r="C178" s="199" t="s">
        <v>1746</v>
      </c>
      <c r="D178" s="200" t="s">
        <v>21</v>
      </c>
      <c r="E178" s="200" t="s">
        <v>15</v>
      </c>
      <c r="F178" s="201">
        <v>350824192974177</v>
      </c>
      <c r="G178" s="200"/>
      <c r="H178" s="202">
        <v>45901</v>
      </c>
      <c r="I178" s="203">
        <v>80</v>
      </c>
      <c r="J178" s="203"/>
      <c r="K178" s="202"/>
      <c r="L178" s="204">
        <f>Таблица3[[#This Row],[OLINGAN NARXI $]]+Таблица3[[#This Row],[RASXOD]]</f>
        <v>80</v>
      </c>
      <c r="M178" s="203"/>
      <c r="N178" s="203">
        <f>Таблица3[[#This Row],[SOTILGAN NARXI]]-Таблица3[[#This Row],[OLINGAN NARXI $]]-Таблица3[[#This Row],[RASXOD]]</f>
        <v>-80</v>
      </c>
      <c r="O178" s="199" t="s">
        <v>1745</v>
      </c>
    </row>
    <row r="179" spans="1:15" s="205" customFormat="1" x14ac:dyDescent="0.3">
      <c r="A179" s="218">
        <v>36</v>
      </c>
      <c r="B179" s="198" t="s">
        <v>1077</v>
      </c>
      <c r="C179" s="199" t="s">
        <v>1751</v>
      </c>
      <c r="D179" s="200" t="s">
        <v>65</v>
      </c>
      <c r="E179" s="200" t="s">
        <v>22</v>
      </c>
      <c r="F179" s="201">
        <v>862193021655998</v>
      </c>
      <c r="G179" s="200"/>
      <c r="H179" s="202">
        <v>45901</v>
      </c>
      <c r="I179" s="203">
        <v>56</v>
      </c>
      <c r="J179" s="203"/>
      <c r="K179" s="202"/>
      <c r="L179" s="204">
        <f>Таблица3[[#This Row],[OLINGAN NARXI $]]+Таблица3[[#This Row],[RASXOD]]</f>
        <v>56</v>
      </c>
      <c r="M179" s="203"/>
      <c r="N179" s="203">
        <f>Таблица3[[#This Row],[SOTILGAN NARXI]]-Таблица3[[#This Row],[OLINGAN NARXI $]]-Таблица3[[#This Row],[RASXOD]]</f>
        <v>-56</v>
      </c>
      <c r="O179" s="199"/>
    </row>
    <row r="180" spans="1:15" s="205" customFormat="1" x14ac:dyDescent="0.3">
      <c r="A180" s="218">
        <v>37</v>
      </c>
      <c r="B180" s="198"/>
      <c r="C180" s="199"/>
      <c r="D180" s="200"/>
      <c r="E180" s="200"/>
      <c r="F180" s="201"/>
      <c r="G180" s="200"/>
      <c r="H180" s="202"/>
      <c r="I180" s="203"/>
      <c r="J180" s="203"/>
      <c r="K180" s="202"/>
      <c r="L180" s="204">
        <f>Таблица3[[#This Row],[OLINGAN NARXI $]]+Таблица3[[#This Row],[RASXOD]]</f>
        <v>0</v>
      </c>
      <c r="M180" s="203"/>
      <c r="N180" s="203">
        <f>Таблица3[[#This Row],[SOTILGAN NARXI]]-Таблица3[[#This Row],[OLINGAN NARXI $]]-Таблица3[[#This Row],[RASXOD]]</f>
        <v>0</v>
      </c>
      <c r="O180" s="199"/>
    </row>
    <row r="181" spans="1:15" s="205" customFormat="1" x14ac:dyDescent="0.3">
      <c r="A181" s="218">
        <v>38</v>
      </c>
      <c r="B181" s="198"/>
      <c r="C181" s="199"/>
      <c r="D181" s="200"/>
      <c r="E181" s="200"/>
      <c r="F181" s="201"/>
      <c r="G181" s="200"/>
      <c r="H181" s="202"/>
      <c r="I181" s="203"/>
      <c r="J181" s="203"/>
      <c r="K181" s="202"/>
      <c r="L181" s="204">
        <f>Таблица3[[#This Row],[OLINGAN NARXI $]]+Таблица3[[#This Row],[RASXOD]]</f>
        <v>0</v>
      </c>
      <c r="M181" s="203"/>
      <c r="N181" s="203">
        <f>Таблица3[[#This Row],[SOTILGAN NARXI]]-Таблица3[[#This Row],[OLINGAN NARXI $]]-Таблица3[[#This Row],[RASXOD]]</f>
        <v>0</v>
      </c>
      <c r="O181" s="199"/>
    </row>
    <row r="182" spans="1:15" s="205" customFormat="1" x14ac:dyDescent="0.3">
      <c r="A182" s="218">
        <v>39</v>
      </c>
      <c r="B182" s="198"/>
      <c r="C182" s="199"/>
      <c r="D182" s="200"/>
      <c r="E182" s="200"/>
      <c r="F182" s="201"/>
      <c r="G182" s="200"/>
      <c r="H182" s="202"/>
      <c r="I182" s="203"/>
      <c r="J182" s="203"/>
      <c r="K182" s="202"/>
      <c r="L182" s="204">
        <f>Таблица3[[#This Row],[OLINGAN NARXI $]]+Таблица3[[#This Row],[RASXOD]]</f>
        <v>0</v>
      </c>
      <c r="M182" s="203"/>
      <c r="N182" s="203">
        <f>Таблица3[[#This Row],[SOTILGAN NARXI]]-Таблица3[[#This Row],[OLINGAN NARXI $]]-Таблица3[[#This Row],[RASXOD]]</f>
        <v>0</v>
      </c>
      <c r="O182" s="199"/>
    </row>
    <row r="183" spans="1:15" s="205" customFormat="1" x14ac:dyDescent="0.3">
      <c r="A183" s="218">
        <v>40</v>
      </c>
      <c r="B183" s="198"/>
      <c r="C183" s="199"/>
      <c r="D183" s="200"/>
      <c r="E183" s="200"/>
      <c r="F183" s="201"/>
      <c r="G183" s="200"/>
      <c r="H183" s="202"/>
      <c r="I183" s="203"/>
      <c r="J183" s="203"/>
      <c r="K183" s="202"/>
      <c r="L183" s="204">
        <f>Таблица3[[#This Row],[OLINGAN NARXI $]]+Таблица3[[#This Row],[RASXOD]]</f>
        <v>0</v>
      </c>
      <c r="M183" s="203"/>
      <c r="N183" s="203">
        <f>Таблица3[[#This Row],[SOTILGAN NARXI]]-Таблица3[[#This Row],[OLINGAN NARXI $]]-Таблица3[[#This Row],[RASXOD]]</f>
        <v>0</v>
      </c>
      <c r="O183" s="199"/>
    </row>
    <row r="184" spans="1:15" s="205" customFormat="1" x14ac:dyDescent="0.3">
      <c r="A184" s="218">
        <v>41</v>
      </c>
      <c r="B184" s="198"/>
      <c r="C184" s="199"/>
      <c r="D184" s="200"/>
      <c r="E184" s="200"/>
      <c r="F184" s="201"/>
      <c r="G184" s="200"/>
      <c r="H184" s="202"/>
      <c r="I184" s="203"/>
      <c r="J184" s="203"/>
      <c r="K184" s="202"/>
      <c r="L184" s="204">
        <f>Таблица3[[#This Row],[OLINGAN NARXI $]]+Таблица3[[#This Row],[RASXOD]]</f>
        <v>0</v>
      </c>
      <c r="M184" s="203"/>
      <c r="N184" s="203">
        <f>Таблица3[[#This Row],[SOTILGAN NARXI]]-Таблица3[[#This Row],[OLINGAN NARXI $]]-Таблица3[[#This Row],[RASXOD]]</f>
        <v>0</v>
      </c>
      <c r="O184" s="199"/>
    </row>
    <row r="185" spans="1:15" s="205" customFormat="1" x14ac:dyDescent="0.3">
      <c r="A185" s="218">
        <v>42</v>
      </c>
      <c r="B185" s="198"/>
      <c r="C185" s="199"/>
      <c r="D185" s="200"/>
      <c r="E185" s="200"/>
      <c r="F185" s="201"/>
      <c r="G185" s="200"/>
      <c r="H185" s="202"/>
      <c r="I185" s="203"/>
      <c r="J185" s="203"/>
      <c r="K185" s="202"/>
      <c r="L185" s="204">
        <f>Таблица3[[#This Row],[OLINGAN NARXI $]]+Таблица3[[#This Row],[RASXOD]]</f>
        <v>0</v>
      </c>
      <c r="M185" s="203"/>
      <c r="N185" s="203">
        <f>Таблица3[[#This Row],[SOTILGAN NARXI]]-Таблица3[[#This Row],[OLINGAN NARXI $]]-Таблица3[[#This Row],[RASXOD]]</f>
        <v>0</v>
      </c>
      <c r="O185" s="199"/>
    </row>
    <row r="186" spans="1:15" s="205" customFormat="1" x14ac:dyDescent="0.3">
      <c r="A186" s="218">
        <v>43</v>
      </c>
      <c r="B186" s="198"/>
      <c r="C186" s="199"/>
      <c r="D186" s="200"/>
      <c r="E186" s="200"/>
      <c r="F186" s="201"/>
      <c r="G186" s="200"/>
      <c r="H186" s="202"/>
      <c r="I186" s="203"/>
      <c r="J186" s="203"/>
      <c r="K186" s="202"/>
      <c r="L186" s="204">
        <f>Таблица3[[#This Row],[OLINGAN NARXI $]]+Таблица3[[#This Row],[RASXOD]]</f>
        <v>0</v>
      </c>
      <c r="M186" s="203"/>
      <c r="N186" s="203">
        <f>Таблица3[[#This Row],[SOTILGAN NARXI]]-Таблица3[[#This Row],[OLINGAN NARXI $]]-Таблица3[[#This Row],[RASXOD]]</f>
        <v>0</v>
      </c>
      <c r="O186" s="199"/>
    </row>
    <row r="187" spans="1:15" s="205" customFormat="1" x14ac:dyDescent="0.3">
      <c r="A187" s="218">
        <v>44</v>
      </c>
      <c r="B187" s="198"/>
      <c r="C187" s="199"/>
      <c r="D187" s="200"/>
      <c r="E187" s="200"/>
      <c r="F187" s="201"/>
      <c r="G187" s="200"/>
      <c r="H187" s="202"/>
      <c r="I187" s="203"/>
      <c r="J187" s="203"/>
      <c r="K187" s="202"/>
      <c r="L187" s="204">
        <f>Таблица3[[#This Row],[OLINGAN NARXI $]]+Таблица3[[#This Row],[RASXOD]]</f>
        <v>0</v>
      </c>
      <c r="M187" s="203"/>
      <c r="N187" s="203">
        <f>Таблица3[[#This Row],[SOTILGAN NARXI]]-Таблица3[[#This Row],[OLINGAN NARXI $]]-Таблица3[[#This Row],[RASXOD]]</f>
        <v>0</v>
      </c>
      <c r="O187" s="199"/>
    </row>
    <row r="188" spans="1:15" s="205" customFormat="1" x14ac:dyDescent="0.3">
      <c r="A188" s="218">
        <v>45</v>
      </c>
      <c r="B188" s="198"/>
      <c r="C188" s="199"/>
      <c r="D188" s="200"/>
      <c r="E188" s="200"/>
      <c r="F188" s="201"/>
      <c r="G188" s="200"/>
      <c r="H188" s="202"/>
      <c r="I188" s="203"/>
      <c r="J188" s="203"/>
      <c r="K188" s="202"/>
      <c r="L188" s="204">
        <f>Таблица3[[#This Row],[OLINGAN NARXI $]]+Таблица3[[#This Row],[RASXOD]]</f>
        <v>0</v>
      </c>
      <c r="M188" s="203"/>
      <c r="N188" s="203">
        <f>Таблица3[[#This Row],[SOTILGAN NARXI]]-Таблица3[[#This Row],[OLINGAN NARXI $]]-Таблица3[[#This Row],[RASXOD]]</f>
        <v>0</v>
      </c>
      <c r="O188" s="199"/>
    </row>
    <row r="189" spans="1:15" s="205" customFormat="1" x14ac:dyDescent="0.3">
      <c r="A189" s="218">
        <v>46</v>
      </c>
      <c r="B189" s="218" t="s">
        <v>1233</v>
      </c>
      <c r="C189" s="199"/>
      <c r="D189" s="200"/>
      <c r="E189" s="200"/>
      <c r="F189" s="201"/>
      <c r="G189" s="200"/>
      <c r="H189" s="202"/>
      <c r="I189" s="203"/>
      <c r="J189" s="203"/>
      <c r="K189" s="202"/>
      <c r="L189" s="204">
        <f>Таблица3[[#This Row],[OLINGAN NARXI $]]+Таблица3[[#This Row],[RASXOD]]</f>
        <v>0</v>
      </c>
      <c r="M189" s="203"/>
      <c r="N189" s="203">
        <f>Таблица3[[#This Row],[SOTILGAN NARXI]]-Таблица3[[#This Row],[OLINGAN NARXI $]]-Таблица3[[#This Row],[RASXOD]]</f>
        <v>0</v>
      </c>
      <c r="O189" s="199"/>
    </row>
    <row r="190" spans="1:15" s="205" customFormat="1" x14ac:dyDescent="0.3">
      <c r="A190" s="198"/>
      <c r="B190" s="198"/>
      <c r="C190" s="199"/>
      <c r="D190" s="200"/>
      <c r="E190" s="200"/>
      <c r="F190" s="259" t="s">
        <v>1328</v>
      </c>
      <c r="G190" s="202"/>
      <c r="H190" s="219" t="s">
        <v>225</v>
      </c>
      <c r="I190" s="220"/>
      <c r="J190" s="260"/>
      <c r="K190" s="202"/>
      <c r="L190" s="204">
        <f>Таблица3[[#This Row],[OLINGAN NARXI $]]+Таблица3[[#This Row],[RASXOD]]</f>
        <v>0</v>
      </c>
      <c r="M190" s="203"/>
      <c r="N190" s="203"/>
      <c r="O190" s="199"/>
    </row>
    <row r="191" spans="1:15" s="205" customFormat="1" x14ac:dyDescent="0.3">
      <c r="A191" s="198"/>
      <c r="B191" s="198"/>
      <c r="C191" s="199"/>
      <c r="D191" s="200"/>
      <c r="E191" s="200"/>
      <c r="F191" s="261"/>
      <c r="G191" s="262"/>
      <c r="H191" s="221" t="s">
        <v>747</v>
      </c>
      <c r="I191" s="222">
        <v>120</v>
      </c>
      <c r="J191" s="222"/>
      <c r="K191" s="202"/>
      <c r="L191" s="204">
        <f>Таблица3[[#This Row],[OLINGAN NARXI $]]+Таблица3[[#This Row],[RASXOD]]</f>
        <v>120</v>
      </c>
      <c r="M191" s="203"/>
      <c r="N191" s="203"/>
      <c r="O191" s="199"/>
    </row>
    <row r="192" spans="1:15" s="205" customFormat="1" x14ac:dyDescent="0.3">
      <c r="A192" s="198"/>
      <c r="B192" s="343" t="s">
        <v>1764</v>
      </c>
      <c r="C192" s="344"/>
      <c r="D192" s="200"/>
      <c r="E192" s="200"/>
      <c r="F192" s="261"/>
      <c r="G192" s="262"/>
      <c r="H192" s="221" t="s">
        <v>1162</v>
      </c>
      <c r="I192" s="222">
        <v>30</v>
      </c>
      <c r="J192" s="222"/>
      <c r="K192" s="202"/>
      <c r="L192" s="204">
        <f>Таблица3[[#This Row],[OLINGAN NARXI $]]+Таблица3[[#This Row],[RASXOD]]</f>
        <v>30</v>
      </c>
      <c r="M192" s="203"/>
      <c r="N192" s="203"/>
      <c r="O192" s="199"/>
    </row>
    <row r="193" spans="1:15" s="205" customFormat="1" x14ac:dyDescent="0.3">
      <c r="A193" s="198"/>
      <c r="B193" s="274" t="s">
        <v>1766</v>
      </c>
      <c r="C193" s="272"/>
      <c r="D193" s="200"/>
      <c r="E193" s="200"/>
      <c r="F193" s="263"/>
      <c r="G193" s="262"/>
      <c r="H193" s="221" t="s">
        <v>1038</v>
      </c>
      <c r="I193" s="222">
        <v>48</v>
      </c>
      <c r="J193" s="222"/>
      <c r="K193" s="202"/>
      <c r="L193" s="204">
        <f>Таблица3[[#This Row],[OLINGAN NARXI $]]+Таблица3[[#This Row],[RASXOD]]</f>
        <v>48</v>
      </c>
      <c r="M193" s="203"/>
      <c r="N193" s="203"/>
      <c r="O193" s="199"/>
    </row>
    <row r="194" spans="1:15" s="205" customFormat="1" x14ac:dyDescent="0.3">
      <c r="A194" s="198"/>
      <c r="B194" s="345" t="s">
        <v>1765</v>
      </c>
      <c r="C194" s="346"/>
      <c r="D194" s="200"/>
      <c r="E194" s="200"/>
      <c r="F194" s="264"/>
      <c r="G194" s="262"/>
      <c r="H194" s="221" t="s">
        <v>1038</v>
      </c>
      <c r="I194" s="222">
        <v>440</v>
      </c>
      <c r="J194" s="222"/>
      <c r="K194" s="202"/>
      <c r="L194" s="204">
        <f>Таблица3[[#This Row],[OLINGAN NARXI $]]+Таблица3[[#This Row],[RASXOD]]</f>
        <v>440</v>
      </c>
      <c r="M194" s="203"/>
      <c r="N194" s="203"/>
      <c r="O194" s="199"/>
    </row>
    <row r="195" spans="1:15" s="205" customFormat="1" x14ac:dyDescent="0.3">
      <c r="A195" s="198"/>
      <c r="B195" s="347" t="s">
        <v>1767</v>
      </c>
      <c r="C195" s="348"/>
      <c r="D195" s="200"/>
      <c r="E195" s="200"/>
      <c r="F195" s="263"/>
      <c r="G195" s="262"/>
      <c r="H195" s="221" t="s">
        <v>471</v>
      </c>
      <c r="I195" s="222">
        <v>490</v>
      </c>
      <c r="J195" s="222"/>
      <c r="K195" s="202"/>
      <c r="L195" s="204">
        <f>Таблица3[[#This Row],[OLINGAN NARXI $]]+Таблица3[[#This Row],[RASXOD]]</f>
        <v>490</v>
      </c>
      <c r="M195" s="203"/>
      <c r="N195" s="203"/>
      <c r="O195" s="199"/>
    </row>
    <row r="196" spans="1:15" s="205" customFormat="1" x14ac:dyDescent="0.3">
      <c r="A196" s="198"/>
      <c r="B196" s="357" t="s">
        <v>1768</v>
      </c>
      <c r="C196" s="269"/>
      <c r="D196" s="200"/>
      <c r="E196" s="200"/>
      <c r="F196" s="263"/>
      <c r="G196" s="262"/>
      <c r="H196" s="221" t="s">
        <v>1336</v>
      </c>
      <c r="I196" s="222"/>
      <c r="J196" s="222"/>
      <c r="K196" s="202"/>
      <c r="L196" s="204">
        <f>Таблица3[[#This Row],[OLINGAN NARXI $]]+Таблица3[[#This Row],[RASXOD]]</f>
        <v>0</v>
      </c>
      <c r="M196" s="203"/>
      <c r="N196" s="203"/>
      <c r="O196" s="199"/>
    </row>
    <row r="197" spans="1:15" s="205" customFormat="1" x14ac:dyDescent="0.3">
      <c r="A197" s="198"/>
      <c r="B197" s="358" t="s">
        <v>1769</v>
      </c>
      <c r="C197" s="359"/>
      <c r="D197" s="200"/>
      <c r="E197" s="200"/>
      <c r="F197" s="263"/>
      <c r="G197" s="262"/>
      <c r="H197" s="221" t="s">
        <v>1263</v>
      </c>
      <c r="I197" s="222"/>
      <c r="J197" s="222"/>
      <c r="K197" s="202"/>
      <c r="L197" s="204">
        <f>Таблица3[[#This Row],[OLINGAN NARXI $]]+Таблица3[[#This Row],[RASXOD]]</f>
        <v>0</v>
      </c>
      <c r="M197" s="203"/>
      <c r="N197" s="203"/>
      <c r="O197" s="199"/>
    </row>
    <row r="198" spans="1:15" s="205" customFormat="1" x14ac:dyDescent="0.3">
      <c r="A198" s="198"/>
      <c r="B198" s="360" t="s">
        <v>1770</v>
      </c>
      <c r="C198" s="361"/>
      <c r="D198" s="200"/>
      <c r="E198" s="200"/>
      <c r="F198" s="263"/>
      <c r="G198" s="262"/>
      <c r="H198" s="221" t="s">
        <v>1254</v>
      </c>
      <c r="I198" s="222"/>
      <c r="J198" s="222"/>
      <c r="K198" s="202"/>
      <c r="L198" s="204">
        <f>Таблица3[[#This Row],[OLINGAN NARXI $]]+Таблица3[[#This Row],[RASXOD]]</f>
        <v>0</v>
      </c>
      <c r="M198" s="203"/>
      <c r="N198" s="203"/>
      <c r="O198" s="199"/>
    </row>
    <row r="199" spans="1:15" s="205" customFormat="1" x14ac:dyDescent="0.3">
      <c r="A199" s="198"/>
      <c r="B199" s="362" t="s">
        <v>1774</v>
      </c>
      <c r="C199" s="363"/>
      <c r="D199" s="200"/>
      <c r="E199" s="200"/>
      <c r="F199" s="264"/>
      <c r="G199" s="262"/>
      <c r="H199" s="221" t="s">
        <v>1457</v>
      </c>
      <c r="I199" s="222"/>
      <c r="J199" s="222"/>
      <c r="K199" s="202"/>
      <c r="L199" s="204">
        <f>Таблица3[[#This Row],[OLINGAN NARXI $]]+Таблица3[[#This Row],[RASXOD]]</f>
        <v>0</v>
      </c>
      <c r="M199" s="203"/>
      <c r="N199" s="203"/>
      <c r="O199" s="199"/>
    </row>
    <row r="200" spans="1:15" s="205" customFormat="1" x14ac:dyDescent="0.3">
      <c r="A200" s="198"/>
      <c r="B200" s="198"/>
      <c r="C200" s="199"/>
      <c r="D200" s="200"/>
      <c r="E200" s="200"/>
      <c r="F200" s="263"/>
      <c r="G200" s="262"/>
      <c r="H200" s="221" t="s">
        <v>365</v>
      </c>
      <c r="I200" s="222">
        <v>78.400000000000006</v>
      </c>
      <c r="J200" s="222"/>
      <c r="K200" s="202"/>
      <c r="L200" s="204">
        <f>Таблица3[[#This Row],[OLINGAN NARXI $]]+Таблица3[[#This Row],[RASXOD]]</f>
        <v>78.400000000000006</v>
      </c>
      <c r="M200" s="203"/>
      <c r="N200" s="203"/>
      <c r="O200" s="199"/>
    </row>
    <row r="201" spans="1:15" s="205" customFormat="1" x14ac:dyDescent="0.3">
      <c r="A201" s="198"/>
      <c r="B201" s="198"/>
      <c r="C201" s="199"/>
      <c r="D201" s="200"/>
      <c r="E201" s="200"/>
      <c r="F201" s="263"/>
      <c r="G201" s="262"/>
      <c r="H201" s="221" t="s">
        <v>1601</v>
      </c>
      <c r="I201" s="222">
        <v>140</v>
      </c>
      <c r="J201" s="222"/>
      <c r="K201" s="202"/>
      <c r="L201" s="204">
        <f>Таблица3[[#This Row],[OLINGAN NARXI $]]+Таблица3[[#This Row],[RASXOD]]</f>
        <v>140</v>
      </c>
      <c r="M201" s="203"/>
      <c r="N201" s="203"/>
      <c r="O201" s="199"/>
    </row>
    <row r="202" spans="1:15" s="205" customFormat="1" x14ac:dyDescent="0.3">
      <c r="A202" s="198"/>
      <c r="B202" s="198"/>
      <c r="C202" s="199"/>
      <c r="D202" s="200"/>
      <c r="E202" s="200"/>
      <c r="F202" s="263"/>
      <c r="G202" s="262"/>
      <c r="H202" s="221" t="s">
        <v>1353</v>
      </c>
      <c r="I202" s="222">
        <v>23</v>
      </c>
      <c r="J202" s="222"/>
      <c r="K202" s="202"/>
      <c r="L202" s="204">
        <f>Таблица3[[#This Row],[OLINGAN NARXI $]]+Таблица3[[#This Row],[RASXOD]]</f>
        <v>23</v>
      </c>
      <c r="M202" s="203"/>
      <c r="N202" s="203"/>
      <c r="O202" s="199"/>
    </row>
    <row r="203" spans="1:15" s="205" customFormat="1" ht="15.75" customHeight="1" x14ac:dyDescent="0.3">
      <c r="A203" s="198"/>
      <c r="B203" s="198"/>
      <c r="C203" s="199"/>
      <c r="D203" s="200"/>
      <c r="E203" s="200"/>
      <c r="F203" s="263"/>
      <c r="G203" s="262"/>
      <c r="H203" s="221" t="s">
        <v>1289</v>
      </c>
      <c r="I203" s="222">
        <v>38.4</v>
      </c>
      <c r="J203" s="222"/>
      <c r="K203" s="202"/>
      <c r="L203" s="204">
        <f>Таблица3[[#This Row],[OLINGAN NARXI $]]+Таблица3[[#This Row],[RASXOD]]</f>
        <v>38.4</v>
      </c>
      <c r="M203" s="203"/>
      <c r="N203" s="203"/>
      <c r="O203" s="199"/>
    </row>
    <row r="204" spans="1:15" s="205" customFormat="1" ht="15.75" customHeight="1" x14ac:dyDescent="0.3">
      <c r="A204" s="198"/>
      <c r="B204" s="198"/>
      <c r="C204" s="199"/>
      <c r="D204" s="200"/>
      <c r="E204" s="200"/>
      <c r="F204" s="263"/>
      <c r="G204" s="262"/>
      <c r="H204" s="221" t="s">
        <v>927</v>
      </c>
      <c r="I204" s="222">
        <v>14</v>
      </c>
      <c r="J204" s="222"/>
      <c r="K204" s="202"/>
      <c r="L204" s="204">
        <f>Таблица3[[#This Row],[OLINGAN NARXI $]]+Таблица3[[#This Row],[RASXOD]]</f>
        <v>14</v>
      </c>
      <c r="M204" s="203"/>
      <c r="N204" s="203"/>
      <c r="O204" s="199"/>
    </row>
    <row r="205" spans="1:15" s="205" customFormat="1" ht="15.75" customHeight="1" x14ac:dyDescent="0.3">
      <c r="A205" s="198"/>
      <c r="B205" s="198"/>
      <c r="C205" s="199"/>
      <c r="D205" s="200"/>
      <c r="E205" s="200"/>
      <c r="F205" s="263"/>
      <c r="G205" s="262"/>
      <c r="H205" s="221" t="s">
        <v>1682</v>
      </c>
      <c r="I205" s="222">
        <v>80</v>
      </c>
      <c r="J205" s="222"/>
      <c r="K205" s="202"/>
      <c r="L205" s="204">
        <f>Таблица3[[#This Row],[OLINGAN NARXI $]]+Таблица3[[#This Row],[RASXOD]]</f>
        <v>80</v>
      </c>
      <c r="M205" s="203"/>
      <c r="N205" s="203"/>
      <c r="O205" s="199"/>
    </row>
    <row r="206" spans="1:15" s="205" customFormat="1" ht="15.75" customHeight="1" x14ac:dyDescent="0.3">
      <c r="A206" s="198"/>
      <c r="B206" s="198"/>
      <c r="C206" s="199"/>
      <c r="D206" s="200"/>
      <c r="E206" s="200"/>
      <c r="F206" s="263"/>
      <c r="G206" s="262"/>
      <c r="H206" s="221" t="s">
        <v>1687</v>
      </c>
      <c r="I206" s="222">
        <v>450</v>
      </c>
      <c r="J206" s="222"/>
      <c r="K206" s="202"/>
      <c r="L206" s="204">
        <f>Таблица3[[#This Row],[OLINGAN NARXI $]]+Таблица3[[#This Row],[RASXOD]]</f>
        <v>450</v>
      </c>
      <c r="M206" s="203"/>
      <c r="N206" s="203"/>
      <c r="O206" s="199"/>
    </row>
    <row r="207" spans="1:15" s="205" customFormat="1" ht="15.75" customHeight="1" x14ac:dyDescent="0.3">
      <c r="A207" s="198"/>
      <c r="B207" s="198"/>
      <c r="C207" s="199"/>
      <c r="D207" s="200"/>
      <c r="E207" s="200"/>
      <c r="F207" s="264"/>
      <c r="G207" s="262"/>
      <c r="H207" s="221" t="s">
        <v>1575</v>
      </c>
      <c r="I207" s="222">
        <v>482.8</v>
      </c>
      <c r="J207" s="222"/>
      <c r="K207" s="202"/>
      <c r="L207" s="204">
        <f>Таблица3[[#This Row],[OLINGAN NARXI $]]+Таблица3[[#This Row],[RASXOD]]</f>
        <v>482.8</v>
      </c>
      <c r="M207" s="203"/>
      <c r="N207" s="203"/>
      <c r="O207" s="199"/>
    </row>
    <row r="208" spans="1:15" s="205" customFormat="1" ht="15.75" customHeight="1" x14ac:dyDescent="0.3">
      <c r="A208" s="198"/>
      <c r="B208" s="198"/>
      <c r="C208" s="199"/>
      <c r="D208" s="200"/>
      <c r="E208" s="200"/>
      <c r="F208" s="264"/>
      <c r="G208" s="262"/>
      <c r="H208" s="221" t="s">
        <v>1722</v>
      </c>
      <c r="I208" s="222">
        <v>610.68799999999999</v>
      </c>
      <c r="J208" s="222"/>
      <c r="K208" s="202"/>
      <c r="L208" s="204">
        <f>Таблица3[[#This Row],[OLINGAN NARXI $]]+Таблица3[[#This Row],[RASXOD]]</f>
        <v>610.68799999999999</v>
      </c>
      <c r="M208" s="203"/>
      <c r="N208" s="203"/>
      <c r="O208" s="199"/>
    </row>
    <row r="209" spans="1:15" s="205" customFormat="1" ht="15.75" customHeight="1" x14ac:dyDescent="0.3">
      <c r="A209" s="198"/>
      <c r="B209" s="198"/>
      <c r="C209" s="199"/>
      <c r="D209" s="200"/>
      <c r="E209" s="200"/>
      <c r="F209" s="264"/>
      <c r="G209" s="262"/>
      <c r="H209" s="221"/>
      <c r="I209" s="222"/>
      <c r="J209" s="222"/>
      <c r="K209" s="202"/>
      <c r="L209" s="204">
        <f>Таблица3[[#This Row],[OLINGAN NARXI $]]+Таблица3[[#This Row],[RASXOD]]</f>
        <v>0</v>
      </c>
      <c r="M209" s="203"/>
      <c r="N209" s="203"/>
      <c r="O209" s="199"/>
    </row>
    <row r="210" spans="1:15" s="205" customFormat="1" x14ac:dyDescent="0.3">
      <c r="A210" s="198"/>
      <c r="B210" s="198"/>
      <c r="C210" s="199"/>
      <c r="D210" s="200"/>
      <c r="E210" s="200"/>
      <c r="F210" s="263"/>
      <c r="G210" s="262"/>
      <c r="H210" s="221" t="s">
        <v>224</v>
      </c>
      <c r="I210" s="222">
        <v>1150</v>
      </c>
      <c r="J210" s="222"/>
      <c r="K210" s="202"/>
      <c r="L210" s="204">
        <f>Таблица3[[#This Row],[OLINGAN NARXI $]]+Таблица3[[#This Row],[RASXOD]]</f>
        <v>1150</v>
      </c>
      <c r="M210" s="203"/>
      <c r="N210" s="203"/>
      <c r="O210" s="199"/>
    </row>
    <row r="211" spans="1:15" s="205" customFormat="1" x14ac:dyDescent="0.3">
      <c r="A211" s="198"/>
      <c r="B211" s="198"/>
      <c r="C211" s="199"/>
      <c r="D211" s="200"/>
      <c r="E211" s="200"/>
      <c r="F211" s="264"/>
      <c r="G211" s="262"/>
      <c r="H211" s="221" t="s">
        <v>1705</v>
      </c>
      <c r="I211" s="222">
        <v>170</v>
      </c>
      <c r="J211" s="222"/>
      <c r="K211" s="202"/>
      <c r="L211" s="204">
        <f>Таблица3[[#This Row],[OLINGAN NARXI $]]+Таблица3[[#This Row],[RASXOD]]</f>
        <v>170</v>
      </c>
      <c r="M211" s="203"/>
      <c r="N211" s="203"/>
      <c r="O211" s="199"/>
    </row>
    <row r="212" spans="1:15" s="205" customFormat="1" x14ac:dyDescent="0.3">
      <c r="A212" s="198"/>
      <c r="B212" s="198"/>
      <c r="C212" s="199"/>
      <c r="D212" s="200"/>
      <c r="E212" s="200"/>
      <c r="F212" s="264"/>
      <c r="G212" s="262"/>
      <c r="H212" s="221"/>
      <c r="I212" s="222"/>
      <c r="J212" s="222"/>
      <c r="K212" s="202"/>
      <c r="L212" s="204">
        <f>Таблица3[[#This Row],[OLINGAN NARXI $]]+Таблица3[[#This Row],[RASXOD]]</f>
        <v>0</v>
      </c>
      <c r="M212" s="203"/>
      <c r="N212" s="203"/>
      <c r="O212" s="199"/>
    </row>
    <row r="213" spans="1:15" s="205" customFormat="1" x14ac:dyDescent="0.3">
      <c r="A213" s="198"/>
      <c r="B213" s="198"/>
      <c r="C213" s="199"/>
      <c r="D213" s="200"/>
      <c r="E213" s="200"/>
      <c r="F213" s="264"/>
      <c r="G213" s="262"/>
      <c r="H213" s="221"/>
      <c r="I213" s="222"/>
      <c r="J213" s="222"/>
      <c r="K213" s="202"/>
      <c r="L213" s="204">
        <f>Таблица3[[#This Row],[OLINGAN NARXI $]]+Таблица3[[#This Row],[RASXOD]]</f>
        <v>0</v>
      </c>
      <c r="M213" s="203"/>
      <c r="N213" s="203"/>
      <c r="O213" s="199"/>
    </row>
    <row r="214" spans="1:15" s="205" customFormat="1" x14ac:dyDescent="0.3">
      <c r="A214" s="198"/>
      <c r="B214" s="198"/>
      <c r="C214" s="199"/>
      <c r="D214" s="200"/>
      <c r="E214" s="200"/>
      <c r="F214" s="264"/>
      <c r="G214" s="262"/>
      <c r="H214" s="221" t="s">
        <v>1004</v>
      </c>
      <c r="I214" s="222">
        <v>90</v>
      </c>
      <c r="J214" s="222"/>
      <c r="K214" s="202"/>
      <c r="L214" s="204">
        <f>Таблица3[[#This Row],[OLINGAN NARXI $]]+Таблица3[[#This Row],[RASXOD]]</f>
        <v>90</v>
      </c>
      <c r="M214" s="203"/>
      <c r="N214" s="203"/>
      <c r="O214" s="199"/>
    </row>
    <row r="215" spans="1:15" s="205" customFormat="1" x14ac:dyDescent="0.3">
      <c r="A215" s="198"/>
      <c r="B215" s="198"/>
      <c r="C215" s="199"/>
      <c r="D215" s="200"/>
      <c r="E215" s="200"/>
      <c r="F215" s="263"/>
      <c r="G215" s="262"/>
      <c r="H215" s="221" t="s">
        <v>1378</v>
      </c>
      <c r="I215" s="222">
        <v>4700</v>
      </c>
      <c r="J215" s="222"/>
      <c r="K215" s="202"/>
      <c r="L215" s="204">
        <f>Таблица3[[#This Row],[OLINGAN NARXI $]]+Таблица3[[#This Row],[RASXOD]]</f>
        <v>4700</v>
      </c>
      <c r="M215" s="203"/>
      <c r="N215" s="203"/>
      <c r="O215" s="199"/>
    </row>
    <row r="216" spans="1:15" s="205" customFormat="1" x14ac:dyDescent="0.3">
      <c r="A216" s="198"/>
      <c r="B216" s="198"/>
      <c r="C216" s="199"/>
      <c r="D216" s="200" t="s">
        <v>1642</v>
      </c>
      <c r="E216" s="200"/>
      <c r="F216" s="263"/>
      <c r="G216" s="262"/>
      <c r="H216" s="221"/>
      <c r="I216" s="222"/>
      <c r="J216" s="222"/>
      <c r="K216" s="202"/>
      <c r="L216" s="204">
        <f>Таблица3[[#This Row],[OLINGAN NARXI $]]+Таблица3[[#This Row],[RASXOD]]</f>
        <v>0</v>
      </c>
      <c r="M216" s="203"/>
      <c r="N216" s="203"/>
      <c r="O216" s="199"/>
    </row>
    <row r="217" spans="1:15" s="205" customFormat="1" ht="15.6" x14ac:dyDescent="0.3">
      <c r="A217" s="198"/>
      <c r="B217" s="198"/>
      <c r="C217" s="199"/>
      <c r="D217" s="200"/>
      <c r="E217" s="200"/>
      <c r="F217" s="200"/>
      <c r="G217" s="202"/>
      <c r="H217" s="221" t="s">
        <v>981</v>
      </c>
      <c r="I217" s="67">
        <f>SUBTOTAL(109,I191:I216)</f>
        <v>9155.2880000000005</v>
      </c>
      <c r="J217" s="222"/>
      <c r="K217" s="202"/>
      <c r="L217" s="204"/>
      <c r="M217" s="203"/>
      <c r="N217" s="203"/>
      <c r="O217" s="199"/>
    </row>
    <row r="218" spans="1:15" s="205" customFormat="1" ht="15.6" x14ac:dyDescent="0.3">
      <c r="A218" s="198"/>
      <c r="B218" s="198"/>
      <c r="C218" s="199"/>
      <c r="D218" s="200"/>
      <c r="E218" s="200"/>
      <c r="F218" s="201"/>
      <c r="G218" s="262"/>
      <c r="H218" s="265"/>
      <c r="I218" s="69"/>
      <c r="J218" s="266"/>
      <c r="K218" s="202"/>
      <c r="L218" s="204">
        <f>Таблица3[[#This Row],[OLINGAN NARXI $]]+Таблица3[[#This Row],[RASXOD]]</f>
        <v>0</v>
      </c>
      <c r="M218" s="203"/>
      <c r="N218" s="203"/>
      <c r="O218" s="199"/>
    </row>
    <row r="219" spans="1:15" s="205" customFormat="1" x14ac:dyDescent="0.3">
      <c r="A219" s="198"/>
      <c r="B219" s="198"/>
      <c r="C219" s="199"/>
      <c r="D219" s="200"/>
      <c r="E219" s="200"/>
      <c r="F219" s="201"/>
      <c r="G219" s="200"/>
      <c r="H219" s="219" t="s">
        <v>500</v>
      </c>
      <c r="I219" s="219"/>
      <c r="J219" s="260"/>
      <c r="K219" s="202"/>
      <c r="L219" s="204">
        <f>Таблица3[[#This Row],[OLINGAN NARXI $]]+Таблица3[[#This Row],[RASXOD]]</f>
        <v>0</v>
      </c>
      <c r="M219" s="203"/>
      <c r="N219" s="203"/>
      <c r="O219" s="199"/>
    </row>
    <row r="220" spans="1:15" s="205" customFormat="1" x14ac:dyDescent="0.3">
      <c r="A220" s="198"/>
      <c r="B220" s="328"/>
      <c r="C220" s="200"/>
      <c r="D220" s="200"/>
      <c r="E220" s="200"/>
      <c r="F220" s="201"/>
      <c r="G220" s="200"/>
      <c r="H220" s="327" t="s">
        <v>224</v>
      </c>
      <c r="I220" s="224">
        <v>-4620</v>
      </c>
      <c r="J220" s="224"/>
      <c r="K220" s="202"/>
      <c r="L220" s="204">
        <f>Таблица3[[#This Row],[OLINGAN NARXI $]]+Таблица3[[#This Row],[RASXOD]]</f>
        <v>-4620</v>
      </c>
      <c r="M220" s="203"/>
      <c r="N220" s="203"/>
      <c r="O220" s="199"/>
    </row>
    <row r="221" spans="1:15" s="205" customFormat="1" x14ac:dyDescent="0.3">
      <c r="A221" s="198"/>
      <c r="B221" s="328"/>
      <c r="C221" s="200"/>
      <c r="D221" s="200"/>
      <c r="E221" s="200"/>
      <c r="F221" s="201"/>
      <c r="G221" s="200"/>
      <c r="H221" s="327" t="s">
        <v>1663</v>
      </c>
      <c r="I221" s="224">
        <v>-800</v>
      </c>
      <c r="J221" s="224"/>
      <c r="K221" s="202"/>
      <c r="L221" s="204">
        <f>Таблица3[[#This Row],[OLINGAN NARXI $]]+Таблица3[[#This Row],[RASXOD]]</f>
        <v>-800</v>
      </c>
      <c r="M221" s="203"/>
      <c r="N221" s="203"/>
      <c r="O221" s="199"/>
    </row>
    <row r="222" spans="1:15" s="205" customFormat="1" x14ac:dyDescent="0.3">
      <c r="A222" s="198"/>
      <c r="B222" s="328"/>
      <c r="C222" s="200"/>
      <c r="D222" s="200"/>
      <c r="E222" s="200"/>
      <c r="F222" s="201"/>
      <c r="G222" s="200"/>
      <c r="H222" s="327" t="s">
        <v>1554</v>
      </c>
      <c r="I222" s="224">
        <v>-1585.08</v>
      </c>
      <c r="J222" s="223"/>
      <c r="K222" s="202"/>
      <c r="L222" s="204">
        <f>Таблица3[[#This Row],[OLINGAN NARXI $]]+Таблица3[[#This Row],[RASXOD]]</f>
        <v>-1585.08</v>
      </c>
      <c r="M222" s="203"/>
      <c r="N222" s="203"/>
      <c r="O222" s="199"/>
    </row>
    <row r="223" spans="1:15" s="205" customFormat="1" x14ac:dyDescent="0.3">
      <c r="A223" s="198"/>
      <c r="B223" s="328"/>
      <c r="C223" s="200"/>
      <c r="D223" s="200"/>
      <c r="E223" s="200"/>
      <c r="F223" s="201"/>
      <c r="G223" s="200"/>
      <c r="H223" s="327" t="s">
        <v>1723</v>
      </c>
      <c r="I223" s="224">
        <v>-402</v>
      </c>
      <c r="J223" s="267"/>
      <c r="K223" s="202"/>
      <c r="L223" s="204">
        <f>Таблица3[[#This Row],[OLINGAN NARXI $]]+Таблица3[[#This Row],[RASXOD]]</f>
        <v>-402</v>
      </c>
      <c r="M223" s="203"/>
      <c r="N223" s="203"/>
      <c r="O223" s="199"/>
    </row>
    <row r="224" spans="1:15" s="205" customFormat="1" x14ac:dyDescent="0.3">
      <c r="A224" s="198"/>
      <c r="B224" s="328"/>
      <c r="C224" s="200"/>
      <c r="D224" s="200"/>
      <c r="E224" s="200"/>
      <c r="F224" s="201"/>
      <c r="G224" s="200"/>
      <c r="H224" s="327" t="s">
        <v>1412</v>
      </c>
      <c r="I224" s="224">
        <v>-1231</v>
      </c>
      <c r="J224" s="267"/>
      <c r="K224" s="202"/>
      <c r="L224" s="204">
        <f>Таблица3[[#This Row],[OLINGAN NARXI $]]+Таблица3[[#This Row],[RASXOD]]</f>
        <v>-1231</v>
      </c>
      <c r="M224" s="203"/>
      <c r="N224" s="203"/>
      <c r="O224" s="199"/>
    </row>
    <row r="225" spans="1:15" s="205" customFormat="1" x14ac:dyDescent="0.3">
      <c r="A225" s="198"/>
      <c r="B225" s="328"/>
      <c r="C225" s="200"/>
      <c r="D225" s="200"/>
      <c r="E225" s="200"/>
      <c r="F225" s="201"/>
      <c r="G225" s="200"/>
      <c r="H225" s="327" t="s">
        <v>1724</v>
      </c>
      <c r="I225" s="224">
        <v>-2200</v>
      </c>
      <c r="J225" s="267"/>
      <c r="K225" s="202"/>
      <c r="L225" s="204">
        <f>Таблица3[[#This Row],[OLINGAN NARXI $]]+Таблица3[[#This Row],[RASXOD]]</f>
        <v>-2200</v>
      </c>
      <c r="M225" s="203"/>
      <c r="N225" s="203"/>
      <c r="O225" s="199"/>
    </row>
    <row r="226" spans="1:15" s="205" customFormat="1" x14ac:dyDescent="0.3">
      <c r="A226" s="198"/>
      <c r="B226" s="328"/>
      <c r="C226" s="200"/>
      <c r="D226" s="200"/>
      <c r="E226" s="200"/>
      <c r="F226" s="201"/>
      <c r="G226" s="200"/>
      <c r="H226" s="327" t="s">
        <v>1367</v>
      </c>
      <c r="I226" s="224"/>
      <c r="J226" s="267"/>
      <c r="K226" s="202"/>
      <c r="L226" s="204">
        <f>Таблица3[[#This Row],[OLINGAN NARXI $]]+Таблица3[[#This Row],[RASXOD]]</f>
        <v>0</v>
      </c>
      <c r="M226" s="203"/>
      <c r="N226" s="203"/>
      <c r="O226" s="199"/>
    </row>
    <row r="227" spans="1:15" s="205" customFormat="1" x14ac:dyDescent="0.3">
      <c r="A227" s="198"/>
      <c r="B227" s="328"/>
      <c r="C227" s="200"/>
      <c r="D227" s="200"/>
      <c r="E227" s="200"/>
      <c r="F227" s="201"/>
      <c r="G227" s="200"/>
      <c r="H227" s="327" t="s">
        <v>1725</v>
      </c>
      <c r="I227" s="224">
        <v>-8</v>
      </c>
      <c r="J227" s="267"/>
      <c r="K227" s="202"/>
      <c r="L227" s="204">
        <f>Таблица3[[#This Row],[OLINGAN NARXI $]]+Таблица3[[#This Row],[RASXOD]]</f>
        <v>-8</v>
      </c>
      <c r="M227" s="203"/>
      <c r="N227" s="203"/>
      <c r="O227" s="199"/>
    </row>
    <row r="228" spans="1:15" s="205" customFormat="1" x14ac:dyDescent="0.3">
      <c r="A228" s="198"/>
      <c r="B228" s="328"/>
      <c r="C228" s="200"/>
      <c r="D228" s="200"/>
      <c r="E228" s="200"/>
      <c r="F228" s="201"/>
      <c r="G228" s="200"/>
      <c r="H228" s="327" t="s">
        <v>226</v>
      </c>
      <c r="I228" s="224">
        <v>-875.8</v>
      </c>
      <c r="J228" s="267"/>
      <c r="K228" s="202"/>
      <c r="L228" s="204">
        <f>Таблица3[[#This Row],[OLINGAN NARXI $]]+Таблица3[[#This Row],[RASXOD]]</f>
        <v>-875.8</v>
      </c>
      <c r="M228" s="203"/>
      <c r="N228" s="203"/>
      <c r="O228" s="199"/>
    </row>
    <row r="229" spans="1:15" s="205" customFormat="1" x14ac:dyDescent="0.3">
      <c r="A229" s="198"/>
      <c r="B229" s="328"/>
      <c r="C229" s="200"/>
      <c r="D229" s="200"/>
      <c r="E229" s="200"/>
      <c r="F229" s="201"/>
      <c r="G229" s="200"/>
      <c r="H229" s="327" t="s">
        <v>1132</v>
      </c>
      <c r="I229" s="224">
        <v>-682.89</v>
      </c>
      <c r="J229" s="267"/>
      <c r="K229" s="202"/>
      <c r="L229" s="204">
        <f>Таблица3[[#This Row],[OLINGAN NARXI $]]+Таблица3[[#This Row],[RASXOD]]</f>
        <v>-682.89</v>
      </c>
      <c r="M229" s="203"/>
      <c r="N229" s="203"/>
      <c r="O229" s="199"/>
    </row>
    <row r="230" spans="1:15" s="205" customFormat="1" x14ac:dyDescent="0.3">
      <c r="A230" s="198"/>
      <c r="B230" s="329"/>
      <c r="C230" s="200"/>
      <c r="D230" s="200"/>
      <c r="E230" s="200"/>
      <c r="F230" s="201"/>
      <c r="G230" s="200"/>
      <c r="H230" s="327" t="s">
        <v>1726</v>
      </c>
      <c r="I230" s="224">
        <v>-100</v>
      </c>
      <c r="J230" s="223"/>
      <c r="K230" s="202"/>
      <c r="L230" s="204">
        <f>Таблица3[[#This Row],[OLINGAN NARXI $]]+Таблица3[[#This Row],[RASXOD]]</f>
        <v>-100</v>
      </c>
      <c r="M230" s="203"/>
      <c r="N230" s="203"/>
      <c r="O230" s="199"/>
    </row>
    <row r="231" spans="1:15" s="205" customFormat="1" x14ac:dyDescent="0.3">
      <c r="A231" s="198"/>
      <c r="B231" s="328"/>
      <c r="C231" s="200"/>
      <c r="D231" s="200"/>
      <c r="E231" s="200"/>
      <c r="F231" s="201"/>
      <c r="G231" s="200"/>
      <c r="H231" s="223" t="s">
        <v>1750</v>
      </c>
      <c r="I231" s="224">
        <v>-750</v>
      </c>
      <c r="J231" s="223"/>
      <c r="K231" s="202"/>
      <c r="L231" s="204">
        <f>Таблица3[[#This Row],[OLINGAN NARXI $]]+Таблица3[[#This Row],[RASXOD]]</f>
        <v>-750</v>
      </c>
      <c r="M231" s="203"/>
      <c r="N231" s="203"/>
      <c r="O231" s="199"/>
    </row>
    <row r="232" spans="1:15" s="205" customFormat="1" x14ac:dyDescent="0.3">
      <c r="A232" s="198"/>
      <c r="B232" s="328"/>
      <c r="C232" s="200"/>
      <c r="D232" s="200"/>
      <c r="E232" s="200"/>
      <c r="F232" s="201"/>
      <c r="G232" s="200"/>
      <c r="H232" s="223" t="s">
        <v>1759</v>
      </c>
      <c r="I232" s="224">
        <v>-370</v>
      </c>
      <c r="J232" s="223"/>
      <c r="K232" s="202"/>
      <c r="L232" s="204">
        <f>Таблица3[[#This Row],[OLINGAN NARXI $]]+Таблица3[[#This Row],[RASXOD]]</f>
        <v>-370</v>
      </c>
      <c r="M232" s="203"/>
      <c r="N232" s="203"/>
      <c r="O232" s="199"/>
    </row>
    <row r="233" spans="1:15" s="205" customFormat="1" x14ac:dyDescent="0.3">
      <c r="A233" s="198"/>
      <c r="B233" s="328"/>
      <c r="C233" s="200"/>
      <c r="D233" s="200"/>
      <c r="E233" s="200"/>
      <c r="F233" s="201"/>
      <c r="G233" s="200"/>
      <c r="H233" s="223"/>
      <c r="I233" s="224"/>
      <c r="J233" s="224"/>
      <c r="K233" s="202"/>
      <c r="L233" s="204">
        <f>Таблица3[[#This Row],[OLINGAN NARXI $]]+Таблица3[[#This Row],[RASXOD]]</f>
        <v>0</v>
      </c>
      <c r="M233" s="203"/>
      <c r="N233" s="203"/>
      <c r="O233" s="199"/>
    </row>
    <row r="234" spans="1:15" s="205" customFormat="1" x14ac:dyDescent="0.3">
      <c r="A234" s="198"/>
      <c r="B234" s="328"/>
      <c r="C234" s="200"/>
      <c r="D234" s="200"/>
      <c r="E234" s="200"/>
      <c r="F234" s="201"/>
      <c r="G234" s="200"/>
      <c r="H234" s="223"/>
      <c r="I234" s="224"/>
      <c r="J234" s="224"/>
      <c r="K234" s="202"/>
      <c r="L234" s="204">
        <f>Таблица3[[#This Row],[OLINGAN NARXI $]]+Таблица3[[#This Row],[RASXOD]]</f>
        <v>0</v>
      </c>
      <c r="M234" s="203"/>
      <c r="N234" s="203"/>
      <c r="O234" s="199"/>
    </row>
    <row r="235" spans="1:15" s="205" customFormat="1" x14ac:dyDescent="0.3">
      <c r="A235" s="198"/>
      <c r="B235" s="328"/>
      <c r="C235" s="200"/>
      <c r="D235" s="200"/>
      <c r="E235" s="200"/>
      <c r="F235" s="201"/>
      <c r="G235" s="200"/>
      <c r="H235" s="223"/>
      <c r="I235" s="224"/>
      <c r="J235" s="224"/>
      <c r="K235" s="202"/>
      <c r="L235" s="204">
        <f>Таблица3[[#This Row],[OLINGAN NARXI $]]+Таблица3[[#This Row],[RASXOD]]</f>
        <v>0</v>
      </c>
      <c r="M235" s="203"/>
      <c r="N235" s="203"/>
      <c r="O235" s="199"/>
    </row>
    <row r="236" spans="1:15" s="205" customFormat="1" x14ac:dyDescent="0.3">
      <c r="A236" s="198"/>
      <c r="B236" s="198"/>
      <c r="C236" s="199"/>
      <c r="D236" s="200"/>
      <c r="E236" s="200"/>
      <c r="F236" s="201"/>
      <c r="G236" s="200"/>
      <c r="H236" s="223"/>
      <c r="I236" s="224"/>
      <c r="J236" s="224"/>
      <c r="K236" s="202"/>
      <c r="L236" s="204">
        <f>Таблица3[[#This Row],[OLINGAN NARXI $]]+Таблица3[[#This Row],[RASXOD]]</f>
        <v>0</v>
      </c>
      <c r="M236" s="203"/>
      <c r="N236" s="203"/>
      <c r="O236" s="199"/>
    </row>
    <row r="237" spans="1:15" s="205" customFormat="1" x14ac:dyDescent="0.3">
      <c r="A237" s="198"/>
      <c r="B237" s="198"/>
      <c r="C237" s="199"/>
      <c r="D237" s="200"/>
      <c r="E237" s="200"/>
      <c r="F237" s="201"/>
      <c r="G237" s="200"/>
      <c r="H237" s="223" t="s">
        <v>1729</v>
      </c>
      <c r="I237" s="224">
        <v>-974</v>
      </c>
      <c r="J237" s="224"/>
      <c r="K237" s="202"/>
      <c r="L237" s="204">
        <f>Таблица3[[#This Row],[OLINGAN NARXI $]]+Таблица3[[#This Row],[RASXOD]]</f>
        <v>-974</v>
      </c>
      <c r="M237" s="203"/>
      <c r="N237" s="203"/>
      <c r="O237" s="199"/>
    </row>
    <row r="238" spans="1:15" s="205" customFormat="1" x14ac:dyDescent="0.3">
      <c r="A238" s="198"/>
      <c r="B238" s="198"/>
      <c r="C238" s="199"/>
      <c r="D238" s="200"/>
      <c r="E238" s="200"/>
      <c r="F238" s="201"/>
      <c r="G238" s="200"/>
      <c r="H238" s="223" t="s">
        <v>1728</v>
      </c>
      <c r="I238" s="224">
        <v>-3458.4</v>
      </c>
      <c r="J238" s="224"/>
      <c r="K238" s="202"/>
      <c r="L238" s="204">
        <f>Таблица3[[#This Row],[OLINGAN NARXI $]]+Таблица3[[#This Row],[RASXOD]]</f>
        <v>-3458.4</v>
      </c>
      <c r="M238" s="203"/>
      <c r="N238" s="203"/>
      <c r="O238" s="199"/>
    </row>
    <row r="239" spans="1:15" s="205" customFormat="1" x14ac:dyDescent="0.3">
      <c r="A239" s="198"/>
      <c r="B239" s="198"/>
      <c r="C239" s="199"/>
      <c r="D239" s="200"/>
      <c r="E239" s="200"/>
      <c r="F239" s="201"/>
      <c r="G239" s="200"/>
      <c r="H239" s="223" t="s">
        <v>1727</v>
      </c>
      <c r="I239" s="224">
        <v>-1729.2</v>
      </c>
      <c r="J239" s="224"/>
      <c r="K239" s="202"/>
      <c r="L239" s="204">
        <f>Таблица3[[#This Row],[OLINGAN NARXI $]]+Таблица3[[#This Row],[RASXOD]]</f>
        <v>-1729.2</v>
      </c>
      <c r="M239" s="203"/>
      <c r="N239" s="203"/>
      <c r="O239" s="199"/>
    </row>
    <row r="240" spans="1:15" s="205" customFormat="1" x14ac:dyDescent="0.3">
      <c r="A240" s="198"/>
      <c r="B240" s="198"/>
      <c r="C240" s="199"/>
      <c r="D240" s="200"/>
      <c r="E240" s="200"/>
      <c r="F240" s="201"/>
      <c r="G240" s="200"/>
      <c r="H240" s="223" t="s">
        <v>1726</v>
      </c>
      <c r="I240" s="224">
        <v>-100</v>
      </c>
      <c r="J240" s="224"/>
      <c r="K240" s="202"/>
      <c r="L240" s="204">
        <f>Таблица3[[#This Row],[OLINGAN NARXI $]]+Таблица3[[#This Row],[RASXOD]]</f>
        <v>-100</v>
      </c>
      <c r="M240" s="203"/>
      <c r="N240" s="203"/>
      <c r="O240" s="199"/>
    </row>
    <row r="241" spans="1:15" s="205" customFormat="1" x14ac:dyDescent="0.3">
      <c r="A241" s="198"/>
      <c r="B241" s="198"/>
      <c r="C241" s="199"/>
      <c r="D241" s="200"/>
      <c r="E241" s="200"/>
      <c r="F241" s="201"/>
      <c r="G241" s="200"/>
      <c r="H241" s="223"/>
      <c r="I241" s="224"/>
      <c r="J241" s="224"/>
      <c r="K241" s="202"/>
      <c r="L241" s="204">
        <f>Таблица3[[#This Row],[OLINGAN NARXI $]]+Таблица3[[#This Row],[RASXOD]]</f>
        <v>0</v>
      </c>
      <c r="M241" s="203"/>
      <c r="N241" s="203"/>
      <c r="O241" s="199"/>
    </row>
    <row r="242" spans="1:15" s="205" customFormat="1" ht="15.6" x14ac:dyDescent="0.3">
      <c r="A242" s="198"/>
      <c r="B242" s="198"/>
      <c r="C242" s="199"/>
      <c r="D242" s="200"/>
      <c r="E242" s="200"/>
      <c r="F242" s="201"/>
      <c r="G242" s="200"/>
      <c r="H242" s="223" t="s">
        <v>981</v>
      </c>
      <c r="I242" s="75">
        <f>SUM(I220:I241)</f>
        <v>-19886.37</v>
      </c>
      <c r="J242" s="224"/>
      <c r="K242" s="202"/>
      <c r="L242" s="268">
        <v>0</v>
      </c>
      <c r="M242" s="203"/>
      <c r="N242" s="203"/>
      <c r="O242" s="199"/>
    </row>
    <row r="243" spans="1:15" s="205" customFormat="1" ht="15.6" x14ac:dyDescent="0.3">
      <c r="A243" s="60"/>
      <c r="B243" s="60"/>
      <c r="C243" s="61"/>
      <c r="D243" s="62"/>
      <c r="E243" s="62"/>
      <c r="F243" s="63"/>
      <c r="G243" s="62"/>
      <c r="H243" s="64"/>
      <c r="I243" s="65"/>
      <c r="J243" s="65"/>
      <c r="K243" s="64"/>
      <c r="L243" s="66">
        <f>SUBTOTAL(109,L2:L242)</f>
        <v>54430.127999999975</v>
      </c>
      <c r="M243" s="65"/>
      <c r="N243" s="65"/>
      <c r="O243" s="269"/>
    </row>
    <row r="244" spans="1:15" x14ac:dyDescent="0.3">
      <c r="A244" s="23"/>
      <c r="B244" s="23"/>
      <c r="C244" s="6"/>
      <c r="F244" s="3"/>
      <c r="G244" s="1"/>
      <c r="H244" s="5"/>
      <c r="K244" s="5"/>
      <c r="L244" s="5"/>
      <c r="O244" s="6"/>
    </row>
    <row r="245" spans="1:15" s="196" customFormat="1" ht="21" x14ac:dyDescent="0.4">
      <c r="A245" s="106"/>
      <c r="B245" s="106" t="s">
        <v>1613</v>
      </c>
      <c r="C245" s="188"/>
      <c r="D245" s="189"/>
      <c r="E245" s="190"/>
      <c r="F245" s="190"/>
      <c r="G245" s="191"/>
      <c r="H245" s="192"/>
      <c r="I245" s="193"/>
      <c r="J245" s="192"/>
      <c r="K245" s="192"/>
      <c r="L245" s="194"/>
      <c r="M245" s="193"/>
      <c r="N245" s="195">
        <f>Таблица3[[#This Row],[SOTILGAN NARXI]]-Таблица3[[#This Row],[OLINGAN NARXI $]]-Таблица3[[#This Row],[RASXOD]]</f>
        <v>0</v>
      </c>
      <c r="O245" s="188"/>
    </row>
    <row r="246" spans="1:15" x14ac:dyDescent="0.3">
      <c r="A246" s="23"/>
      <c r="B246" s="23" t="s">
        <v>13</v>
      </c>
      <c r="C246" s="22" t="s">
        <v>563</v>
      </c>
      <c r="D246" s="1" t="s">
        <v>97</v>
      </c>
      <c r="E246" s="1" t="s">
        <v>15</v>
      </c>
      <c r="F246" s="85">
        <v>351562313100053</v>
      </c>
      <c r="G246" s="1"/>
      <c r="H246" s="5">
        <v>45739</v>
      </c>
      <c r="I246" s="4">
        <v>340</v>
      </c>
      <c r="J246" s="4">
        <v>28</v>
      </c>
      <c r="K246" s="5"/>
      <c r="L246" s="58">
        <v>368</v>
      </c>
      <c r="N246" s="58"/>
      <c r="O246" s="6" t="s">
        <v>147</v>
      </c>
    </row>
    <row r="247" spans="1:15" x14ac:dyDescent="0.3">
      <c r="A247" s="107">
        <v>57</v>
      </c>
      <c r="B247" s="108" t="s">
        <v>16</v>
      </c>
      <c r="C247" s="109" t="s">
        <v>106</v>
      </c>
      <c r="D247" s="110" t="s">
        <v>89</v>
      </c>
      <c r="E247" s="110" t="s">
        <v>15</v>
      </c>
      <c r="F247" s="85">
        <v>356548106506817</v>
      </c>
      <c r="G247" s="1"/>
      <c r="H247" s="5">
        <v>45781</v>
      </c>
      <c r="I247" s="4">
        <v>150</v>
      </c>
      <c r="K247" s="5"/>
      <c r="L247" s="58">
        <v>150</v>
      </c>
      <c r="O247" s="6" t="s">
        <v>262</v>
      </c>
    </row>
    <row r="248" spans="1:15" x14ac:dyDescent="0.3">
      <c r="A248" s="107">
        <v>117</v>
      </c>
      <c r="B248" s="23" t="s">
        <v>16</v>
      </c>
      <c r="C248" s="6" t="s">
        <v>312</v>
      </c>
      <c r="D248" s="1" t="s">
        <v>21</v>
      </c>
      <c r="E248" s="1" t="s">
        <v>15</v>
      </c>
      <c r="F248" s="3">
        <v>355918200071458</v>
      </c>
      <c r="G248" s="1"/>
      <c r="H248" s="5">
        <v>45858</v>
      </c>
      <c r="I248" s="4">
        <v>400</v>
      </c>
      <c r="K248" s="5"/>
      <c r="L248" s="58">
        <v>400</v>
      </c>
      <c r="N248" s="4">
        <v>400</v>
      </c>
      <c r="O248" s="6"/>
    </row>
    <row r="249" spans="1:15" x14ac:dyDescent="0.3">
      <c r="A249" s="23"/>
      <c r="E249" s="3"/>
      <c r="G249" s="5"/>
      <c r="J249" s="5"/>
      <c r="K249" s="5"/>
      <c r="L249" s="1"/>
      <c r="N249" s="6"/>
    </row>
    <row r="250" spans="1:15" x14ac:dyDescent="0.3">
      <c r="A250" s="23"/>
      <c r="E250" s="3"/>
      <c r="G250" s="5"/>
      <c r="J250" s="5"/>
      <c r="K250" s="5"/>
      <c r="L250" s="1"/>
      <c r="N250" s="6"/>
    </row>
    <row r="251" spans="1:15" x14ac:dyDescent="0.3">
      <c r="A251" s="23"/>
      <c r="E251" s="3"/>
      <c r="G251" s="5"/>
      <c r="J251" s="5"/>
      <c r="K251" s="5"/>
      <c r="L251" s="1"/>
      <c r="N251" s="6"/>
    </row>
    <row r="252" spans="1:15" x14ac:dyDescent="0.3">
      <c r="A252" s="23"/>
      <c r="E252" s="3"/>
      <c r="G252" s="5"/>
      <c r="J252" s="5"/>
      <c r="K252" s="5"/>
      <c r="N252" s="6"/>
    </row>
    <row r="253" spans="1:15" x14ac:dyDescent="0.3">
      <c r="A253" s="23"/>
      <c r="E253" s="3"/>
      <c r="G253" s="5"/>
      <c r="J253" s="5"/>
      <c r="K253" s="5"/>
      <c r="N253" s="6"/>
    </row>
    <row r="254" spans="1:15" x14ac:dyDescent="0.3">
      <c r="A254" s="23"/>
      <c r="E254" s="3"/>
      <c r="G254" s="5"/>
      <c r="J254" s="5"/>
      <c r="K254" s="5"/>
      <c r="N254" s="6"/>
    </row>
    <row r="255" spans="1:15" x14ac:dyDescent="0.3">
      <c r="A255" s="23"/>
      <c r="E255" s="3"/>
      <c r="G255" s="5"/>
      <c r="J255" s="5"/>
      <c r="K255" s="5"/>
      <c r="N255" s="6"/>
    </row>
    <row r="256" spans="1:15" x14ac:dyDescent="0.3">
      <c r="A256" s="23"/>
      <c r="E256" s="3"/>
      <c r="G256" s="5"/>
      <c r="J256" s="5"/>
      <c r="K256" s="5"/>
      <c r="N256" s="6"/>
    </row>
    <row r="257" spans="1:14" x14ac:dyDescent="0.3">
      <c r="A257" s="23"/>
      <c r="E257" s="3"/>
      <c r="G257" s="5"/>
      <c r="J257" s="5"/>
      <c r="K257" s="5"/>
      <c r="N257" s="6"/>
    </row>
    <row r="258" spans="1:14" x14ac:dyDescent="0.3">
      <c r="A258" s="23"/>
      <c r="E258" s="3"/>
      <c r="G258" s="5"/>
      <c r="J258" s="5"/>
      <c r="K258" s="5"/>
      <c r="N258" s="6"/>
    </row>
    <row r="259" spans="1:14" x14ac:dyDescent="0.3">
      <c r="A259" s="23"/>
      <c r="E259" s="3"/>
      <c r="G259" s="5"/>
      <c r="J259" s="5"/>
      <c r="K259" s="5"/>
      <c r="N259" s="6"/>
    </row>
    <row r="260" spans="1:14" x14ac:dyDescent="0.3">
      <c r="A260" s="23"/>
      <c r="E260" s="3"/>
      <c r="G260" s="5"/>
      <c r="J260" s="5"/>
      <c r="K260" s="5"/>
      <c r="N260" s="6"/>
    </row>
    <row r="261" spans="1:14" x14ac:dyDescent="0.3">
      <c r="A261" s="23"/>
      <c r="E261" s="3"/>
      <c r="G261" s="5"/>
      <c r="J261" s="5"/>
      <c r="K261" s="5"/>
      <c r="N261" s="6"/>
    </row>
    <row r="262" spans="1:14" x14ac:dyDescent="0.3">
      <c r="A262" s="23"/>
      <c r="E262" s="3"/>
      <c r="G262" s="5"/>
      <c r="J262" s="5"/>
      <c r="K262" s="5"/>
      <c r="N262" s="6"/>
    </row>
    <row r="263" spans="1:14" x14ac:dyDescent="0.3">
      <c r="A263" s="23"/>
      <c r="E263" s="3"/>
      <c r="G263" s="5"/>
      <c r="J263" s="5"/>
      <c r="K263" s="5"/>
      <c r="N263" s="6"/>
    </row>
    <row r="264" spans="1:14" x14ac:dyDescent="0.3">
      <c r="A264" s="23"/>
      <c r="E264" s="3"/>
      <c r="G264" s="5"/>
      <c r="J264" s="5"/>
      <c r="K264" s="5"/>
      <c r="N264" s="6"/>
    </row>
    <row r="265" spans="1:14" x14ac:dyDescent="0.3">
      <c r="A265" s="23"/>
      <c r="E265" s="3"/>
      <c r="G265" s="5"/>
      <c r="J265" s="5"/>
      <c r="K265" s="5"/>
      <c r="N265" s="6"/>
    </row>
    <row r="266" spans="1:14" x14ac:dyDescent="0.3">
      <c r="A266" s="23"/>
      <c r="E266" s="3"/>
      <c r="G266" s="5"/>
      <c r="J266" s="5"/>
      <c r="K266" s="5"/>
      <c r="N266" s="6"/>
    </row>
    <row r="267" spans="1:14" x14ac:dyDescent="0.3">
      <c r="A267" s="23"/>
      <c r="E267" s="3"/>
      <c r="G267" s="5"/>
      <c r="J267" s="5"/>
      <c r="K267" s="5"/>
      <c r="N267" s="6"/>
    </row>
    <row r="268" spans="1:14" x14ac:dyDescent="0.3">
      <c r="A268" s="23"/>
      <c r="E268" s="3"/>
      <c r="G268" s="5"/>
      <c r="J268" s="5"/>
      <c r="K268" s="5"/>
      <c r="N268" s="6"/>
    </row>
    <row r="269" spans="1:14" x14ac:dyDescent="0.3">
      <c r="A269" s="23"/>
      <c r="E269" s="3"/>
      <c r="G269" s="5"/>
      <c r="J269" s="5"/>
      <c r="K269" s="5"/>
      <c r="N269" s="6"/>
    </row>
    <row r="270" spans="1:14" x14ac:dyDescent="0.3">
      <c r="A270" s="23"/>
      <c r="E270" s="3"/>
      <c r="G270" s="5"/>
      <c r="J270" s="5"/>
      <c r="K270" s="5"/>
      <c r="N270" s="6"/>
    </row>
    <row r="271" spans="1:14" x14ac:dyDescent="0.3">
      <c r="A271" s="23"/>
      <c r="E271" s="3"/>
      <c r="G271" s="5"/>
      <c r="J271" s="5"/>
      <c r="K271" s="5"/>
      <c r="N271" s="6"/>
    </row>
    <row r="272" spans="1:14" x14ac:dyDescent="0.3">
      <c r="A272" s="23"/>
      <c r="E272" s="3"/>
      <c r="G272" s="5"/>
      <c r="J272" s="5"/>
      <c r="K272" s="5"/>
      <c r="N272" s="6"/>
    </row>
    <row r="273" spans="1:14" x14ac:dyDescent="0.3">
      <c r="A273" s="23"/>
      <c r="E273" s="3"/>
      <c r="G273" s="5"/>
      <c r="J273" s="5"/>
      <c r="K273" s="5"/>
      <c r="N273" s="6"/>
    </row>
    <row r="274" spans="1:14" x14ac:dyDescent="0.3">
      <c r="A274" s="23"/>
      <c r="E274" s="3"/>
      <c r="G274" s="5"/>
      <c r="J274" s="5"/>
      <c r="K274" s="5"/>
      <c r="N274" s="6"/>
    </row>
    <row r="275" spans="1:14" x14ac:dyDescent="0.3">
      <c r="A275" s="23"/>
      <c r="E275" s="3"/>
      <c r="G275" s="5"/>
      <c r="J275" s="5"/>
      <c r="K275" s="5"/>
      <c r="N275" s="6"/>
    </row>
    <row r="276" spans="1:14" x14ac:dyDescent="0.3">
      <c r="A276" s="23"/>
      <c r="E276" s="3"/>
      <c r="G276" s="5"/>
      <c r="J276" s="5"/>
      <c r="K276" s="5"/>
      <c r="N276" s="6"/>
    </row>
    <row r="277" spans="1:14" x14ac:dyDescent="0.3">
      <c r="A277" s="23"/>
      <c r="E277" s="3"/>
      <c r="G277" s="5"/>
      <c r="J277" s="5"/>
      <c r="K277" s="5"/>
      <c r="N277" s="6"/>
    </row>
    <row r="278" spans="1:14" x14ac:dyDescent="0.3">
      <c r="A278" s="23"/>
      <c r="E278" s="3"/>
      <c r="G278" s="5"/>
      <c r="J278" s="5"/>
      <c r="K278" s="5"/>
      <c r="N278" s="6"/>
    </row>
    <row r="279" spans="1:14" x14ac:dyDescent="0.3">
      <c r="A279" s="23"/>
      <c r="E279" s="3"/>
      <c r="G279" s="5"/>
      <c r="J279" s="5"/>
      <c r="K279" s="5"/>
      <c r="N279" s="6"/>
    </row>
    <row r="280" spans="1:14" x14ac:dyDescent="0.3">
      <c r="A280" s="23"/>
      <c r="E280" s="3"/>
      <c r="G280" s="5"/>
      <c r="J280" s="5"/>
      <c r="K280" s="5"/>
      <c r="N280" s="6"/>
    </row>
    <row r="281" spans="1:14" x14ac:dyDescent="0.3">
      <c r="A281" s="23"/>
      <c r="E281" s="3"/>
      <c r="G281" s="5"/>
      <c r="J281" s="5"/>
      <c r="K281" s="5"/>
      <c r="N281" s="6"/>
    </row>
    <row r="282" spans="1:14" x14ac:dyDescent="0.3">
      <c r="A282" s="23"/>
      <c r="E282" s="3"/>
      <c r="G282" s="5"/>
      <c r="J282" s="5"/>
      <c r="K282" s="5"/>
      <c r="N282" s="6"/>
    </row>
    <row r="283" spans="1:14" x14ac:dyDescent="0.3">
      <c r="A283" s="23"/>
      <c r="E283" s="3"/>
      <c r="G283" s="5"/>
      <c r="J283" s="5"/>
      <c r="K283" s="5"/>
      <c r="N283" s="6"/>
    </row>
    <row r="284" spans="1:14" x14ac:dyDescent="0.3">
      <c r="A284" s="23"/>
      <c r="E284" s="3"/>
      <c r="G284" s="5"/>
      <c r="J284" s="5"/>
      <c r="K284" s="5"/>
      <c r="N284" s="6"/>
    </row>
    <row r="285" spans="1:14" x14ac:dyDescent="0.3">
      <c r="A285" s="23"/>
      <c r="E285" s="3"/>
      <c r="G285" s="5"/>
      <c r="J285" s="5"/>
      <c r="K285" s="5"/>
      <c r="N285" s="6"/>
    </row>
    <row r="286" spans="1:14" x14ac:dyDescent="0.3">
      <c r="A286" s="23"/>
      <c r="E286" s="3"/>
      <c r="G286" s="5"/>
      <c r="J286" s="5"/>
      <c r="K286" s="5"/>
      <c r="N286" s="6"/>
    </row>
    <row r="287" spans="1:14" x14ac:dyDescent="0.3">
      <c r="A287" s="23"/>
      <c r="E287" s="3"/>
      <c r="G287" s="5"/>
      <c r="J287" s="5"/>
      <c r="K287" s="5"/>
      <c r="N287" s="6"/>
    </row>
    <row r="288" spans="1:14" x14ac:dyDescent="0.3">
      <c r="A288" s="23"/>
      <c r="E288" s="3"/>
      <c r="G288" s="5"/>
      <c r="J288" s="5"/>
      <c r="K288" s="5"/>
      <c r="N288" s="6"/>
    </row>
    <row r="289" spans="1:14" x14ac:dyDescent="0.3">
      <c r="A289" s="23"/>
      <c r="E289" s="3"/>
      <c r="G289" s="5"/>
      <c r="J289" s="5"/>
      <c r="K289" s="5"/>
      <c r="N289" s="6"/>
    </row>
    <row r="290" spans="1:14" x14ac:dyDescent="0.3">
      <c r="A290" s="23"/>
      <c r="E290" s="3"/>
      <c r="G290" s="5"/>
      <c r="J290" s="5"/>
      <c r="K290" s="5"/>
      <c r="N290" s="6"/>
    </row>
    <row r="291" spans="1:14" x14ac:dyDescent="0.3">
      <c r="A291" s="23"/>
      <c r="E291" s="3"/>
      <c r="G291" s="5"/>
      <c r="J291" s="5"/>
      <c r="K291" s="5"/>
      <c r="N291" s="6"/>
    </row>
    <row r="292" spans="1:14" x14ac:dyDescent="0.3">
      <c r="A292" s="23"/>
      <c r="E292" s="3"/>
      <c r="G292" s="5"/>
      <c r="J292" s="5"/>
      <c r="K292" s="5"/>
      <c r="N292" s="6"/>
    </row>
    <row r="293" spans="1:14" x14ac:dyDescent="0.3">
      <c r="A293" s="23"/>
      <c r="E293" s="3"/>
      <c r="G293" s="5"/>
      <c r="J293" s="5"/>
      <c r="K293" s="5"/>
      <c r="N293" s="6"/>
    </row>
    <row r="294" spans="1:14" x14ac:dyDescent="0.3">
      <c r="A294" s="23"/>
      <c r="E294" s="3"/>
      <c r="G294" s="5"/>
      <c r="J294" s="5"/>
      <c r="K294" s="5"/>
      <c r="N294" s="6"/>
    </row>
    <row r="295" spans="1:14" x14ac:dyDescent="0.3">
      <c r="A295" s="23"/>
      <c r="E295" s="3"/>
      <c r="G295" s="5"/>
      <c r="J295" s="5"/>
      <c r="K295" s="5"/>
      <c r="N295" s="6"/>
    </row>
    <row r="296" spans="1:14" x14ac:dyDescent="0.3">
      <c r="A296" s="23"/>
      <c r="E296" s="3"/>
      <c r="G296" s="5"/>
      <c r="J296" s="5"/>
      <c r="K296" s="5"/>
      <c r="N296" s="6"/>
    </row>
    <row r="297" spans="1:14" x14ac:dyDescent="0.3">
      <c r="A297" s="23"/>
      <c r="E297" s="3"/>
      <c r="G297" s="5"/>
      <c r="J297" s="5"/>
      <c r="K297" s="5"/>
      <c r="N297" s="6"/>
    </row>
    <row r="298" spans="1:14" x14ac:dyDescent="0.3">
      <c r="A298" s="23"/>
      <c r="E298" s="3"/>
      <c r="G298" s="5"/>
      <c r="J298" s="5"/>
      <c r="K298" s="5"/>
      <c r="N298" s="6"/>
    </row>
    <row r="299" spans="1:14" x14ac:dyDescent="0.3">
      <c r="A299" s="23"/>
      <c r="E299" s="3"/>
      <c r="G299" s="5"/>
      <c r="J299" s="5"/>
      <c r="K299" s="5"/>
      <c r="N299" s="6"/>
    </row>
    <row r="300" spans="1:14" x14ac:dyDescent="0.3">
      <c r="A300" s="23"/>
      <c r="E300" s="3"/>
      <c r="G300" s="5"/>
      <c r="J300" s="5"/>
      <c r="K300" s="5"/>
      <c r="N300" s="6"/>
    </row>
    <row r="301" spans="1:14" x14ac:dyDescent="0.3">
      <c r="A301" s="23"/>
      <c r="E301" s="3"/>
      <c r="G301" s="5"/>
      <c r="J301" s="5"/>
      <c r="K301" s="5"/>
      <c r="N301" s="6"/>
    </row>
    <row r="302" spans="1:14" x14ac:dyDescent="0.3">
      <c r="A302" s="23"/>
      <c r="E302" s="3"/>
      <c r="G302" s="5"/>
      <c r="J302" s="5"/>
      <c r="K302" s="5"/>
      <c r="N302" s="6"/>
    </row>
    <row r="303" spans="1:14" x14ac:dyDescent="0.3">
      <c r="A303" s="23"/>
      <c r="E303" s="3"/>
      <c r="G303" s="5"/>
      <c r="J303" s="5"/>
      <c r="K303" s="5"/>
      <c r="N303" s="6"/>
    </row>
    <row r="304" spans="1:14" x14ac:dyDescent="0.3">
      <c r="A304" s="23"/>
      <c r="E304" s="3"/>
      <c r="G304" s="5"/>
      <c r="J304" s="5"/>
      <c r="K304" s="5"/>
      <c r="N304" s="6"/>
    </row>
    <row r="305" spans="1:14" x14ac:dyDescent="0.3">
      <c r="A305" s="23"/>
      <c r="E305" s="3"/>
      <c r="G305" s="5"/>
      <c r="J305" s="5"/>
      <c r="K305" s="5"/>
      <c r="N305" s="6"/>
    </row>
    <row r="306" spans="1:14" x14ac:dyDescent="0.3">
      <c r="A306" s="23"/>
      <c r="E306" s="3"/>
      <c r="G306" s="5"/>
      <c r="J306" s="5"/>
      <c r="K306" s="5"/>
      <c r="N306" s="6"/>
    </row>
    <row r="307" spans="1:14" x14ac:dyDescent="0.3">
      <c r="A307" s="23"/>
      <c r="E307" s="3"/>
      <c r="G307" s="5"/>
      <c r="J307" s="5"/>
      <c r="K307" s="5"/>
      <c r="N307" s="6"/>
    </row>
    <row r="308" spans="1:14" x14ac:dyDescent="0.3">
      <c r="A308" s="23"/>
      <c r="E308" s="3"/>
      <c r="G308" s="5"/>
      <c r="J308" s="5"/>
      <c r="K308" s="5"/>
      <c r="N308" s="6"/>
    </row>
    <row r="309" spans="1:14" x14ac:dyDescent="0.3">
      <c r="A309" s="23"/>
      <c r="E309" s="3"/>
      <c r="G309" s="5"/>
      <c r="J309" s="5"/>
      <c r="K309" s="5"/>
      <c r="N309" s="6"/>
    </row>
    <row r="310" spans="1:14" x14ac:dyDescent="0.3">
      <c r="A310" s="23"/>
      <c r="E310" s="3"/>
      <c r="G310" s="5"/>
      <c r="J310" s="5"/>
      <c r="K310" s="5"/>
      <c r="N310" s="6"/>
    </row>
    <row r="311" spans="1:14" x14ac:dyDescent="0.3">
      <c r="A311" s="23"/>
      <c r="E311" s="3"/>
      <c r="G311" s="5"/>
      <c r="J311" s="5"/>
      <c r="K311" s="5"/>
      <c r="N311" s="6"/>
    </row>
    <row r="312" spans="1:14" x14ac:dyDescent="0.3">
      <c r="A312" s="23"/>
      <c r="E312" s="3"/>
      <c r="G312" s="5"/>
      <c r="J312" s="5"/>
      <c r="K312" s="5"/>
      <c r="N312" s="6"/>
    </row>
    <row r="313" spans="1:14" x14ac:dyDescent="0.3">
      <c r="A313" s="23"/>
      <c r="E313" s="3"/>
      <c r="G313" s="5"/>
      <c r="J313" s="5"/>
      <c r="K313" s="5"/>
      <c r="N313" s="6"/>
    </row>
    <row r="314" spans="1:14" x14ac:dyDescent="0.3">
      <c r="A314" s="23"/>
      <c r="E314" s="3"/>
      <c r="G314" s="5"/>
      <c r="J314" s="5"/>
      <c r="K314" s="5"/>
      <c r="N314" s="6"/>
    </row>
    <row r="315" spans="1:14" x14ac:dyDescent="0.3">
      <c r="A315" s="23"/>
      <c r="E315" s="3"/>
      <c r="G315" s="5"/>
      <c r="J315" s="5"/>
      <c r="K315" s="5"/>
      <c r="N315" s="6"/>
    </row>
    <row r="316" spans="1:14" x14ac:dyDescent="0.3">
      <c r="A316" s="23"/>
      <c r="E316" s="3"/>
      <c r="G316" s="5"/>
      <c r="J316" s="5"/>
      <c r="K316" s="5"/>
      <c r="N316" s="6"/>
    </row>
    <row r="317" spans="1:14" x14ac:dyDescent="0.3">
      <c r="A317" s="23"/>
      <c r="E317" s="3"/>
      <c r="G317" s="5"/>
      <c r="J317" s="5"/>
      <c r="K317" s="5"/>
      <c r="N317" s="6"/>
    </row>
    <row r="318" spans="1:14" x14ac:dyDescent="0.3">
      <c r="A318" s="23"/>
      <c r="E318" s="3"/>
      <c r="G318" s="5"/>
      <c r="J318" s="5"/>
      <c r="K318" s="5"/>
      <c r="N318" s="6"/>
    </row>
    <row r="319" spans="1:14" x14ac:dyDescent="0.3">
      <c r="A319" s="23"/>
      <c r="E319" s="3"/>
      <c r="G319" s="5"/>
      <c r="J319" s="5"/>
      <c r="K319" s="5"/>
      <c r="N319" s="6"/>
    </row>
    <row r="320" spans="1:14" x14ac:dyDescent="0.3">
      <c r="A320" s="23"/>
      <c r="E320" s="3"/>
      <c r="G320" s="5"/>
      <c r="J320" s="5"/>
      <c r="K320" s="5"/>
      <c r="N320" s="6"/>
    </row>
    <row r="321" spans="1:14" x14ac:dyDescent="0.3">
      <c r="A321" s="23"/>
      <c r="E321" s="3"/>
      <c r="G321" s="5"/>
      <c r="J321" s="5"/>
      <c r="K321" s="5"/>
      <c r="N321" s="6"/>
    </row>
    <row r="322" spans="1:14" x14ac:dyDescent="0.3">
      <c r="A322" s="23"/>
      <c r="E322" s="3"/>
      <c r="G322" s="5"/>
      <c r="J322" s="5"/>
      <c r="K322" s="5"/>
      <c r="N322" s="6"/>
    </row>
    <row r="323" spans="1:14" x14ac:dyDescent="0.3">
      <c r="A323" s="23"/>
      <c r="E323" s="3"/>
      <c r="G323" s="5"/>
      <c r="J323" s="5"/>
      <c r="K323" s="5"/>
      <c r="N323" s="6"/>
    </row>
    <row r="324" spans="1:14" x14ac:dyDescent="0.3">
      <c r="A324" s="23"/>
      <c r="E324" s="3"/>
      <c r="G324" s="5"/>
      <c r="J324" s="5"/>
      <c r="K324" s="5"/>
      <c r="N324" s="6"/>
    </row>
    <row r="325" spans="1:14" x14ac:dyDescent="0.3">
      <c r="A325" s="23"/>
      <c r="E325" s="3"/>
      <c r="G325" s="5"/>
      <c r="J325" s="5"/>
      <c r="K325" s="5"/>
      <c r="N325" s="6"/>
    </row>
    <row r="326" spans="1:14" x14ac:dyDescent="0.3">
      <c r="A326" s="23"/>
      <c r="E326" s="3"/>
      <c r="G326" s="5"/>
      <c r="J326" s="5"/>
      <c r="K326" s="5"/>
      <c r="N326" s="6"/>
    </row>
    <row r="327" spans="1:14" x14ac:dyDescent="0.3">
      <c r="A327" s="23"/>
      <c r="E327" s="3"/>
      <c r="G327" s="5"/>
      <c r="J327" s="5"/>
      <c r="K327" s="5"/>
      <c r="N327" s="6"/>
    </row>
    <row r="328" spans="1:14" x14ac:dyDescent="0.3">
      <c r="A328" s="23"/>
      <c r="E328" s="3"/>
      <c r="G328" s="5"/>
      <c r="J328" s="5"/>
      <c r="K328" s="5"/>
      <c r="N328" s="6"/>
    </row>
    <row r="329" spans="1:14" x14ac:dyDescent="0.3">
      <c r="A329" s="23"/>
      <c r="E329" s="3"/>
      <c r="G329" s="5"/>
      <c r="J329" s="5"/>
      <c r="K329" s="5"/>
      <c r="N329" s="6"/>
    </row>
    <row r="330" spans="1:14" x14ac:dyDescent="0.3">
      <c r="A330" s="23"/>
      <c r="E330" s="3"/>
      <c r="G330" s="5"/>
      <c r="J330" s="5"/>
      <c r="K330" s="5"/>
      <c r="N330" s="6"/>
    </row>
    <row r="331" spans="1:14" x14ac:dyDescent="0.3">
      <c r="A331" s="23"/>
      <c r="E331" s="3"/>
      <c r="G331" s="5"/>
      <c r="J331" s="5"/>
      <c r="K331" s="5"/>
      <c r="N331" s="6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5589-7B88-444B-B0C9-48761B3222D5}">
  <dimension ref="A1:O78"/>
  <sheetViews>
    <sheetView topLeftCell="A40" zoomScale="80" zoomScaleNormal="80" workbookViewId="0">
      <selection activeCell="G45" sqref="G45"/>
    </sheetView>
  </sheetViews>
  <sheetFormatPr defaultRowHeight="14.4" x14ac:dyDescent="0.3"/>
  <cols>
    <col min="1" max="1" width="4.44140625" style="114" customWidth="1"/>
    <col min="2" max="2" width="11.5546875" bestFit="1" customWidth="1"/>
    <col min="3" max="3" width="15.6640625" customWidth="1"/>
    <col min="4" max="4" width="18.88671875" bestFit="1" customWidth="1"/>
    <col min="5" max="5" width="14.109375" bestFit="1" customWidth="1"/>
    <col min="6" max="6" width="28.88671875" customWidth="1"/>
    <col min="7" max="7" width="21.5546875" customWidth="1"/>
    <col min="8" max="8" width="15.88671875" customWidth="1"/>
    <col min="9" max="9" width="14" customWidth="1"/>
    <col min="10" max="10" width="11.88671875" customWidth="1"/>
    <col min="11" max="11" width="16.88671875" customWidth="1"/>
    <col min="12" max="12" width="13.88671875" customWidth="1"/>
    <col min="13" max="13" width="15.88671875" customWidth="1"/>
    <col min="14" max="14" width="13.88671875" bestFit="1" customWidth="1"/>
    <col min="15" max="15" width="40.21875" customWidth="1"/>
  </cols>
  <sheetData>
    <row r="1" spans="1:15" ht="13.5" customHeight="1" x14ac:dyDescent="0.3">
      <c r="A1" s="127"/>
      <c r="B1" s="1" t="s">
        <v>0</v>
      </c>
      <c r="C1" s="6" t="s">
        <v>2</v>
      </c>
      <c r="D1" s="1" t="s">
        <v>1</v>
      </c>
      <c r="E1" s="1" t="s">
        <v>3</v>
      </c>
      <c r="F1" s="3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2" t="s">
        <v>10</v>
      </c>
      <c r="L1" s="2" t="s">
        <v>980</v>
      </c>
      <c r="M1" s="1" t="s">
        <v>9</v>
      </c>
      <c r="N1" s="1" t="s">
        <v>11</v>
      </c>
      <c r="O1" s="1" t="s">
        <v>12</v>
      </c>
    </row>
    <row r="2" spans="1:15" s="253" customFormat="1" x14ac:dyDescent="0.3">
      <c r="A2" s="197">
        <v>1</v>
      </c>
      <c r="B2" s="245" t="s">
        <v>16</v>
      </c>
      <c r="C2" s="246" t="s">
        <v>39</v>
      </c>
      <c r="D2" s="247" t="s">
        <v>35</v>
      </c>
      <c r="E2" s="247" t="s">
        <v>22</v>
      </c>
      <c r="F2" s="248">
        <v>355656665250734</v>
      </c>
      <c r="G2" s="247"/>
      <c r="H2" s="250">
        <v>45897</v>
      </c>
      <c r="I2" s="251">
        <v>720</v>
      </c>
      <c r="J2" s="251"/>
      <c r="K2" s="250">
        <v>45901</v>
      </c>
      <c r="L2" s="252">
        <f>Таблица3[[#This Row],[OLINGAN NARXI $]]+Таблица3[[#This Row],[RASXOD]]</f>
        <v>28</v>
      </c>
      <c r="M2" s="251">
        <v>800</v>
      </c>
      <c r="N2" s="251">
        <v>80</v>
      </c>
      <c r="O2" s="246" t="s">
        <v>262</v>
      </c>
    </row>
    <row r="3" spans="1:15" s="253" customFormat="1" x14ac:dyDescent="0.3">
      <c r="A3" s="197">
        <v>2</v>
      </c>
      <c r="B3" s="245" t="s">
        <v>16</v>
      </c>
      <c r="C3" s="246" t="s">
        <v>1674</v>
      </c>
      <c r="D3" s="247" t="s">
        <v>18</v>
      </c>
      <c r="E3" s="247" t="s">
        <v>15</v>
      </c>
      <c r="F3" s="248">
        <v>350611988940953</v>
      </c>
      <c r="G3" s="247"/>
      <c r="H3" s="250">
        <v>45895</v>
      </c>
      <c r="I3" s="251">
        <v>60.4</v>
      </c>
      <c r="J3" s="251"/>
      <c r="K3" s="250">
        <v>45901</v>
      </c>
      <c r="L3" s="252">
        <f>Таблица3[[#This Row],[OLINGAN NARXI $]]+Таблица3[[#This Row],[RASXOD]]</f>
        <v>349</v>
      </c>
      <c r="M3" s="251">
        <v>162</v>
      </c>
      <c r="N3" s="251">
        <v>101.6</v>
      </c>
      <c r="O3" s="246">
        <v>771114800</v>
      </c>
    </row>
    <row r="4" spans="1:15" s="296" customFormat="1" x14ac:dyDescent="0.3">
      <c r="A4" s="197">
        <v>3</v>
      </c>
      <c r="B4" s="289" t="s">
        <v>13</v>
      </c>
      <c r="C4" s="290" t="s">
        <v>455</v>
      </c>
      <c r="D4" s="291" t="s">
        <v>217</v>
      </c>
      <c r="E4" s="291" t="s">
        <v>15</v>
      </c>
      <c r="F4" s="292">
        <v>352412371626178</v>
      </c>
      <c r="G4" s="291"/>
      <c r="H4" s="293">
        <v>45764</v>
      </c>
      <c r="I4" s="294">
        <v>280</v>
      </c>
      <c r="J4" s="294">
        <v>23.6</v>
      </c>
      <c r="K4" s="293">
        <v>45901</v>
      </c>
      <c r="L4" s="295">
        <f>Таблица3[[#This Row],[OLINGAN NARXI $]]+Таблица3[[#This Row],[RASXOD]]</f>
        <v>0</v>
      </c>
      <c r="M4" s="294">
        <v>345</v>
      </c>
      <c r="N4" s="294">
        <v>41.4</v>
      </c>
      <c r="O4" s="290" t="s">
        <v>147</v>
      </c>
    </row>
    <row r="5" spans="1:15" s="253" customFormat="1" x14ac:dyDescent="0.3">
      <c r="A5" s="197">
        <v>4</v>
      </c>
      <c r="B5" s="245" t="s">
        <v>13</v>
      </c>
      <c r="C5" s="246" t="s">
        <v>1082</v>
      </c>
      <c r="D5" s="247" t="s">
        <v>21</v>
      </c>
      <c r="E5" s="247" t="s">
        <v>15</v>
      </c>
      <c r="F5" s="248">
        <v>869632038133682</v>
      </c>
      <c r="G5" s="247" t="s">
        <v>282</v>
      </c>
      <c r="H5" s="250">
        <v>45873</v>
      </c>
      <c r="I5" s="251">
        <v>160</v>
      </c>
      <c r="J5" s="251">
        <v>4.7</v>
      </c>
      <c r="K5" s="250">
        <v>45901</v>
      </c>
      <c r="L5" s="252">
        <f>Таблица3[[#This Row],[OLINGAN NARXI $]]+Таблица3[[#This Row],[RASXOD]]</f>
        <v>237</v>
      </c>
      <c r="M5" s="251">
        <v>212</v>
      </c>
      <c r="N5" s="251">
        <v>47.3</v>
      </c>
      <c r="O5" s="246" t="s">
        <v>1367</v>
      </c>
    </row>
    <row r="6" spans="1:15" s="296" customFormat="1" x14ac:dyDescent="0.3">
      <c r="A6" s="197">
        <v>5</v>
      </c>
      <c r="B6" s="289" t="s">
        <v>13</v>
      </c>
      <c r="C6" s="290" t="s">
        <v>255</v>
      </c>
      <c r="D6" s="291" t="s">
        <v>26</v>
      </c>
      <c r="E6" s="291" t="s">
        <v>15</v>
      </c>
      <c r="F6" s="292">
        <v>351123961434060</v>
      </c>
      <c r="G6" s="291"/>
      <c r="H6" s="293">
        <v>45899</v>
      </c>
      <c r="I6" s="294">
        <v>652</v>
      </c>
      <c r="J6" s="294"/>
      <c r="K6" s="293">
        <v>45901</v>
      </c>
      <c r="L6" s="295">
        <f>Таблица3[[#This Row],[OLINGAN NARXI $]]+Таблица3[[#This Row],[RASXOD]]</f>
        <v>256</v>
      </c>
      <c r="M6" s="294">
        <v>755</v>
      </c>
      <c r="N6" s="294">
        <v>103</v>
      </c>
      <c r="O6" s="290" t="s">
        <v>1714</v>
      </c>
    </row>
    <row r="7" spans="1:15" s="288" customFormat="1" x14ac:dyDescent="0.3">
      <c r="A7" s="197">
        <v>6</v>
      </c>
      <c r="B7" s="281" t="s">
        <v>1077</v>
      </c>
      <c r="C7" s="282" t="s">
        <v>1607</v>
      </c>
      <c r="D7" s="283" t="s">
        <v>21</v>
      </c>
      <c r="E7" s="283" t="s">
        <v>22</v>
      </c>
      <c r="F7" s="284">
        <v>862860049955937</v>
      </c>
      <c r="G7" s="283"/>
      <c r="H7" s="285">
        <v>45882</v>
      </c>
      <c r="I7" s="286">
        <v>40</v>
      </c>
      <c r="J7" s="286"/>
      <c r="K7" s="285">
        <v>45902</v>
      </c>
      <c r="L7" s="287">
        <f>Таблица3[[#This Row],[OLINGAN NARXI $]]+Таблица3[[#This Row],[RASXOD]]</f>
        <v>468</v>
      </c>
      <c r="M7" s="286">
        <v>90</v>
      </c>
      <c r="N7" s="286">
        <v>50</v>
      </c>
      <c r="O7" s="282">
        <v>998201909</v>
      </c>
    </row>
    <row r="8" spans="1:15" s="326" customFormat="1" x14ac:dyDescent="0.3">
      <c r="A8" s="197">
        <v>7</v>
      </c>
      <c r="B8" s="319" t="s">
        <v>13</v>
      </c>
      <c r="C8" s="320" t="s">
        <v>119</v>
      </c>
      <c r="D8" s="321" t="s">
        <v>89</v>
      </c>
      <c r="E8" s="321" t="s">
        <v>15</v>
      </c>
      <c r="F8" s="322">
        <v>350345221889061</v>
      </c>
      <c r="G8" s="321"/>
      <c r="H8" s="323">
        <v>45790</v>
      </c>
      <c r="I8" s="324">
        <v>250</v>
      </c>
      <c r="J8" s="324">
        <v>26</v>
      </c>
      <c r="K8" s="323">
        <v>45902</v>
      </c>
      <c r="L8" s="325">
        <f>Таблица3[[#This Row],[OLINGAN NARXI $]]+Таблица3[[#This Row],[RASXOD]]</f>
        <v>155</v>
      </c>
      <c r="M8" s="324">
        <v>350</v>
      </c>
      <c r="N8" s="324">
        <v>74</v>
      </c>
      <c r="O8" s="320" t="s">
        <v>147</v>
      </c>
    </row>
    <row r="9" spans="1:15" s="288" customFormat="1" x14ac:dyDescent="0.3">
      <c r="A9" s="197">
        <v>8</v>
      </c>
      <c r="B9" s="281" t="s">
        <v>13</v>
      </c>
      <c r="C9" s="282" t="s">
        <v>117</v>
      </c>
      <c r="D9" s="283" t="s">
        <v>89</v>
      </c>
      <c r="E9" s="283" t="s">
        <v>15</v>
      </c>
      <c r="F9" s="284">
        <v>352854661164958</v>
      </c>
      <c r="G9" s="283"/>
      <c r="H9" s="285">
        <v>45571</v>
      </c>
      <c r="I9" s="286">
        <v>255</v>
      </c>
      <c r="J9" s="286">
        <v>13</v>
      </c>
      <c r="K9" s="285">
        <v>45902</v>
      </c>
      <c r="L9" s="287">
        <f>Таблица3[[#This Row],[OLINGAN NARXI $]]+Таблица3[[#This Row],[RASXOD]]</f>
        <v>190</v>
      </c>
      <c r="M9" s="286">
        <v>290</v>
      </c>
      <c r="N9" s="286">
        <v>22</v>
      </c>
      <c r="O9" s="282" t="s">
        <v>19</v>
      </c>
    </row>
    <row r="10" spans="1:15" s="326" customFormat="1" x14ac:dyDescent="0.3">
      <c r="A10" s="197">
        <v>9</v>
      </c>
      <c r="B10" s="319" t="s">
        <v>13</v>
      </c>
      <c r="C10" s="320" t="s">
        <v>119</v>
      </c>
      <c r="D10" s="321" t="s">
        <v>830</v>
      </c>
      <c r="E10" s="321" t="s">
        <v>15</v>
      </c>
      <c r="F10" s="322">
        <v>350345220350917</v>
      </c>
      <c r="G10" s="321"/>
      <c r="H10" s="323">
        <v>45754</v>
      </c>
      <c r="I10" s="324">
        <v>275</v>
      </c>
      <c r="J10" s="324"/>
      <c r="K10" s="323">
        <v>45902</v>
      </c>
      <c r="L10" s="325">
        <f>Таблица3[[#This Row],[OLINGAN NARXI $]]+Таблица3[[#This Row],[RASXOD]]</f>
        <v>473</v>
      </c>
      <c r="M10" s="324">
        <v>335</v>
      </c>
      <c r="N10" s="324">
        <v>60</v>
      </c>
      <c r="O10" s="320" t="s">
        <v>147</v>
      </c>
    </row>
    <row r="11" spans="1:15" s="288" customFormat="1" x14ac:dyDescent="0.3">
      <c r="A11" s="197">
        <v>10</v>
      </c>
      <c r="B11" s="281" t="s">
        <v>16</v>
      </c>
      <c r="C11" s="282" t="s">
        <v>25</v>
      </c>
      <c r="D11" s="283" t="s">
        <v>26</v>
      </c>
      <c r="E11" s="283" t="s">
        <v>22</v>
      </c>
      <c r="F11" s="284">
        <v>356876524884023</v>
      </c>
      <c r="G11" s="283" t="s">
        <v>1683</v>
      </c>
      <c r="H11" s="285">
        <v>45897</v>
      </c>
      <c r="I11" s="286">
        <v>640</v>
      </c>
      <c r="J11" s="286"/>
      <c r="K11" s="285">
        <v>45902</v>
      </c>
      <c r="L11" s="287">
        <f>Таблица3[[#This Row],[OLINGAN NARXI $]]+Таблица3[[#This Row],[RASXOD]]</f>
        <v>400</v>
      </c>
      <c r="M11" s="286">
        <v>800</v>
      </c>
      <c r="N11" s="286">
        <v>160</v>
      </c>
      <c r="O11" s="282" t="s">
        <v>1684</v>
      </c>
    </row>
    <row r="12" spans="1:15" s="296" customFormat="1" x14ac:dyDescent="0.3">
      <c r="A12" s="197">
        <v>11</v>
      </c>
      <c r="B12" s="289" t="s">
        <v>16</v>
      </c>
      <c r="C12" s="290" t="s">
        <v>25</v>
      </c>
      <c r="D12" s="291" t="s">
        <v>65</v>
      </c>
      <c r="E12" s="291" t="s">
        <v>15</v>
      </c>
      <c r="F12" s="292">
        <v>356303486646878</v>
      </c>
      <c r="G12" s="291" t="s">
        <v>1606</v>
      </c>
      <c r="H12" s="293">
        <v>45883</v>
      </c>
      <c r="I12" s="294">
        <v>780</v>
      </c>
      <c r="J12" s="294"/>
      <c r="K12" s="293">
        <v>45902</v>
      </c>
      <c r="L12" s="295">
        <f>Таблица3[[#This Row],[OLINGAN NARXI $]]+Таблица3[[#This Row],[RASXOD]]</f>
        <v>323.3</v>
      </c>
      <c r="M12" s="294">
        <v>830</v>
      </c>
      <c r="N12" s="294">
        <v>50</v>
      </c>
      <c r="O12" s="290" t="s">
        <v>1609</v>
      </c>
    </row>
    <row r="13" spans="1:15" s="326" customFormat="1" x14ac:dyDescent="0.3">
      <c r="A13" s="197">
        <v>12</v>
      </c>
      <c r="B13" s="319" t="s">
        <v>16</v>
      </c>
      <c r="C13" s="320" t="s">
        <v>151</v>
      </c>
      <c r="D13" s="321" t="s">
        <v>21</v>
      </c>
      <c r="E13" s="321" t="s">
        <v>15</v>
      </c>
      <c r="F13" s="322">
        <v>354917090895035</v>
      </c>
      <c r="G13" s="321"/>
      <c r="H13" s="323">
        <v>45901</v>
      </c>
      <c r="I13" s="324">
        <v>50</v>
      </c>
      <c r="J13" s="324"/>
      <c r="K13" s="323">
        <v>45902</v>
      </c>
      <c r="L13" s="325">
        <f>Таблица3[[#This Row],[OLINGAN NARXI $]]+Таблица3[[#This Row],[RASXOD]]</f>
        <v>307</v>
      </c>
      <c r="M13" s="324">
        <v>83</v>
      </c>
      <c r="N13" s="324">
        <v>33</v>
      </c>
      <c r="O13" s="320" t="s">
        <v>1745</v>
      </c>
    </row>
    <row r="14" spans="1:15" s="326" customFormat="1" x14ac:dyDescent="0.3">
      <c r="A14" s="197">
        <v>13</v>
      </c>
      <c r="B14" s="319" t="s">
        <v>13</v>
      </c>
      <c r="C14" s="320" t="s">
        <v>115</v>
      </c>
      <c r="D14" s="321" t="s">
        <v>21</v>
      </c>
      <c r="E14" s="321" t="s">
        <v>15</v>
      </c>
      <c r="F14" s="322">
        <v>354879302338594</v>
      </c>
      <c r="G14" s="321"/>
      <c r="H14" s="323">
        <v>45578</v>
      </c>
      <c r="I14" s="324">
        <v>190</v>
      </c>
      <c r="J14" s="324"/>
      <c r="K14" s="323">
        <v>45902</v>
      </c>
      <c r="L14" s="325">
        <f>Таблица3[[#This Row],[OLINGAN NARXI $]]+Таблица3[[#This Row],[RASXOD]]</f>
        <v>30</v>
      </c>
      <c r="M14" s="324">
        <v>230</v>
      </c>
      <c r="N14" s="324">
        <v>40</v>
      </c>
      <c r="O14" s="320" t="s">
        <v>180</v>
      </c>
    </row>
    <row r="15" spans="1:15" s="296" customFormat="1" x14ac:dyDescent="0.3">
      <c r="A15" s="197">
        <v>14</v>
      </c>
      <c r="B15" s="289" t="s">
        <v>16</v>
      </c>
      <c r="C15" s="290" t="s">
        <v>1760</v>
      </c>
      <c r="D15" s="291" t="s">
        <v>21</v>
      </c>
      <c r="E15" s="291" t="s">
        <v>15</v>
      </c>
      <c r="F15" s="292">
        <v>13853003899413</v>
      </c>
      <c r="G15" s="291" t="s">
        <v>1761</v>
      </c>
      <c r="H15" s="293">
        <v>45902</v>
      </c>
      <c r="I15" s="294">
        <v>20</v>
      </c>
      <c r="J15" s="294"/>
      <c r="K15" s="293">
        <v>45902</v>
      </c>
      <c r="L15" s="295">
        <f>Таблица3[[#This Row],[OLINGAN NARXI $]]+Таблица3[[#This Row],[RASXOD]]</f>
        <v>16</v>
      </c>
      <c r="M15" s="294">
        <v>60</v>
      </c>
      <c r="N15" s="294">
        <v>40</v>
      </c>
      <c r="O15" s="290" t="s">
        <v>1762</v>
      </c>
    </row>
    <row r="16" spans="1:15" s="326" customFormat="1" x14ac:dyDescent="0.3">
      <c r="A16" s="197">
        <v>15</v>
      </c>
      <c r="B16" s="319" t="s">
        <v>13</v>
      </c>
      <c r="C16" s="320" t="s">
        <v>1110</v>
      </c>
      <c r="D16" s="321" t="s">
        <v>1318</v>
      </c>
      <c r="E16" s="321" t="s">
        <v>15</v>
      </c>
      <c r="F16" s="322">
        <v>350709231633142</v>
      </c>
      <c r="G16" s="321"/>
      <c r="H16" s="323">
        <v>45856</v>
      </c>
      <c r="I16" s="324">
        <v>390</v>
      </c>
      <c r="J16" s="324"/>
      <c r="K16" s="323">
        <v>45902</v>
      </c>
      <c r="L16" s="325">
        <f>Таблица3[[#This Row],[OLINGAN NARXI $]]+Таблица3[[#This Row],[RASXOD]]</f>
        <v>387</v>
      </c>
      <c r="M16" s="324">
        <v>450</v>
      </c>
      <c r="N16" s="324">
        <v>60</v>
      </c>
      <c r="O16" s="320" t="s">
        <v>1367</v>
      </c>
    </row>
    <row r="17" spans="1:15" s="288" customFormat="1" x14ac:dyDescent="0.3">
      <c r="A17" s="197">
        <v>16</v>
      </c>
      <c r="B17" s="281" t="s">
        <v>16</v>
      </c>
      <c r="C17" s="282" t="s">
        <v>81</v>
      </c>
      <c r="D17" s="283" t="s">
        <v>45</v>
      </c>
      <c r="E17" s="283" t="s">
        <v>15</v>
      </c>
      <c r="F17" s="284">
        <v>351619856425253</v>
      </c>
      <c r="G17" s="283" t="s">
        <v>556</v>
      </c>
      <c r="H17" s="285">
        <v>45893</v>
      </c>
      <c r="I17" s="286">
        <v>410</v>
      </c>
      <c r="J17" s="286">
        <v>24.29</v>
      </c>
      <c r="K17" s="285">
        <v>45902</v>
      </c>
      <c r="L17" s="287">
        <f>Таблица3[[#This Row],[OLINGAN NARXI $]]+Таблица3[[#This Row],[RASXOD]]</f>
        <v>320</v>
      </c>
      <c r="M17" s="286">
        <v>530</v>
      </c>
      <c r="N17" s="286">
        <v>95.71</v>
      </c>
      <c r="O17" s="282" t="s">
        <v>1665</v>
      </c>
    </row>
    <row r="18" spans="1:15" s="296" customFormat="1" x14ac:dyDescent="0.3">
      <c r="A18" s="197">
        <v>17</v>
      </c>
      <c r="B18" s="289" t="s">
        <v>16</v>
      </c>
      <c r="C18" s="290" t="s">
        <v>81</v>
      </c>
      <c r="D18" s="291" t="s">
        <v>21</v>
      </c>
      <c r="E18" s="291" t="s">
        <v>15</v>
      </c>
      <c r="F18" s="292">
        <v>359984986666776</v>
      </c>
      <c r="G18" s="291"/>
      <c r="H18" s="293">
        <v>45887</v>
      </c>
      <c r="I18" s="294">
        <v>480</v>
      </c>
      <c r="J18" s="294"/>
      <c r="K18" s="293">
        <v>45902</v>
      </c>
      <c r="L18" s="295">
        <f>Таблица3[[#This Row],[OLINGAN NARXI $]]+Таблица3[[#This Row],[RASXOD]]</f>
        <v>223</v>
      </c>
      <c r="M18" s="294">
        <v>518</v>
      </c>
      <c r="N18" s="294">
        <v>38</v>
      </c>
      <c r="O18" s="290" t="s">
        <v>262</v>
      </c>
    </row>
    <row r="19" spans="1:15" s="296" customFormat="1" x14ac:dyDescent="0.3">
      <c r="A19" s="197">
        <v>18</v>
      </c>
      <c r="B19" s="289" t="s">
        <v>16</v>
      </c>
      <c r="C19" s="290" t="s">
        <v>1083</v>
      </c>
      <c r="D19" s="291" t="s">
        <v>21</v>
      </c>
      <c r="E19" s="291" t="s">
        <v>15</v>
      </c>
      <c r="F19" s="292">
        <v>351942132848977</v>
      </c>
      <c r="G19" s="291"/>
      <c r="H19" s="293">
        <v>45897</v>
      </c>
      <c r="I19" s="294">
        <v>490</v>
      </c>
      <c r="J19" s="294"/>
      <c r="K19" s="293">
        <v>45902</v>
      </c>
      <c r="L19" s="295">
        <f>Таблица3[[#This Row],[OLINGAN NARXI $]]+Таблица3[[#This Row],[RASXOD]]</f>
        <v>251.5</v>
      </c>
      <c r="M19" s="294">
        <v>590</v>
      </c>
      <c r="N19" s="294">
        <v>100</v>
      </c>
      <c r="O19" s="290" t="s">
        <v>1677</v>
      </c>
    </row>
    <row r="20" spans="1:15" s="288" customFormat="1" x14ac:dyDescent="0.3">
      <c r="A20" s="197">
        <v>19</v>
      </c>
      <c r="B20" s="281" t="s">
        <v>13</v>
      </c>
      <c r="C20" s="282" t="s">
        <v>115</v>
      </c>
      <c r="D20" s="283" t="s">
        <v>93</v>
      </c>
      <c r="E20" s="283" t="s">
        <v>15</v>
      </c>
      <c r="F20" s="284">
        <v>351376418904438</v>
      </c>
      <c r="G20" s="283"/>
      <c r="H20" s="285">
        <v>45584</v>
      </c>
      <c r="I20" s="286">
        <v>175</v>
      </c>
      <c r="J20" s="286">
        <v>39</v>
      </c>
      <c r="K20" s="285">
        <v>45902</v>
      </c>
      <c r="L20" s="287">
        <f>Таблица3[[#This Row],[OLINGAN NARXI $]]+Таблица3[[#This Row],[RASXOD]]</f>
        <v>1080</v>
      </c>
      <c r="M20" s="286">
        <v>240</v>
      </c>
      <c r="N20" s="286">
        <v>26</v>
      </c>
      <c r="O20" s="282" t="s">
        <v>147</v>
      </c>
    </row>
    <row r="21" spans="1:15" s="288" customFormat="1" x14ac:dyDescent="0.3">
      <c r="A21" s="197">
        <v>20</v>
      </c>
      <c r="B21" s="281" t="s">
        <v>13</v>
      </c>
      <c r="C21" s="282" t="s">
        <v>1082</v>
      </c>
      <c r="D21" s="283" t="s">
        <v>45</v>
      </c>
      <c r="E21" s="283" t="s">
        <v>15</v>
      </c>
      <c r="F21" s="284">
        <v>355375100786929</v>
      </c>
      <c r="G21" s="283" t="s">
        <v>556</v>
      </c>
      <c r="H21" s="285">
        <v>45894</v>
      </c>
      <c r="I21" s="286">
        <v>210</v>
      </c>
      <c r="J21" s="286"/>
      <c r="K21" s="285">
        <v>45902</v>
      </c>
      <c r="L21" s="287">
        <f>Таблица3[[#This Row],[OLINGAN NARXI $]]+Таблица3[[#This Row],[RASXOD]]</f>
        <v>600</v>
      </c>
      <c r="M21" s="286">
        <v>215</v>
      </c>
      <c r="N21" s="286">
        <v>5</v>
      </c>
      <c r="O21" s="282" t="s">
        <v>262</v>
      </c>
    </row>
    <row r="22" spans="1:15" s="288" customFormat="1" x14ac:dyDescent="0.3">
      <c r="A22" s="197">
        <v>21</v>
      </c>
      <c r="B22" s="281" t="s">
        <v>16</v>
      </c>
      <c r="C22" s="282" t="s">
        <v>81</v>
      </c>
      <c r="D22" s="283"/>
      <c r="E22" s="283"/>
      <c r="F22" s="284">
        <v>1525</v>
      </c>
      <c r="G22" s="283"/>
      <c r="H22" s="285">
        <v>45903</v>
      </c>
      <c r="I22" s="286"/>
      <c r="J22" s="286"/>
      <c r="K22" s="285">
        <v>45903</v>
      </c>
      <c r="L22" s="287">
        <f>Таблица375891011141518[[#This Row],[OLINGAN NARXI $]]+Таблица375891011141518[[#This Row],[RASXOD]]</f>
        <v>0</v>
      </c>
      <c r="M22" s="286">
        <v>20</v>
      </c>
      <c r="N22" s="286">
        <v>20</v>
      </c>
      <c r="O22" s="282" t="s">
        <v>446</v>
      </c>
    </row>
    <row r="23" spans="1:15" s="253" customFormat="1" x14ac:dyDescent="0.3">
      <c r="A23" s="197">
        <v>22</v>
      </c>
      <c r="B23" s="245" t="s">
        <v>13</v>
      </c>
      <c r="C23" s="246" t="s">
        <v>1159</v>
      </c>
      <c r="D23" s="247" t="s">
        <v>97</v>
      </c>
      <c r="E23" s="247" t="s">
        <v>15</v>
      </c>
      <c r="F23" s="248">
        <v>353074283712386</v>
      </c>
      <c r="G23" s="247"/>
      <c r="H23" s="250">
        <v>45781</v>
      </c>
      <c r="I23" s="251">
        <v>320</v>
      </c>
      <c r="J23" s="251"/>
      <c r="K23" s="250">
        <v>45903</v>
      </c>
      <c r="L23" s="252">
        <f>Таблица3[[#This Row],[OLINGAN NARXI $]]+Таблица3[[#This Row],[RASXOD]]</f>
        <v>366</v>
      </c>
      <c r="M23" s="251">
        <v>370</v>
      </c>
      <c r="N23" s="251">
        <v>50</v>
      </c>
      <c r="O23" s="246" t="s">
        <v>1160</v>
      </c>
    </row>
    <row r="24" spans="1:15" s="326" customFormat="1" x14ac:dyDescent="0.3">
      <c r="A24" s="197">
        <v>23</v>
      </c>
      <c r="B24" s="319" t="s">
        <v>16</v>
      </c>
      <c r="C24" s="320" t="s">
        <v>298</v>
      </c>
      <c r="D24" s="321" t="s">
        <v>21</v>
      </c>
      <c r="E24" s="321" t="s">
        <v>15</v>
      </c>
      <c r="F24" s="322">
        <v>359471083053207</v>
      </c>
      <c r="G24" s="321" t="s">
        <v>61</v>
      </c>
      <c r="H24" s="323">
        <v>45902</v>
      </c>
      <c r="I24" s="324">
        <v>50</v>
      </c>
      <c r="J24" s="324"/>
      <c r="K24" s="323">
        <v>45903</v>
      </c>
      <c r="L24" s="325">
        <f>Таблица3[[#This Row],[OLINGAN NARXI $]]+Таблица3[[#This Row],[RASXOD]]</f>
        <v>381</v>
      </c>
      <c r="M24" s="324">
        <v>100</v>
      </c>
      <c r="N24" s="324">
        <v>50</v>
      </c>
      <c r="O24" s="320">
        <v>914410606</v>
      </c>
    </row>
    <row r="25" spans="1:15" s="296" customFormat="1" x14ac:dyDescent="0.3">
      <c r="A25" s="197">
        <v>24</v>
      </c>
      <c r="B25" s="289" t="s">
        <v>13</v>
      </c>
      <c r="C25" s="290" t="s">
        <v>502</v>
      </c>
      <c r="D25" s="291" t="s">
        <v>18</v>
      </c>
      <c r="E25" s="291" t="s">
        <v>15</v>
      </c>
      <c r="F25" s="292">
        <v>358088350509165</v>
      </c>
      <c r="G25" s="291"/>
      <c r="H25" s="293">
        <v>45902</v>
      </c>
      <c r="I25" s="294">
        <v>510</v>
      </c>
      <c r="J25" s="294"/>
      <c r="K25" s="293">
        <v>45903</v>
      </c>
      <c r="L25" s="295">
        <f>Таблица3[[#This Row],[OLINGAN NARXI $]]+Таблица3[[#This Row],[RASXOD]]</f>
        <v>540</v>
      </c>
      <c r="M25" s="294">
        <v>550</v>
      </c>
      <c r="N25" s="294">
        <v>40</v>
      </c>
      <c r="O25" s="290" t="s">
        <v>262</v>
      </c>
    </row>
    <row r="26" spans="1:15" s="288" customFormat="1" x14ac:dyDescent="0.3">
      <c r="A26" s="197">
        <v>25</v>
      </c>
      <c r="B26" s="281" t="s">
        <v>16</v>
      </c>
      <c r="C26" s="282" t="s">
        <v>74</v>
      </c>
      <c r="D26" s="283" t="s">
        <v>21</v>
      </c>
      <c r="E26" s="283" t="s">
        <v>15</v>
      </c>
      <c r="F26" s="284">
        <v>354569167787312</v>
      </c>
      <c r="G26" s="283"/>
      <c r="H26" s="285">
        <v>45896</v>
      </c>
      <c r="I26" s="286">
        <v>580</v>
      </c>
      <c r="J26" s="286"/>
      <c r="K26" s="285">
        <v>45903</v>
      </c>
      <c r="L26" s="287">
        <f>Таблица3[[#This Row],[OLINGAN NARXI $]]+Таблица3[[#This Row],[RASXOD]]</f>
        <v>286</v>
      </c>
      <c r="M26" s="286">
        <v>630</v>
      </c>
      <c r="N26" s="286">
        <v>50</v>
      </c>
      <c r="O26" s="282" t="s">
        <v>19</v>
      </c>
    </row>
    <row r="27" spans="1:15" s="288" customFormat="1" x14ac:dyDescent="0.3">
      <c r="A27" s="197">
        <v>26</v>
      </c>
      <c r="B27" s="281" t="s">
        <v>16</v>
      </c>
      <c r="C27" s="282" t="s">
        <v>1084</v>
      </c>
      <c r="D27" s="283" t="s">
        <v>21</v>
      </c>
      <c r="E27" s="283" t="s">
        <v>22</v>
      </c>
      <c r="F27" s="284">
        <v>356348320480299</v>
      </c>
      <c r="G27" s="283"/>
      <c r="H27" s="285">
        <v>45903</v>
      </c>
      <c r="I27" s="286">
        <v>750</v>
      </c>
      <c r="J27" s="286"/>
      <c r="K27" s="285">
        <v>45903</v>
      </c>
      <c r="L27" s="287">
        <f>Таблица3[[#This Row],[OLINGAN NARXI $]]+Таблица3[[#This Row],[RASXOD]]</f>
        <v>703</v>
      </c>
      <c r="M27" s="286">
        <v>800</v>
      </c>
      <c r="N27" s="381">
        <v>50</v>
      </c>
      <c r="O27" s="282" t="s">
        <v>1779</v>
      </c>
    </row>
    <row r="28" spans="1:15" s="205" customFormat="1" x14ac:dyDescent="0.3">
      <c r="A28" s="197">
        <v>27</v>
      </c>
      <c r="B28" s="198"/>
      <c r="C28" s="199"/>
      <c r="D28" s="200"/>
      <c r="E28" s="200"/>
      <c r="F28" s="201"/>
      <c r="G28" s="200"/>
      <c r="H28" s="202"/>
      <c r="I28" s="203"/>
      <c r="J28" s="203"/>
      <c r="K28" s="202"/>
      <c r="L28" s="204">
        <f>Таблица375891011141518[[#This Row],[OLINGAN NARXI $]]+Таблица375891011141518[[#This Row],[RASXOD]]</f>
        <v>0</v>
      </c>
      <c r="M28" s="203"/>
      <c r="N28" s="203">
        <f>Таблица375891011141518[[#This Row],[SOTILGAN NARXI]]-Таблица375891011141518[[#This Row],[OLINGAN NARXI $]]-Таблица375891011141518[[#This Row],[RASXOD]]</f>
        <v>0</v>
      </c>
      <c r="O28" s="199"/>
    </row>
    <row r="29" spans="1:15" s="205" customFormat="1" x14ac:dyDescent="0.3">
      <c r="A29" s="197">
        <v>28</v>
      </c>
      <c r="B29" s="198"/>
      <c r="C29" s="199"/>
      <c r="D29" s="200"/>
      <c r="E29" s="200"/>
      <c r="F29" s="201"/>
      <c r="G29" s="200"/>
      <c r="H29" s="202"/>
      <c r="I29" s="203"/>
      <c r="J29" s="203"/>
      <c r="K29" s="202"/>
      <c r="L29" s="204">
        <f>Таблица375891011141518[[#This Row],[OLINGAN NARXI $]]+Таблица375891011141518[[#This Row],[RASXOD]]</f>
        <v>0</v>
      </c>
      <c r="M29" s="203"/>
      <c r="N29" s="203">
        <f>Таблица375891011141518[[#This Row],[SOTILGAN NARXI]]-Таблица375891011141518[[#This Row],[OLINGAN NARXI $]]-Таблица375891011141518[[#This Row],[RASXOD]]</f>
        <v>0</v>
      </c>
      <c r="O29" s="199"/>
    </row>
    <row r="30" spans="1:15" s="205" customFormat="1" x14ac:dyDescent="0.3">
      <c r="A30" s="197">
        <v>29</v>
      </c>
      <c r="B30" s="198"/>
      <c r="C30" s="199"/>
      <c r="D30" s="200"/>
      <c r="E30" s="200"/>
      <c r="F30" s="201"/>
      <c r="G30" s="200"/>
      <c r="H30" s="202"/>
      <c r="I30" s="203"/>
      <c r="J30" s="203"/>
      <c r="K30" s="202"/>
      <c r="L30" s="204">
        <f>Таблица375891011141518[[#This Row],[OLINGAN NARXI $]]+Таблица375891011141518[[#This Row],[RASXOD]]</f>
        <v>0</v>
      </c>
      <c r="M30" s="203"/>
      <c r="N30" s="203">
        <f>Таблица375891011141518[[#This Row],[SOTILGAN NARXI]]-Таблица375891011141518[[#This Row],[OLINGAN NARXI $]]-Таблица375891011141518[[#This Row],[RASXOD]]</f>
        <v>0</v>
      </c>
      <c r="O30" s="199"/>
    </row>
    <row r="31" spans="1:15" s="205" customFormat="1" x14ac:dyDescent="0.3">
      <c r="A31" s="197">
        <v>30</v>
      </c>
      <c r="B31" s="198"/>
      <c r="C31" s="199"/>
      <c r="D31" s="200"/>
      <c r="E31" s="200"/>
      <c r="F31" s="201"/>
      <c r="G31" s="200"/>
      <c r="H31" s="202"/>
      <c r="I31" s="203"/>
      <c r="J31" s="203"/>
      <c r="K31" s="202"/>
      <c r="L31" s="204">
        <f>Таблица375891011141518[[#This Row],[OLINGAN NARXI $]]+Таблица375891011141518[[#This Row],[RASXOD]]</f>
        <v>0</v>
      </c>
      <c r="M31" s="203"/>
      <c r="N31" s="203">
        <f>Таблица375891011141518[[#This Row],[SOTILGAN NARXI]]-Таблица375891011141518[[#This Row],[OLINGAN NARXI $]]-Таблица375891011141518[[#This Row],[RASXOD]]</f>
        <v>0</v>
      </c>
      <c r="O31" s="199"/>
    </row>
    <row r="32" spans="1:15" s="205" customFormat="1" x14ac:dyDescent="0.3">
      <c r="A32" s="197">
        <v>31</v>
      </c>
      <c r="B32" s="198"/>
      <c r="C32" s="199"/>
      <c r="D32" s="200"/>
      <c r="E32" s="200"/>
      <c r="F32" s="201"/>
      <c r="G32" s="200"/>
      <c r="H32" s="202"/>
      <c r="I32" s="203"/>
      <c r="J32" s="203"/>
      <c r="K32" s="202"/>
      <c r="L32" s="204">
        <f>Таблица375891011141518[[#This Row],[OLINGAN NARXI $]]+Таблица375891011141518[[#This Row],[RASXOD]]</f>
        <v>0</v>
      </c>
      <c r="M32" s="203"/>
      <c r="N32" s="203">
        <f>Таблица375891011141518[[#This Row],[SOTILGAN NARXI]]-Таблица375891011141518[[#This Row],[OLINGAN NARXI $]]-Таблица375891011141518[[#This Row],[RASXOD]]</f>
        <v>0</v>
      </c>
      <c r="O32" s="199"/>
    </row>
    <row r="33" spans="1:15" s="205" customFormat="1" x14ac:dyDescent="0.3">
      <c r="A33" s="197">
        <v>32</v>
      </c>
      <c r="B33" s="198"/>
      <c r="C33" s="199"/>
      <c r="D33" s="200"/>
      <c r="E33" s="200"/>
      <c r="F33" s="201"/>
      <c r="G33" s="200"/>
      <c r="H33" s="202"/>
      <c r="I33" s="203"/>
      <c r="J33" s="203"/>
      <c r="K33" s="202"/>
      <c r="L33" s="204">
        <f>Таблица375891011141518[[#This Row],[OLINGAN NARXI $]]+Таблица375891011141518[[#This Row],[RASXOD]]</f>
        <v>0</v>
      </c>
      <c r="M33" s="203"/>
      <c r="N33" s="203">
        <f>Таблица375891011141518[[#This Row],[SOTILGAN NARXI]]-Таблица375891011141518[[#This Row],[OLINGAN NARXI $]]-Таблица375891011141518[[#This Row],[RASXOD]]</f>
        <v>0</v>
      </c>
      <c r="O33" s="199"/>
    </row>
    <row r="34" spans="1:15" s="205" customFormat="1" x14ac:dyDescent="0.3">
      <c r="A34" s="197">
        <v>33</v>
      </c>
      <c r="B34" s="198"/>
      <c r="C34" s="199"/>
      <c r="D34" s="200"/>
      <c r="E34" s="200"/>
      <c r="F34" s="201"/>
      <c r="G34" s="200"/>
      <c r="H34" s="202"/>
      <c r="I34" s="203"/>
      <c r="J34" s="203"/>
      <c r="K34" s="202"/>
      <c r="L34" s="204">
        <f>Таблица375891011141518[[#This Row],[OLINGAN NARXI $]]+Таблица375891011141518[[#This Row],[RASXOD]]</f>
        <v>0</v>
      </c>
      <c r="M34" s="203"/>
      <c r="N34" s="203">
        <f>Таблица375891011141518[[#This Row],[SOTILGAN NARXI]]-Таблица375891011141518[[#This Row],[OLINGAN NARXI $]]-Таблица375891011141518[[#This Row],[RASXOD]]</f>
        <v>0</v>
      </c>
      <c r="O34" s="199"/>
    </row>
    <row r="35" spans="1:15" s="205" customFormat="1" x14ac:dyDescent="0.3">
      <c r="A35" s="197">
        <v>34</v>
      </c>
      <c r="B35" s="198"/>
      <c r="C35" s="199"/>
      <c r="D35" s="200"/>
      <c r="E35" s="200"/>
      <c r="F35" s="201"/>
      <c r="G35" s="200"/>
      <c r="H35" s="202"/>
      <c r="I35" s="203"/>
      <c r="J35" s="203"/>
      <c r="K35" s="202"/>
      <c r="L35" s="204">
        <f>Таблица375891011141518[[#This Row],[OLINGAN NARXI $]]+Таблица375891011141518[[#This Row],[RASXOD]]</f>
        <v>0</v>
      </c>
      <c r="M35" s="203"/>
      <c r="N35" s="203">
        <f>Таблица375891011141518[[#This Row],[SOTILGAN NARXI]]-Таблица375891011141518[[#This Row],[OLINGAN NARXI $]]-Таблица375891011141518[[#This Row],[RASXOD]]</f>
        <v>0</v>
      </c>
      <c r="O35" s="199"/>
    </row>
    <row r="36" spans="1:15" s="205" customFormat="1" x14ac:dyDescent="0.3">
      <c r="A36" s="197">
        <v>35</v>
      </c>
      <c r="B36" s="198"/>
      <c r="C36" s="199"/>
      <c r="D36" s="200"/>
      <c r="E36" s="200"/>
      <c r="F36" s="201"/>
      <c r="G36" s="200"/>
      <c r="H36" s="202"/>
      <c r="I36" s="203"/>
      <c r="J36" s="203"/>
      <c r="K36" s="202"/>
      <c r="L36" s="204">
        <f>Таблица375891011141518[[#This Row],[OLINGAN NARXI $]]+Таблица375891011141518[[#This Row],[RASXOD]]</f>
        <v>0</v>
      </c>
      <c r="M36" s="203"/>
      <c r="N36" s="203">
        <f>Таблица375891011141518[[#This Row],[SOTILGAN NARXI]]-Таблица375891011141518[[#This Row],[OLINGAN NARXI $]]-Таблица375891011141518[[#This Row],[RASXOD]]</f>
        <v>0</v>
      </c>
      <c r="O36" s="199"/>
    </row>
    <row r="37" spans="1:15" s="205" customFormat="1" x14ac:dyDescent="0.3">
      <c r="A37" s="197">
        <v>36</v>
      </c>
      <c r="B37" s="198"/>
      <c r="C37" s="199"/>
      <c r="D37" s="200"/>
      <c r="E37" s="200"/>
      <c r="F37" s="201"/>
      <c r="G37" s="200"/>
      <c r="H37" s="202"/>
      <c r="I37" s="203"/>
      <c r="J37" s="203"/>
      <c r="K37" s="202"/>
      <c r="L37" s="204">
        <f>Таблица375891011141518[[#This Row],[OLINGAN NARXI $]]+Таблица375891011141518[[#This Row],[RASXOD]]</f>
        <v>0</v>
      </c>
      <c r="M37" s="203"/>
      <c r="N37" s="203">
        <f>Таблица375891011141518[[#This Row],[SOTILGAN NARXI]]-Таблица375891011141518[[#This Row],[OLINGAN NARXI $]]-Таблица375891011141518[[#This Row],[RASXOD]]</f>
        <v>0</v>
      </c>
      <c r="O37" s="199"/>
    </row>
    <row r="38" spans="1:15" s="205" customFormat="1" x14ac:dyDescent="0.3">
      <c r="A38" s="197">
        <v>37</v>
      </c>
      <c r="B38" s="198"/>
      <c r="C38" s="199"/>
      <c r="D38" s="200"/>
      <c r="E38" s="200"/>
      <c r="F38" s="201"/>
      <c r="G38" s="200"/>
      <c r="H38" s="202"/>
      <c r="I38" s="203"/>
      <c r="J38" s="203"/>
      <c r="K38" s="202"/>
      <c r="L38" s="204">
        <f>Таблица375891011141518[[#This Row],[OLINGAN NARXI $]]+Таблица375891011141518[[#This Row],[RASXOD]]</f>
        <v>0</v>
      </c>
      <c r="M38" s="203"/>
      <c r="N38" s="203">
        <f>Таблица375891011141518[[#This Row],[SOTILGAN NARXI]]-Таблица375891011141518[[#This Row],[OLINGAN NARXI $]]-Таблица375891011141518[[#This Row],[RASXOD]]</f>
        <v>0</v>
      </c>
      <c r="O38" s="199"/>
    </row>
    <row r="39" spans="1:15" s="205" customFormat="1" x14ac:dyDescent="0.3">
      <c r="A39" s="197">
        <v>38</v>
      </c>
      <c r="B39" s="198"/>
      <c r="C39" s="199"/>
      <c r="D39" s="200"/>
      <c r="E39" s="200"/>
      <c r="F39" s="201"/>
      <c r="G39" s="200"/>
      <c r="H39" s="202"/>
      <c r="I39" s="203"/>
      <c r="J39" s="203"/>
      <c r="K39" s="202"/>
      <c r="L39" s="204">
        <f>Таблица375891011141518[[#This Row],[OLINGAN NARXI $]]+Таблица375891011141518[[#This Row],[RASXOD]]</f>
        <v>0</v>
      </c>
      <c r="M39" s="203"/>
      <c r="N39" s="203">
        <f>Таблица375891011141518[[#This Row],[SOTILGAN NARXI]]-Таблица375891011141518[[#This Row],[OLINGAN NARXI $]]-Таблица375891011141518[[#This Row],[RASXOD]]</f>
        <v>0</v>
      </c>
      <c r="O39" s="199"/>
    </row>
    <row r="40" spans="1:15" s="205" customFormat="1" x14ac:dyDescent="0.3">
      <c r="A40" s="197">
        <v>39</v>
      </c>
      <c r="B40" s="198"/>
      <c r="C40" s="199"/>
      <c r="D40" s="200"/>
      <c r="E40" s="200"/>
      <c r="F40" s="201"/>
      <c r="G40" s="200"/>
      <c r="H40" s="202"/>
      <c r="I40" s="203"/>
      <c r="J40" s="203"/>
      <c r="K40" s="202"/>
      <c r="L40" s="204">
        <f>Таблица375891011141518[[#This Row],[OLINGAN NARXI $]]+Таблица375891011141518[[#This Row],[RASXOD]]</f>
        <v>0</v>
      </c>
      <c r="M40" s="203"/>
      <c r="N40" s="203">
        <f>Таблица375891011141518[[#This Row],[SOTILGAN NARXI]]-Таблица375891011141518[[#This Row],[OLINGAN NARXI $]]-Таблица375891011141518[[#This Row],[RASXOD]]</f>
        <v>0</v>
      </c>
      <c r="O40" s="199"/>
    </row>
    <row r="41" spans="1:15" s="205" customFormat="1" x14ac:dyDescent="0.3">
      <c r="A41" s="197">
        <v>40</v>
      </c>
      <c r="B41" s="198"/>
      <c r="C41" s="199"/>
      <c r="D41" s="200"/>
      <c r="E41" s="200"/>
      <c r="F41" s="201"/>
      <c r="G41" s="200"/>
      <c r="H41" s="202"/>
      <c r="I41" s="203"/>
      <c r="J41" s="203"/>
      <c r="K41" s="202"/>
      <c r="L41" s="204">
        <f>Таблица375891011141518[[#This Row],[OLINGAN NARXI $]]+Таблица375891011141518[[#This Row],[RASXOD]]</f>
        <v>0</v>
      </c>
      <c r="M41" s="203"/>
      <c r="N41" s="203">
        <f>Таблица375891011141518[[#This Row],[SOTILGAN NARXI]]-Таблица375891011141518[[#This Row],[OLINGAN NARXI $]]-Таблица375891011141518[[#This Row],[RASXOD]]</f>
        <v>0</v>
      </c>
      <c r="O41" s="199"/>
    </row>
    <row r="42" spans="1:15" s="205" customFormat="1" x14ac:dyDescent="0.3">
      <c r="A42" s="197">
        <v>41</v>
      </c>
      <c r="B42" s="198"/>
      <c r="C42" s="199"/>
      <c r="D42" s="200"/>
      <c r="E42" s="200"/>
      <c r="F42" s="201"/>
      <c r="G42" s="200"/>
      <c r="H42" s="202"/>
      <c r="I42" s="203"/>
      <c r="J42" s="203"/>
      <c r="K42" s="202"/>
      <c r="L42" s="204">
        <f>Таблица375891011141518[[#This Row],[OLINGAN NARXI $]]+Таблица375891011141518[[#This Row],[RASXOD]]</f>
        <v>0</v>
      </c>
      <c r="M42" s="203"/>
      <c r="N42" s="203">
        <f>Таблица375891011141518[[#This Row],[SOTILGAN NARXI]]-Таблица375891011141518[[#This Row],[OLINGAN NARXI $]]-Таблица375891011141518[[#This Row],[RASXOD]]</f>
        <v>0</v>
      </c>
      <c r="O42" s="199"/>
    </row>
    <row r="43" spans="1:15" s="205" customFormat="1" x14ac:dyDescent="0.3">
      <c r="A43" s="197">
        <v>42</v>
      </c>
      <c r="B43" s="198"/>
      <c r="C43" s="199"/>
      <c r="D43" s="200"/>
      <c r="E43" s="200"/>
      <c r="F43" s="201"/>
      <c r="G43" s="200"/>
      <c r="H43" s="202"/>
      <c r="I43" s="203"/>
      <c r="J43" s="203"/>
      <c r="K43" s="202"/>
      <c r="L43" s="204">
        <f>Таблица375891011141518[[#This Row],[OLINGAN NARXI $]]+Таблица375891011141518[[#This Row],[RASXOD]]</f>
        <v>0</v>
      </c>
      <c r="M43" s="203"/>
      <c r="N43" s="203">
        <f>Таблица375891011141518[[#This Row],[SOTILGAN NARXI]]-Таблица375891011141518[[#This Row],[OLINGAN NARXI $]]-Таблица375891011141518[[#This Row],[RASXOD]]</f>
        <v>0</v>
      </c>
      <c r="O43" s="199"/>
    </row>
    <row r="44" spans="1:15" s="205" customFormat="1" x14ac:dyDescent="0.3">
      <c r="A44" s="197">
        <v>43</v>
      </c>
      <c r="B44" s="198"/>
      <c r="C44" s="199"/>
      <c r="D44" s="200"/>
      <c r="E44" s="200"/>
      <c r="F44" s="201"/>
      <c r="G44" s="200"/>
      <c r="H44" s="202"/>
      <c r="I44" s="203"/>
      <c r="J44" s="203"/>
      <c r="K44" s="202"/>
      <c r="L44" s="204">
        <f>Таблица375891011141518[[#This Row],[OLINGAN NARXI $]]+Таблица375891011141518[[#This Row],[RASXOD]]</f>
        <v>0</v>
      </c>
      <c r="M44" s="203"/>
      <c r="N44" s="203">
        <f>Таблица375891011141518[[#This Row],[SOTILGAN NARXI]]-Таблица375891011141518[[#This Row],[OLINGAN NARXI $]]-Таблица375891011141518[[#This Row],[RASXOD]]</f>
        <v>0</v>
      </c>
      <c r="O44" s="199"/>
    </row>
    <row r="45" spans="1:15" s="205" customFormat="1" x14ac:dyDescent="0.3">
      <c r="A45" s="197">
        <v>44</v>
      </c>
      <c r="B45" s="198"/>
      <c r="C45" s="199"/>
      <c r="D45" s="200"/>
      <c r="E45" s="200"/>
      <c r="F45" s="201"/>
      <c r="G45" s="200"/>
      <c r="H45" s="202"/>
      <c r="I45" s="203"/>
      <c r="J45" s="203"/>
      <c r="K45" s="202"/>
      <c r="L45" s="204">
        <f>Таблица375891011141518[[#This Row],[OLINGAN NARXI $]]+Таблица375891011141518[[#This Row],[RASXOD]]</f>
        <v>0</v>
      </c>
      <c r="M45" s="203"/>
      <c r="N45" s="203">
        <f>Таблица375891011141518[[#This Row],[SOTILGAN NARXI]]-Таблица375891011141518[[#This Row],[OLINGAN NARXI $]]-Таблица375891011141518[[#This Row],[RASXOD]]</f>
        <v>0</v>
      </c>
      <c r="O45" s="199"/>
    </row>
    <row r="46" spans="1:15" s="205" customFormat="1" x14ac:dyDescent="0.3">
      <c r="A46" s="197">
        <v>45</v>
      </c>
      <c r="B46" s="198"/>
      <c r="C46" s="199"/>
      <c r="D46" s="200"/>
      <c r="E46" s="200"/>
      <c r="F46" s="201"/>
      <c r="G46" s="200"/>
      <c r="H46" s="202"/>
      <c r="I46" s="203"/>
      <c r="J46" s="203"/>
      <c r="K46" s="202"/>
      <c r="L46" s="204">
        <f>Таблица375891011141518[[#This Row],[OLINGAN NARXI $]]+Таблица375891011141518[[#This Row],[RASXOD]]</f>
        <v>0</v>
      </c>
      <c r="M46" s="203"/>
      <c r="N46" s="203">
        <f>Таблица375891011141518[[#This Row],[SOTILGAN NARXI]]-Таблица375891011141518[[#This Row],[OLINGAN NARXI $]]-Таблица375891011141518[[#This Row],[RASXOD]]</f>
        <v>0</v>
      </c>
      <c r="O46" s="199"/>
    </row>
    <row r="47" spans="1:15" s="205" customFormat="1" x14ac:dyDescent="0.3">
      <c r="A47" s="197">
        <v>46</v>
      </c>
      <c r="B47" s="198"/>
      <c r="C47" s="199"/>
      <c r="D47" s="200"/>
      <c r="E47" s="200"/>
      <c r="F47" s="201"/>
      <c r="G47" s="200"/>
      <c r="H47" s="202"/>
      <c r="I47" s="203"/>
      <c r="J47" s="203"/>
      <c r="K47" s="202"/>
      <c r="L47" s="204">
        <f>Таблица375891011141518[[#This Row],[OLINGAN NARXI $]]+Таблица375891011141518[[#This Row],[RASXOD]]</f>
        <v>0</v>
      </c>
      <c r="M47" s="203"/>
      <c r="N47" s="203">
        <f>Таблица375891011141518[[#This Row],[SOTILGAN NARXI]]-Таблица375891011141518[[#This Row],[OLINGAN NARXI $]]-Таблица375891011141518[[#This Row],[RASXOD]]</f>
        <v>0</v>
      </c>
      <c r="O47" s="199"/>
    </row>
    <row r="48" spans="1:15" s="205" customFormat="1" x14ac:dyDescent="0.3">
      <c r="A48" s="197">
        <v>47</v>
      </c>
      <c r="B48" s="198"/>
      <c r="C48" s="199"/>
      <c r="D48" s="200"/>
      <c r="E48" s="200"/>
      <c r="F48" s="201"/>
      <c r="G48" s="200"/>
      <c r="H48" s="202"/>
      <c r="I48" s="203"/>
      <c r="J48" s="203"/>
      <c r="K48" s="202"/>
      <c r="L48" s="204">
        <f>Таблица375891011141518[[#This Row],[OLINGAN NARXI $]]+Таблица375891011141518[[#This Row],[RASXOD]]</f>
        <v>0</v>
      </c>
      <c r="M48" s="203"/>
      <c r="N48" s="203">
        <f>Таблица375891011141518[[#This Row],[SOTILGAN NARXI]]-Таблица375891011141518[[#This Row],[OLINGAN NARXI $]]-Таблица375891011141518[[#This Row],[RASXOD]]</f>
        <v>0</v>
      </c>
      <c r="O48" s="199"/>
    </row>
    <row r="49" spans="1:15" s="205" customFormat="1" x14ac:dyDescent="0.3">
      <c r="A49" s="197">
        <v>48</v>
      </c>
      <c r="B49" s="198"/>
      <c r="C49" s="199"/>
      <c r="D49" s="200"/>
      <c r="E49" s="200"/>
      <c r="F49" s="201"/>
      <c r="G49" s="200"/>
      <c r="H49" s="202"/>
      <c r="I49" s="203"/>
      <c r="J49" s="203"/>
      <c r="K49" s="202"/>
      <c r="L49" s="204">
        <f>Таблица375891011141518[[#This Row],[OLINGAN NARXI $]]+Таблица375891011141518[[#This Row],[RASXOD]]</f>
        <v>0</v>
      </c>
      <c r="M49" s="203"/>
      <c r="N49" s="203">
        <f>Таблица375891011141518[[#This Row],[SOTILGAN NARXI]]-Таблица375891011141518[[#This Row],[OLINGAN NARXI $]]-Таблица375891011141518[[#This Row],[RASXOD]]</f>
        <v>0</v>
      </c>
      <c r="O49" s="199"/>
    </row>
    <row r="50" spans="1:15" s="205" customFormat="1" x14ac:dyDescent="0.3">
      <c r="A50" s="197">
        <v>49</v>
      </c>
      <c r="B50" s="198"/>
      <c r="C50" s="199"/>
      <c r="D50" s="200"/>
      <c r="E50" s="200"/>
      <c r="F50" s="201"/>
      <c r="G50" s="200"/>
      <c r="H50" s="202"/>
      <c r="I50" s="203"/>
      <c r="J50" s="203"/>
      <c r="K50" s="202"/>
      <c r="L50" s="204">
        <f>Таблица375891011141518[[#This Row],[OLINGAN NARXI $]]+Таблица375891011141518[[#This Row],[RASXOD]]</f>
        <v>0</v>
      </c>
      <c r="M50" s="203"/>
      <c r="N50" s="203">
        <f>Таблица375891011141518[[#This Row],[SOTILGAN NARXI]]-Таблица375891011141518[[#This Row],[OLINGAN NARXI $]]-Таблица375891011141518[[#This Row],[RASXOD]]</f>
        <v>0</v>
      </c>
      <c r="O50" s="199"/>
    </row>
    <row r="51" spans="1:15" s="205" customFormat="1" x14ac:dyDescent="0.3">
      <c r="A51" s="197">
        <v>50</v>
      </c>
      <c r="B51" s="198"/>
      <c r="C51" s="199"/>
      <c r="D51" s="200"/>
      <c r="E51" s="200"/>
      <c r="F51" s="201"/>
      <c r="G51" s="200"/>
      <c r="H51" s="202"/>
      <c r="I51" s="203"/>
      <c r="J51" s="203"/>
      <c r="K51" s="202"/>
      <c r="L51" s="58">
        <f>Таблица375891011141518[[#This Row],[OLINGAN NARXI $]]+Таблица375891011141518[[#This Row],[RASXOD]]</f>
        <v>0</v>
      </c>
      <c r="M51" s="203"/>
      <c r="N51" s="4">
        <f>Таблица375891011141518[[#This Row],[SOTILGAN NARXI]]-Таблица375891011141518[[#This Row],[OLINGAN NARXI $]]-Таблица375891011141518[[#This Row],[RASXOD]]</f>
        <v>0</v>
      </c>
      <c r="O51" s="199"/>
    </row>
    <row r="52" spans="1:15" s="205" customFormat="1" x14ac:dyDescent="0.3">
      <c r="A52" s="197">
        <v>51</v>
      </c>
      <c r="B52" s="198"/>
      <c r="C52" s="199"/>
      <c r="D52" s="200"/>
      <c r="E52" s="200"/>
      <c r="F52" s="201"/>
      <c r="G52" s="200"/>
      <c r="H52" s="202"/>
      <c r="I52" s="203"/>
      <c r="J52" s="203"/>
      <c r="K52" s="202"/>
      <c r="L52" s="58">
        <f>Таблица375891011141518[[#This Row],[OLINGAN NARXI $]]+Таблица375891011141518[[#This Row],[RASXOD]]</f>
        <v>0</v>
      </c>
      <c r="M52" s="203"/>
      <c r="N52" s="4">
        <f>Таблица375891011141518[[#This Row],[SOTILGAN NARXI]]-Таблица375891011141518[[#This Row],[OLINGAN NARXI $]]-Таблица375891011141518[[#This Row],[RASXOD]]</f>
        <v>0</v>
      </c>
      <c r="O52" s="199"/>
    </row>
    <row r="53" spans="1:15" x14ac:dyDescent="0.3">
      <c r="A53" s="112"/>
      <c r="B53" s="23"/>
      <c r="C53" s="91" t="s">
        <v>1130</v>
      </c>
      <c r="D53" s="24" t="s">
        <v>1131</v>
      </c>
      <c r="E53" s="1"/>
      <c r="F53" s="270" t="s">
        <v>237</v>
      </c>
      <c r="G53" s="271" t="s">
        <v>238</v>
      </c>
      <c r="H53" s="43"/>
      <c r="I53" s="1"/>
      <c r="J53" s="4"/>
      <c r="K53" s="28"/>
      <c r="L53" s="58">
        <f>Таблица375891011141518[[#This Row],[OLINGAN NARXI $]]+Таблица375891011141518[[#This Row],[RASXOD]]</f>
        <v>0</v>
      </c>
      <c r="M53" s="1"/>
      <c r="N53" s="4">
        <f>Таблица375891011141518[[#This Row],[SOTILGAN NARXI]]-Таблица375891011141518[[#This Row],[OLINGAN NARXI $]]-Таблица375891011141518[[#This Row],[RASXOD]]</f>
        <v>0</v>
      </c>
      <c r="O53" s="6"/>
    </row>
    <row r="54" spans="1:15" x14ac:dyDescent="0.3">
      <c r="A54" s="112"/>
      <c r="B54" s="23"/>
      <c r="C54" s="89" t="s">
        <v>226</v>
      </c>
      <c r="D54" s="90">
        <v>7</v>
      </c>
      <c r="E54" s="1"/>
      <c r="F54" s="272" t="s">
        <v>1134</v>
      </c>
      <c r="G54" s="273"/>
      <c r="H54" s="2"/>
      <c r="I54" s="1"/>
      <c r="J54" s="4"/>
      <c r="K54" s="28"/>
      <c r="L54" s="58">
        <f>Таблица375891011141518[[#This Row],[OLINGAN NARXI $]]+Таблица375891011141518[[#This Row],[RASXOD]]</f>
        <v>0</v>
      </c>
      <c r="M54" s="1"/>
      <c r="N54" s="4">
        <f>Таблица375891011141518[[#This Row],[SOTILGAN NARXI]]-Таблица375891011141518[[#This Row],[OLINGAN NARXI $]]-Таблица375891011141518[[#This Row],[RASXOD]]</f>
        <v>0</v>
      </c>
      <c r="O54" s="6"/>
    </row>
    <row r="55" spans="1:15" x14ac:dyDescent="0.3">
      <c r="A55" s="113"/>
      <c r="B55" s="23"/>
      <c r="C55" s="86" t="s">
        <v>1132</v>
      </c>
      <c r="D55" s="87">
        <v>4</v>
      </c>
      <c r="E55" s="1"/>
      <c r="F55" s="272" t="s">
        <v>1299</v>
      </c>
      <c r="G55" s="273">
        <v>45</v>
      </c>
      <c r="H55" s="2"/>
      <c r="I55" s="1"/>
      <c r="J55" s="4"/>
      <c r="K55" s="5"/>
      <c r="L55" s="58">
        <f>Таблица375891011141518[[#This Row],[OLINGAN NARXI $]]+Таблица375891011141518[[#This Row],[RASXOD]]</f>
        <v>0</v>
      </c>
      <c r="M55" s="1"/>
      <c r="N55" s="4">
        <f>Таблица375891011141518[[#This Row],[SOTILGAN NARXI]]-Таблица375891011141518[[#This Row],[OLINGAN NARXI $]]-Таблица375891011141518[[#This Row],[RASXOD]]</f>
        <v>0</v>
      </c>
      <c r="O55" s="6"/>
    </row>
    <row r="56" spans="1:15" x14ac:dyDescent="0.3">
      <c r="A56" s="113"/>
      <c r="B56" s="23"/>
      <c r="C56" s="88" t="s">
        <v>1133</v>
      </c>
      <c r="D56" s="15">
        <v>9</v>
      </c>
      <c r="E56" s="1"/>
      <c r="F56" s="274" t="s">
        <v>1741</v>
      </c>
      <c r="G56" s="275">
        <v>54</v>
      </c>
      <c r="H56" s="2"/>
      <c r="I56" s="1"/>
      <c r="J56" s="4"/>
      <c r="K56" s="5"/>
      <c r="L56" s="58">
        <f>Таблица375891011141518[[#This Row],[OLINGAN NARXI $]]+Таблица375891011141518[[#This Row],[RASXOD]]</f>
        <v>0</v>
      </c>
      <c r="M56" s="1"/>
      <c r="N56" s="4">
        <f>Таблица375891011141518[[#This Row],[SOTILGAN NARXI]]-Таблица375891011141518[[#This Row],[OLINGAN NARXI $]]-Таблица375891011141518[[#This Row],[RASXOD]]</f>
        <v>0</v>
      </c>
      <c r="O56" s="6"/>
    </row>
    <row r="57" spans="1:15" x14ac:dyDescent="0.3">
      <c r="A57" s="113"/>
      <c r="B57" s="23"/>
      <c r="C57" s="137" t="s">
        <v>1378</v>
      </c>
      <c r="D57" s="138"/>
      <c r="E57" s="1"/>
      <c r="F57" s="276" t="s">
        <v>1763</v>
      </c>
      <c r="G57" s="273">
        <v>3.2</v>
      </c>
      <c r="H57" s="2"/>
      <c r="I57" s="1"/>
      <c r="J57" s="4"/>
      <c r="K57" s="5"/>
      <c r="L57" s="58">
        <f>Таблица375891011141518[[#This Row],[OLINGAN NARXI $]]+Таблица375891011141518[[#This Row],[RASXOD]]</f>
        <v>0</v>
      </c>
      <c r="M57" s="1"/>
      <c r="N57" s="4">
        <f>Таблица375891011141518[[#This Row],[SOTILGAN NARXI]]-Таблица375891011141518[[#This Row],[OLINGAN NARXI $]]-Таблица375891011141518[[#This Row],[RASXOD]]</f>
        <v>0</v>
      </c>
      <c r="O57" s="6"/>
    </row>
    <row r="58" spans="1:15" x14ac:dyDescent="0.3">
      <c r="A58" s="113"/>
      <c r="B58" s="23"/>
      <c r="C58" s="369" t="s">
        <v>1720</v>
      </c>
      <c r="D58" s="370">
        <v>6</v>
      </c>
      <c r="E58" s="1"/>
      <c r="F58" s="368"/>
      <c r="G58" s="273"/>
      <c r="H58" s="2"/>
      <c r="I58" s="1"/>
      <c r="J58" s="4"/>
      <c r="K58" s="5"/>
      <c r="L58" s="58">
        <f>Таблица375891011141518[[#This Row],[OLINGAN NARXI $]]+Таблица375891011141518[[#This Row],[RASXOD]]</f>
        <v>0</v>
      </c>
      <c r="M58" s="1"/>
      <c r="N58" s="4">
        <f>Таблица375891011141518[[#This Row],[SOTILGAN NARXI]]-Таблица375891011141518[[#This Row],[OLINGAN NARXI $]]-Таблица375891011141518[[#This Row],[RASXOD]]</f>
        <v>0</v>
      </c>
      <c r="O58" s="6"/>
    </row>
    <row r="59" spans="1:15" x14ac:dyDescent="0.3">
      <c r="A59" s="113"/>
      <c r="B59" s="23"/>
      <c r="C59" s="17" t="s">
        <v>1450</v>
      </c>
      <c r="D59" s="18"/>
      <c r="E59" s="1"/>
      <c r="F59" s="274" t="s">
        <v>1771</v>
      </c>
      <c r="G59" s="275">
        <v>12</v>
      </c>
      <c r="H59" s="2"/>
      <c r="I59" s="1"/>
      <c r="J59" s="4"/>
      <c r="K59" s="5"/>
      <c r="L59" s="58">
        <f>Таблица375891011141518[[#This Row],[OLINGAN NARXI $]]+Таблица375891011141518[[#This Row],[RASXOD]]</f>
        <v>0</v>
      </c>
      <c r="M59" s="1"/>
      <c r="N59" s="4">
        <f>Таблица375891011141518[[#This Row],[SOTILGAN NARXI]]-Таблица375891011141518[[#This Row],[OLINGAN NARXI $]]-Таблица375891011141518[[#This Row],[RASXOD]]</f>
        <v>0</v>
      </c>
      <c r="O59" s="6"/>
    </row>
    <row r="60" spans="1:15" x14ac:dyDescent="0.3">
      <c r="A60" s="113"/>
      <c r="B60" s="23"/>
      <c r="C60" s="12" t="s">
        <v>1600</v>
      </c>
      <c r="D60" s="11"/>
      <c r="E60" s="1"/>
      <c r="F60" s="276" t="s">
        <v>1720</v>
      </c>
      <c r="G60" s="273">
        <v>30</v>
      </c>
      <c r="H60" s="2"/>
      <c r="I60" s="1"/>
      <c r="J60" s="4"/>
      <c r="K60" s="5"/>
      <c r="L60" s="58">
        <f>Таблица375891011141518[[#This Row],[OLINGAN NARXI $]]+Таблица375891011141518[[#This Row],[RASXOD]]</f>
        <v>0</v>
      </c>
      <c r="M60" s="1"/>
      <c r="N60" s="4">
        <f>Таблица375891011141518[[#This Row],[SOTILGAN NARXI]]-Таблица375891011141518[[#This Row],[OLINGAN NARXI $]]-Таблица375891011141518[[#This Row],[RASXOD]]</f>
        <v>0</v>
      </c>
      <c r="O60" s="6"/>
    </row>
    <row r="61" spans="1:15" x14ac:dyDescent="0.3">
      <c r="A61" s="113"/>
      <c r="B61" s="23"/>
      <c r="C61" s="71" t="s">
        <v>1573</v>
      </c>
      <c r="D61" s="140">
        <f>D59+D57+D56+D55+D54-D60+D58</f>
        <v>26</v>
      </c>
      <c r="E61" s="1"/>
      <c r="F61" s="276" t="s">
        <v>1773</v>
      </c>
      <c r="G61" s="275">
        <v>12</v>
      </c>
      <c r="H61" s="2"/>
      <c r="I61" s="1"/>
      <c r="J61" s="4"/>
      <c r="K61" s="5"/>
      <c r="L61" s="58">
        <f>Таблица375891011141518[[#This Row],[OLINGAN NARXI $]]+Таблица375891011141518[[#This Row],[RASXOD]]</f>
        <v>0</v>
      </c>
      <c r="M61" s="1"/>
      <c r="N61" s="4">
        <f>Таблица375891011141518[[#This Row],[SOTILGAN NARXI]]-Таблица375891011141518[[#This Row],[OLINGAN NARXI $]]-Таблица375891011141518[[#This Row],[RASXOD]]</f>
        <v>0</v>
      </c>
      <c r="O61" s="6"/>
    </row>
    <row r="62" spans="1:15" x14ac:dyDescent="0.3">
      <c r="A62" s="113"/>
      <c r="B62" s="23"/>
      <c r="C62" s="6"/>
      <c r="D62" s="23"/>
      <c r="E62" s="1"/>
      <c r="F62" s="276"/>
      <c r="G62" s="275"/>
      <c r="H62" s="2"/>
      <c r="I62" s="1"/>
      <c r="J62" s="4"/>
      <c r="K62" s="5"/>
      <c r="L62" s="58">
        <f>Таблица375891011141518[[#This Row],[OLINGAN NARXI $]]+Таблица375891011141518[[#This Row],[RASXOD]]</f>
        <v>0</v>
      </c>
      <c r="M62" s="1"/>
      <c r="N62" s="4">
        <f>Таблица375891011141518[[#This Row],[SOTILGAN NARXI]]-Таблица375891011141518[[#This Row],[OLINGAN NARXI $]]-Таблица375891011141518[[#This Row],[RASXOD]]</f>
        <v>0</v>
      </c>
      <c r="O62" s="6"/>
    </row>
    <row r="63" spans="1:15" x14ac:dyDescent="0.3">
      <c r="A63" s="113"/>
      <c r="B63" s="23"/>
      <c r="C63" s="6"/>
      <c r="D63" s="23"/>
      <c r="E63" s="1"/>
      <c r="F63" s="276"/>
      <c r="G63" s="275"/>
      <c r="H63" s="2"/>
      <c r="I63" s="1"/>
      <c r="J63" s="4"/>
      <c r="K63" s="5"/>
      <c r="L63" s="58">
        <f>Таблица375891011141518[[#This Row],[OLINGAN NARXI $]]+Таблица375891011141518[[#This Row],[RASXOD]]</f>
        <v>0</v>
      </c>
      <c r="M63" s="1"/>
      <c r="N63" s="4">
        <f>Таблица375891011141518[[#This Row],[SOTILGAN NARXI]]-Таблица375891011141518[[#This Row],[OLINGAN NARXI $]]-Таблица375891011141518[[#This Row],[RASXOD]]</f>
        <v>0</v>
      </c>
      <c r="O63" s="6"/>
    </row>
    <row r="64" spans="1:15" x14ac:dyDescent="0.3">
      <c r="A64" s="113"/>
      <c r="B64" s="23"/>
      <c r="C64" s="6"/>
      <c r="D64" s="23"/>
      <c r="E64" s="1"/>
      <c r="F64" s="276"/>
      <c r="G64" s="275"/>
      <c r="H64" s="2"/>
      <c r="I64" s="1"/>
      <c r="J64" s="4"/>
      <c r="K64" s="5"/>
      <c r="L64" s="58">
        <f>Таблица375891011141518[[#This Row],[OLINGAN NARXI $]]+Таблица375891011141518[[#This Row],[RASXOD]]</f>
        <v>0</v>
      </c>
      <c r="M64" s="1"/>
      <c r="N64" s="4">
        <f>Таблица375891011141518[[#This Row],[SOTILGAN NARXI]]-Таблица375891011141518[[#This Row],[OLINGAN NARXI $]]-Таблица375891011141518[[#This Row],[RASXOD]]</f>
        <v>0</v>
      </c>
      <c r="O64" s="6"/>
    </row>
    <row r="65" spans="1:15" x14ac:dyDescent="0.3">
      <c r="A65" s="113"/>
      <c r="B65" s="23"/>
      <c r="C65" s="6"/>
      <c r="D65" s="23"/>
      <c r="E65" s="1"/>
      <c r="F65" s="276"/>
      <c r="G65" s="275"/>
      <c r="H65" s="2"/>
      <c r="I65" s="1"/>
      <c r="J65" s="4"/>
      <c r="K65" s="5"/>
      <c r="L65" s="58">
        <f>Таблица375891011141518[[#This Row],[OLINGAN NARXI $]]+Таблица375891011141518[[#This Row],[RASXOD]]</f>
        <v>0</v>
      </c>
      <c r="M65" s="1"/>
      <c r="N65" s="4">
        <f>Таблица375891011141518[[#This Row],[SOTILGAN NARXI]]-Таблица375891011141518[[#This Row],[OLINGAN NARXI $]]-Таблица375891011141518[[#This Row],[RASXOD]]</f>
        <v>0</v>
      </c>
      <c r="O65" s="6"/>
    </row>
    <row r="66" spans="1:15" x14ac:dyDescent="0.3">
      <c r="A66" s="113"/>
      <c r="B66" s="23"/>
      <c r="C66" s="6"/>
      <c r="D66" s="1"/>
      <c r="E66" s="1"/>
      <c r="F66" s="274"/>
      <c r="G66" s="275"/>
      <c r="H66" s="2"/>
      <c r="I66" s="1"/>
      <c r="J66" s="4"/>
      <c r="K66" s="5"/>
      <c r="L66" s="58">
        <f>Таблица375891011141518[[#This Row],[OLINGAN NARXI $]]+Таблица375891011141518[[#This Row],[RASXOD]]</f>
        <v>0</v>
      </c>
      <c r="M66" s="1"/>
      <c r="N66" s="4">
        <f>Таблица375891011141518[[#This Row],[SOTILGAN NARXI]]-Таблица375891011141518[[#This Row],[OLINGAN NARXI $]]-Таблица375891011141518[[#This Row],[RASXOD]]</f>
        <v>0</v>
      </c>
      <c r="O66" s="6"/>
    </row>
    <row r="67" spans="1:15" x14ac:dyDescent="0.3">
      <c r="A67" s="113"/>
      <c r="B67" s="23"/>
      <c r="C67" s="6"/>
      <c r="D67" s="1"/>
      <c r="E67" s="1"/>
      <c r="F67" s="276"/>
      <c r="G67" s="275"/>
      <c r="H67" s="2"/>
      <c r="I67" s="1"/>
      <c r="J67" s="4"/>
      <c r="K67" s="28"/>
      <c r="L67" s="58">
        <f>Таблица375891011141518[[#This Row],[OLINGAN NARXI $]]+Таблица375891011141518[[#This Row],[RASXOD]]</f>
        <v>0</v>
      </c>
      <c r="M67" s="1"/>
      <c r="N67" s="4">
        <f>Таблица375891011141518[[#This Row],[SOTILGAN NARXI]]-Таблица375891011141518[[#This Row],[OLINGAN NARXI $]]-Таблица375891011141518[[#This Row],[RASXOD]]</f>
        <v>0</v>
      </c>
      <c r="O67" s="6"/>
    </row>
    <row r="68" spans="1:15" x14ac:dyDescent="0.3">
      <c r="A68" s="113"/>
      <c r="B68" s="23"/>
      <c r="C68" s="6"/>
      <c r="D68" s="1"/>
      <c r="E68" s="1"/>
      <c r="F68" s="276"/>
      <c r="G68" s="273"/>
      <c r="H68" s="2"/>
      <c r="I68" s="1"/>
      <c r="J68" s="4"/>
      <c r="K68" s="28"/>
      <c r="L68" s="58">
        <f>Таблица375891011141518[[#This Row],[OLINGAN NARXI $]]+Таблица375891011141518[[#This Row],[RASXOD]]</f>
        <v>0</v>
      </c>
      <c r="M68" s="1"/>
      <c r="N68" s="4">
        <f>Таблица375891011141518[[#This Row],[SOTILGAN NARXI]]-Таблица375891011141518[[#This Row],[OLINGAN NARXI $]]-Таблица375891011141518[[#This Row],[RASXOD]]</f>
        <v>0</v>
      </c>
      <c r="O68" s="6"/>
    </row>
    <row r="69" spans="1:15" x14ac:dyDescent="0.3">
      <c r="A69" s="113"/>
      <c r="B69" s="23"/>
      <c r="C69" s="6"/>
      <c r="D69" s="1"/>
      <c r="E69" s="1"/>
      <c r="F69" s="276"/>
      <c r="G69" s="273"/>
      <c r="H69" s="2"/>
      <c r="I69" s="1"/>
      <c r="J69" s="4"/>
      <c r="K69" s="5"/>
      <c r="L69" s="58">
        <f>Таблица375891011141518[[#This Row],[OLINGAN NARXI $]]+Таблица375891011141518[[#This Row],[RASXOD]]</f>
        <v>0</v>
      </c>
      <c r="M69" s="1"/>
      <c r="N69" s="4">
        <f>Таблица375891011141518[[#This Row],[SOTILGAN NARXI]]-Таблица375891011141518[[#This Row],[OLINGAN NARXI $]]-Таблица375891011141518[[#This Row],[RASXOD]]</f>
        <v>0</v>
      </c>
      <c r="O69" s="6"/>
    </row>
    <row r="70" spans="1:15" x14ac:dyDescent="0.3">
      <c r="A70" s="113"/>
      <c r="B70" s="23"/>
      <c r="C70" s="6"/>
      <c r="D70" s="1"/>
      <c r="E70" s="1"/>
      <c r="F70" s="276"/>
      <c r="G70" s="273"/>
      <c r="H70" s="2"/>
      <c r="I70" s="1"/>
      <c r="J70" s="4"/>
      <c r="K70" s="5"/>
      <c r="L70" s="58">
        <f>Таблица375891011141518[[#This Row],[OLINGAN NARXI $]]+Таблица375891011141518[[#This Row],[RASXOD]]</f>
        <v>0</v>
      </c>
      <c r="M70" s="1"/>
      <c r="N70" s="4">
        <f>Таблица375891011141518[[#This Row],[SOTILGAN NARXI]]-Таблица375891011141518[[#This Row],[OLINGAN NARXI $]]-Таблица375891011141518[[#This Row],[RASXOD]]</f>
        <v>0</v>
      </c>
      <c r="O70" s="6"/>
    </row>
    <row r="71" spans="1:15" x14ac:dyDescent="0.3">
      <c r="A71" s="113"/>
      <c r="B71" s="23"/>
      <c r="C71" s="6"/>
      <c r="D71" s="1"/>
      <c r="E71" s="1"/>
      <c r="F71" s="276"/>
      <c r="G71" s="273"/>
      <c r="H71" s="2"/>
      <c r="I71" s="1"/>
      <c r="J71" s="4"/>
      <c r="K71" s="28"/>
      <c r="L71" s="58">
        <f>Таблица375891011141518[[#This Row],[OLINGAN NARXI $]]+Таблица375891011141518[[#This Row],[RASXOD]]</f>
        <v>0</v>
      </c>
      <c r="M71" s="1"/>
      <c r="N71" s="4">
        <f>Таблица375891011141518[[#This Row],[SOTILGAN NARXI]]-Таблица375891011141518[[#This Row],[OLINGAN NARXI $]]-Таблица375891011141518[[#This Row],[RASXOD]]</f>
        <v>0</v>
      </c>
      <c r="O71" s="6"/>
    </row>
    <row r="72" spans="1:15" x14ac:dyDescent="0.3">
      <c r="A72" s="113"/>
      <c r="B72" s="23"/>
      <c r="C72" s="6"/>
      <c r="D72" s="1"/>
      <c r="E72" s="1"/>
      <c r="F72" s="276"/>
      <c r="G72" s="273"/>
      <c r="H72" s="2"/>
      <c r="I72" s="1"/>
      <c r="J72" s="4"/>
      <c r="K72" s="28"/>
      <c r="L72" s="58">
        <f>Таблица375891011141518[[#This Row],[OLINGAN NARXI $]]+Таблица375891011141518[[#This Row],[RASXOD]]</f>
        <v>0</v>
      </c>
      <c r="M72" s="1"/>
      <c r="N72" s="4">
        <f>Таблица375891011141518[[#This Row],[SOTILGAN NARXI]]-Таблица375891011141518[[#This Row],[OLINGAN NARXI $]]-Таблица375891011141518[[#This Row],[RASXOD]]</f>
        <v>0</v>
      </c>
      <c r="O72" s="6"/>
    </row>
    <row r="73" spans="1:15" x14ac:dyDescent="0.3">
      <c r="A73" s="113"/>
      <c r="B73" s="23"/>
      <c r="C73" s="6"/>
      <c r="D73" s="1"/>
      <c r="E73" s="1"/>
      <c r="F73" s="277"/>
      <c r="G73" s="278"/>
      <c r="H73" s="2"/>
      <c r="I73" s="1"/>
      <c r="J73" s="4"/>
      <c r="K73" s="5"/>
      <c r="L73" s="58">
        <f>Таблица375891011141518[[#This Row],[OLINGAN NARXI $]]+Таблица375891011141518[[#This Row],[RASXOD]]</f>
        <v>0</v>
      </c>
      <c r="M73" s="1"/>
      <c r="N73" s="4">
        <f>Таблица375891011141518[[#This Row],[SOTILGAN NARXI]]-Таблица375891011141518[[#This Row],[OLINGAN NARXI $]]-Таблица375891011141518[[#This Row],[RASXOD]]</f>
        <v>0</v>
      </c>
      <c r="O73" s="6"/>
    </row>
    <row r="74" spans="1:15" x14ac:dyDescent="0.3">
      <c r="A74" s="113"/>
      <c r="B74" s="23"/>
      <c r="C74" s="6"/>
      <c r="D74" s="1"/>
      <c r="E74" s="1"/>
      <c r="F74" s="279" t="s">
        <v>981</v>
      </c>
      <c r="G74" s="280">
        <f>SUM(G54:G72)</f>
        <v>156.19999999999999</v>
      </c>
      <c r="H74" s="2"/>
      <c r="I74" s="1"/>
      <c r="J74" s="4"/>
      <c r="K74" s="28"/>
      <c r="L74" s="58">
        <f>Таблица375891011141518[[#This Row],[OLINGAN NARXI $]]+Таблица375891011141518[[#This Row],[RASXOD]]</f>
        <v>0</v>
      </c>
      <c r="M74" s="1"/>
      <c r="N74" s="4">
        <f>Таблица375891011141518[[#This Row],[SOTILGAN NARXI]]-Таблица375891011141518[[#This Row],[OLINGAN NARXI $]]-Таблица375891011141518[[#This Row],[RASXOD]]</f>
        <v>0</v>
      </c>
      <c r="O74" s="6"/>
    </row>
    <row r="75" spans="1:15" x14ac:dyDescent="0.3">
      <c r="A75" s="113"/>
      <c r="B75" s="111"/>
      <c r="C75" s="12"/>
      <c r="D75" s="11"/>
      <c r="E75" s="46"/>
      <c r="F75" s="47"/>
      <c r="G75" s="48"/>
      <c r="H75" s="49"/>
      <c r="I75" s="14"/>
      <c r="J75" s="14">
        <f>SUBTOTAL(109,J53:J53)</f>
        <v>0</v>
      </c>
      <c r="K75" s="13"/>
      <c r="L75" s="59">
        <f>SUM(L53:L74)</f>
        <v>0</v>
      </c>
      <c r="M75" s="14">
        <f>SUM(M53:M74)</f>
        <v>0</v>
      </c>
      <c r="N75" s="14">
        <f>SUBTOTAL(109,N2:N74)</f>
        <v>1487.01</v>
      </c>
      <c r="O75" s="12"/>
    </row>
    <row r="76" spans="1:15" x14ac:dyDescent="0.3">
      <c r="B76" s="23"/>
      <c r="C76" s="6"/>
      <c r="D76" s="1"/>
      <c r="E76" s="1"/>
      <c r="F76" s="23"/>
      <c r="G76" s="4"/>
      <c r="H76" s="5"/>
      <c r="I76" s="4"/>
      <c r="J76" s="4"/>
      <c r="K76" s="5"/>
      <c r="L76" s="58"/>
      <c r="M76" s="4"/>
      <c r="N76" s="4">
        <f>Таблица375891011141518[[#This Row],[SOTILGAN NARXI]]-Таблица375891011141518[[#This Row],[OLINGAN NARXI $]]-Таблица375891011141518[[#This Row],[RASXOD]]</f>
        <v>0</v>
      </c>
      <c r="O76" s="6"/>
    </row>
    <row r="77" spans="1:15" x14ac:dyDescent="0.3">
      <c r="B77" s="23"/>
      <c r="C77" s="6"/>
      <c r="D77" s="1"/>
      <c r="E77" s="1"/>
      <c r="F77" s="23"/>
      <c r="G77" s="4"/>
      <c r="H77" s="5"/>
      <c r="I77" s="4"/>
      <c r="J77" s="4"/>
      <c r="K77" s="5"/>
      <c r="L77" s="58"/>
      <c r="M77" s="4"/>
      <c r="N77" s="4"/>
      <c r="O77" s="6"/>
    </row>
    <row r="78" spans="1:15" x14ac:dyDescent="0.3">
      <c r="B78" s="23"/>
      <c r="C78" s="6"/>
      <c r="D78" s="1"/>
      <c r="E78" s="1"/>
      <c r="F78" s="23"/>
      <c r="G78" s="4"/>
      <c r="H78" s="5"/>
      <c r="I78" s="4"/>
      <c r="J78" s="4"/>
      <c r="K78" s="5"/>
      <c r="L78" s="58"/>
      <c r="M78" s="4"/>
      <c r="N78" s="4">
        <f>Таблица375891011141518[[#This Row],[SOTILGAN NARXI]]-Таблица375891011141518[[#This Row],[OLINGAN NARXI $]]-Таблица375891011141518[[#This Row],[RASXOD]]</f>
        <v>0</v>
      </c>
      <c r="O78" s="6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D8B1-E28A-443C-8D6C-98E3C2D15FBB}">
  <sheetPr codeName="Лист4"/>
  <dimension ref="A1:O228"/>
  <sheetViews>
    <sheetView topLeftCell="A181" zoomScale="80" zoomScaleNormal="80" workbookViewId="0">
      <selection activeCell="A198" sqref="A198:XFD198"/>
    </sheetView>
  </sheetViews>
  <sheetFormatPr defaultRowHeight="14.4" x14ac:dyDescent="0.3"/>
  <cols>
    <col min="1" max="1" width="4.44140625" style="114" customWidth="1"/>
    <col min="2" max="2" width="11.5546875" bestFit="1" customWidth="1"/>
    <col min="3" max="3" width="15.6640625" customWidth="1"/>
    <col min="4" max="4" width="18.88671875" bestFit="1" customWidth="1"/>
    <col min="5" max="5" width="14.109375" bestFit="1" customWidth="1"/>
    <col min="6" max="6" width="28.88671875" customWidth="1"/>
    <col min="7" max="7" width="21.5546875" customWidth="1"/>
    <col min="8" max="8" width="15.88671875" customWidth="1"/>
    <col min="9" max="9" width="14" customWidth="1"/>
    <col min="10" max="10" width="11.88671875" customWidth="1"/>
    <col min="11" max="11" width="16.88671875" customWidth="1"/>
    <col min="12" max="12" width="13.88671875" customWidth="1"/>
    <col min="13" max="13" width="15.88671875" customWidth="1"/>
    <col min="14" max="14" width="13.88671875" bestFit="1" customWidth="1"/>
    <col min="15" max="15" width="40.21875" customWidth="1"/>
  </cols>
  <sheetData>
    <row r="1" spans="1:15" ht="13.5" customHeight="1" x14ac:dyDescent="0.3">
      <c r="A1" s="127"/>
      <c r="B1" s="1" t="s">
        <v>0</v>
      </c>
      <c r="C1" s="6" t="s">
        <v>2</v>
      </c>
      <c r="D1" s="1" t="s">
        <v>1</v>
      </c>
      <c r="E1" s="1" t="s">
        <v>3</v>
      </c>
      <c r="F1" s="3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2" t="s">
        <v>10</v>
      </c>
      <c r="L1" s="2" t="s">
        <v>980</v>
      </c>
      <c r="M1" s="1" t="s">
        <v>9</v>
      </c>
      <c r="N1" s="1" t="s">
        <v>11</v>
      </c>
      <c r="O1" s="1" t="s">
        <v>12</v>
      </c>
    </row>
    <row r="2" spans="1:15" s="288" customFormat="1" x14ac:dyDescent="0.3">
      <c r="A2" s="197">
        <v>1</v>
      </c>
      <c r="B2" s="281" t="s">
        <v>16</v>
      </c>
      <c r="C2" s="282" t="s">
        <v>192</v>
      </c>
      <c r="D2" s="283" t="s">
        <v>107</v>
      </c>
      <c r="E2" s="283" t="s">
        <v>15</v>
      </c>
      <c r="F2" s="284">
        <v>353055118894291</v>
      </c>
      <c r="G2" s="283"/>
      <c r="H2" s="285">
        <v>45580</v>
      </c>
      <c r="I2" s="286">
        <v>280</v>
      </c>
      <c r="J2" s="286"/>
      <c r="K2" s="285">
        <v>45870</v>
      </c>
      <c r="L2" s="287">
        <f>Таблица3[[#This Row],[OLINGAN NARXI $]]+Таблица3[[#This Row],[RASXOD]]</f>
        <v>28</v>
      </c>
      <c r="M2" s="286">
        <v>290</v>
      </c>
      <c r="N2" s="286">
        <v>10</v>
      </c>
      <c r="O2" s="282" t="s">
        <v>193</v>
      </c>
    </row>
    <row r="3" spans="1:15" s="296" customFormat="1" x14ac:dyDescent="0.3">
      <c r="A3" s="197">
        <v>2</v>
      </c>
      <c r="B3" s="289" t="s">
        <v>16</v>
      </c>
      <c r="C3" s="290" t="s">
        <v>1326</v>
      </c>
      <c r="D3" s="291" t="s">
        <v>21</v>
      </c>
      <c r="E3" s="291" t="s">
        <v>15</v>
      </c>
      <c r="F3" s="292">
        <v>357268095937662</v>
      </c>
      <c r="G3" s="291" t="s">
        <v>1532</v>
      </c>
      <c r="H3" s="293">
        <v>45864</v>
      </c>
      <c r="I3" s="294">
        <v>100</v>
      </c>
      <c r="J3" s="294">
        <v>8</v>
      </c>
      <c r="K3" s="293">
        <v>45870</v>
      </c>
      <c r="L3" s="295">
        <f>Таблица3[[#This Row],[OLINGAN NARXI $]]+Таблица3[[#This Row],[RASXOD]]</f>
        <v>349</v>
      </c>
      <c r="M3" s="294">
        <v>200</v>
      </c>
      <c r="N3" s="294">
        <v>92</v>
      </c>
      <c r="O3" s="290" t="s">
        <v>1533</v>
      </c>
    </row>
    <row r="4" spans="1:15" s="253" customFormat="1" x14ac:dyDescent="0.3">
      <c r="A4" s="197">
        <v>3</v>
      </c>
      <c r="B4" s="245" t="s">
        <v>1077</v>
      </c>
      <c r="C4" s="246" t="s">
        <v>1102</v>
      </c>
      <c r="D4" s="247" t="s">
        <v>21</v>
      </c>
      <c r="E4" s="247" t="s">
        <v>22</v>
      </c>
      <c r="F4" s="248">
        <v>864539062050606</v>
      </c>
      <c r="G4" s="247" t="s">
        <v>98</v>
      </c>
      <c r="H4" s="250">
        <v>45798</v>
      </c>
      <c r="I4" s="251">
        <v>54</v>
      </c>
      <c r="J4" s="251"/>
      <c r="K4" s="250">
        <v>45870</v>
      </c>
      <c r="L4" s="252">
        <f>Таблица3[[#This Row],[OLINGAN NARXI $]]+Таблица3[[#This Row],[RASXOD]]</f>
        <v>0</v>
      </c>
      <c r="M4" s="251">
        <v>100</v>
      </c>
      <c r="N4" s="251">
        <v>46</v>
      </c>
      <c r="O4" s="246">
        <v>988091666</v>
      </c>
    </row>
    <row r="5" spans="1:15" s="296" customFormat="1" x14ac:dyDescent="0.3">
      <c r="A5" s="197">
        <v>4</v>
      </c>
      <c r="B5" s="289" t="s">
        <v>16</v>
      </c>
      <c r="C5" s="290" t="s">
        <v>452</v>
      </c>
      <c r="D5" s="291" t="s">
        <v>21</v>
      </c>
      <c r="E5" s="291" t="s">
        <v>15</v>
      </c>
      <c r="F5" s="292">
        <v>355169427164698</v>
      </c>
      <c r="G5" s="291"/>
      <c r="H5" s="293">
        <v>45868</v>
      </c>
      <c r="I5" s="294">
        <v>215</v>
      </c>
      <c r="J5" s="294"/>
      <c r="K5" s="293">
        <v>45870</v>
      </c>
      <c r="L5" s="295">
        <f>Таблица3[[#This Row],[OLINGAN NARXI $]]+Таблица3[[#This Row],[RASXOD]]</f>
        <v>237</v>
      </c>
      <c r="M5" s="294">
        <v>260</v>
      </c>
      <c r="N5" s="294">
        <v>45</v>
      </c>
      <c r="O5" s="290">
        <v>997166116</v>
      </c>
    </row>
    <row r="6" spans="1:15" s="288" customFormat="1" x14ac:dyDescent="0.3">
      <c r="A6" s="197">
        <v>5</v>
      </c>
      <c r="B6" s="281" t="s">
        <v>16</v>
      </c>
      <c r="C6" s="282" t="s">
        <v>1105</v>
      </c>
      <c r="D6" s="283" t="s">
        <v>45</v>
      </c>
      <c r="E6" s="283" t="s">
        <v>15</v>
      </c>
      <c r="F6" s="284" t="s">
        <v>1562</v>
      </c>
      <c r="G6" s="283" t="s">
        <v>341</v>
      </c>
      <c r="H6" s="285">
        <v>45869</v>
      </c>
      <c r="I6" s="286">
        <v>51</v>
      </c>
      <c r="J6" s="286">
        <v>8</v>
      </c>
      <c r="K6" s="285">
        <v>45870</v>
      </c>
      <c r="L6" s="287">
        <f>Таблица3[[#This Row],[OLINGAN NARXI $]]+Таблица3[[#This Row],[RASXOD]]</f>
        <v>256</v>
      </c>
      <c r="M6" s="286">
        <v>90</v>
      </c>
      <c r="N6" s="286">
        <v>31</v>
      </c>
      <c r="O6" s="282">
        <v>900016740</v>
      </c>
    </row>
    <row r="7" spans="1:15" s="288" customFormat="1" x14ac:dyDescent="0.3">
      <c r="A7" s="197">
        <v>6</v>
      </c>
      <c r="B7" s="281" t="s">
        <v>1077</v>
      </c>
      <c r="C7" s="282" t="s">
        <v>1320</v>
      </c>
      <c r="D7" s="283" t="s">
        <v>65</v>
      </c>
      <c r="E7" s="283" t="s">
        <v>15</v>
      </c>
      <c r="F7" s="284">
        <v>861677055201480</v>
      </c>
      <c r="G7" s="283" t="s">
        <v>98</v>
      </c>
      <c r="H7" s="285">
        <v>45865</v>
      </c>
      <c r="I7" s="286">
        <v>19</v>
      </c>
      <c r="J7" s="286">
        <v>8</v>
      </c>
      <c r="K7" s="285">
        <v>45870</v>
      </c>
      <c r="L7" s="287">
        <f>Таблица3[[#This Row],[OLINGAN NARXI $]]+Таблица3[[#This Row],[RASXOD]]</f>
        <v>468</v>
      </c>
      <c r="M7" s="286">
        <v>47</v>
      </c>
      <c r="N7" s="286">
        <v>20</v>
      </c>
      <c r="O7" s="282" t="s">
        <v>1536</v>
      </c>
    </row>
    <row r="8" spans="1:15" s="288" customFormat="1" x14ac:dyDescent="0.3">
      <c r="A8" s="197">
        <v>7</v>
      </c>
      <c r="B8" s="281" t="s">
        <v>16</v>
      </c>
      <c r="C8" s="282" t="s">
        <v>83</v>
      </c>
      <c r="D8" s="283" t="s">
        <v>65</v>
      </c>
      <c r="E8" s="283" t="s">
        <v>15</v>
      </c>
      <c r="F8" s="284">
        <v>354619649039897</v>
      </c>
      <c r="G8" s="283"/>
      <c r="H8" s="285">
        <v>45836</v>
      </c>
      <c r="I8" s="286">
        <v>350</v>
      </c>
      <c r="J8" s="286">
        <v>23</v>
      </c>
      <c r="K8" s="285">
        <v>45871</v>
      </c>
      <c r="L8" s="287">
        <f>Таблица3[[#This Row],[OLINGAN NARXI $]]+Таблица3[[#This Row],[RASXOD]]</f>
        <v>155</v>
      </c>
      <c r="M8" s="286">
        <v>470</v>
      </c>
      <c r="N8" s="286">
        <v>97</v>
      </c>
      <c r="O8" s="282">
        <v>932317303</v>
      </c>
    </row>
    <row r="9" spans="1:15" s="253" customFormat="1" x14ac:dyDescent="0.3">
      <c r="A9" s="197">
        <v>8</v>
      </c>
      <c r="B9" s="245" t="s">
        <v>16</v>
      </c>
      <c r="C9" s="246" t="s">
        <v>25</v>
      </c>
      <c r="D9" s="247" t="s">
        <v>26</v>
      </c>
      <c r="E9" s="247" t="s">
        <v>22</v>
      </c>
      <c r="F9" s="248">
        <v>1442</v>
      </c>
      <c r="G9" s="247"/>
      <c r="H9" s="250">
        <v>45871</v>
      </c>
      <c r="I9" s="251">
        <v>900</v>
      </c>
      <c r="J9" s="251"/>
      <c r="K9" s="250">
        <v>45871</v>
      </c>
      <c r="L9" s="252">
        <f>Таблица3[[#This Row],[OLINGAN NARXI $]]+Таблица3[[#This Row],[RASXOD]]</f>
        <v>190</v>
      </c>
      <c r="M9" s="251">
        <v>940</v>
      </c>
      <c r="N9" s="251">
        <v>40</v>
      </c>
      <c r="O9" s="246" t="s">
        <v>1568</v>
      </c>
    </row>
    <row r="10" spans="1:15" s="253" customFormat="1" x14ac:dyDescent="0.3">
      <c r="A10" s="197">
        <v>9</v>
      </c>
      <c r="B10" s="245" t="s">
        <v>16</v>
      </c>
      <c r="C10" s="246" t="s">
        <v>96</v>
      </c>
      <c r="D10" s="247" t="s">
        <v>18</v>
      </c>
      <c r="E10" s="247" t="s">
        <v>15</v>
      </c>
      <c r="F10" s="248">
        <v>353829100316145</v>
      </c>
      <c r="G10" s="247"/>
      <c r="H10" s="250">
        <v>45871</v>
      </c>
      <c r="I10" s="251">
        <v>235</v>
      </c>
      <c r="J10" s="251"/>
      <c r="K10" s="250">
        <v>45871</v>
      </c>
      <c r="L10" s="252">
        <f>Таблица3[[#This Row],[OLINGAN NARXI $]]+Таблица3[[#This Row],[RASXOD]]</f>
        <v>473</v>
      </c>
      <c r="M10" s="251">
        <v>295</v>
      </c>
      <c r="N10" s="251">
        <v>60</v>
      </c>
      <c r="O10" s="246">
        <v>994940979</v>
      </c>
    </row>
    <row r="11" spans="1:15" s="304" customFormat="1" ht="13.5" customHeight="1" x14ac:dyDescent="0.3">
      <c r="A11" s="197">
        <v>10</v>
      </c>
      <c r="B11" s="197" t="s">
        <v>16</v>
      </c>
      <c r="C11" s="297" t="s">
        <v>81</v>
      </c>
      <c r="D11" s="197" t="s">
        <v>18</v>
      </c>
      <c r="E11" s="298" t="s">
        <v>22</v>
      </c>
      <c r="F11" s="299">
        <v>353879233492149</v>
      </c>
      <c r="G11" s="298"/>
      <c r="H11" s="300">
        <v>45863</v>
      </c>
      <c r="I11" s="301">
        <v>470</v>
      </c>
      <c r="J11" s="301"/>
      <c r="K11" s="302">
        <v>45871</v>
      </c>
      <c r="L11" s="303">
        <f>Таблица3758910111415[[#This Row],[OLINGAN NARXI $]]+Таблица3758910111415[[#This Row],[RASXOD]]</f>
        <v>470</v>
      </c>
      <c r="M11" s="298">
        <v>520</v>
      </c>
      <c r="N11" s="283">
        <v>25</v>
      </c>
      <c r="O11" s="297"/>
    </row>
    <row r="12" spans="1:15" s="304" customFormat="1" ht="13.5" customHeight="1" x14ac:dyDescent="0.3">
      <c r="A12" s="197">
        <v>11</v>
      </c>
      <c r="B12" s="197" t="s">
        <v>16</v>
      </c>
      <c r="C12" s="297" t="s">
        <v>88</v>
      </c>
      <c r="D12" s="197" t="s">
        <v>21</v>
      </c>
      <c r="E12" s="298" t="s">
        <v>15</v>
      </c>
      <c r="F12" s="299">
        <v>356646223938374</v>
      </c>
      <c r="G12" s="298"/>
      <c r="H12" s="300">
        <v>45863</v>
      </c>
      <c r="I12" s="301">
        <v>358</v>
      </c>
      <c r="J12" s="301"/>
      <c r="K12" s="302">
        <v>45871</v>
      </c>
      <c r="L12" s="303">
        <f>Таблица3758910111415[[#This Row],[OLINGAN NARXI $]]+Таблица3758910111415[[#This Row],[RASXOD]]</f>
        <v>358</v>
      </c>
      <c r="M12" s="298">
        <v>400</v>
      </c>
      <c r="N12" s="298">
        <v>21</v>
      </c>
      <c r="O12" s="297"/>
    </row>
    <row r="13" spans="1:15" s="288" customFormat="1" x14ac:dyDescent="0.3">
      <c r="A13" s="197">
        <v>12</v>
      </c>
      <c r="B13" s="281" t="s">
        <v>16</v>
      </c>
      <c r="C13" s="282" t="s">
        <v>312</v>
      </c>
      <c r="D13" s="283" t="s">
        <v>21</v>
      </c>
      <c r="E13" s="283" t="s">
        <v>15</v>
      </c>
      <c r="F13" s="284">
        <v>357680882995424</v>
      </c>
      <c r="G13" s="283"/>
      <c r="H13" s="285">
        <v>45851</v>
      </c>
      <c r="I13" s="286">
        <v>550</v>
      </c>
      <c r="J13" s="286"/>
      <c r="K13" s="285">
        <v>45871</v>
      </c>
      <c r="L13" s="287">
        <f>Таблица3[[#This Row],[OLINGAN NARXI $]]+Таблица3[[#This Row],[RASXOD]]</f>
        <v>307</v>
      </c>
      <c r="M13" s="286">
        <v>650</v>
      </c>
      <c r="N13" s="286">
        <v>100</v>
      </c>
      <c r="O13" s="282" t="s">
        <v>1455</v>
      </c>
    </row>
    <row r="14" spans="1:15" s="296" customFormat="1" x14ac:dyDescent="0.3">
      <c r="A14" s="197">
        <v>13</v>
      </c>
      <c r="B14" s="289" t="s">
        <v>16</v>
      </c>
      <c r="C14" s="290" t="s">
        <v>1000</v>
      </c>
      <c r="D14" s="291" t="s">
        <v>21</v>
      </c>
      <c r="E14" s="291" t="s">
        <v>22</v>
      </c>
      <c r="F14" s="292">
        <v>359974601689303</v>
      </c>
      <c r="G14" s="291"/>
      <c r="H14" s="293">
        <v>45862</v>
      </c>
      <c r="I14" s="294">
        <v>1260</v>
      </c>
      <c r="J14" s="294"/>
      <c r="K14" s="293">
        <v>45871</v>
      </c>
      <c r="L14" s="295">
        <f>Таблица3[[#This Row],[OLINGAN NARXI $]]+Таблица3[[#This Row],[RASXOD]]</f>
        <v>30</v>
      </c>
      <c r="M14" s="294">
        <v>1280</v>
      </c>
      <c r="N14" s="294">
        <v>20</v>
      </c>
      <c r="O14" s="290" t="s">
        <v>1515</v>
      </c>
    </row>
    <row r="15" spans="1:15" s="288" customFormat="1" x14ac:dyDescent="0.3">
      <c r="A15" s="197">
        <v>14</v>
      </c>
      <c r="B15" s="281" t="s">
        <v>16</v>
      </c>
      <c r="C15" s="282" t="s">
        <v>129</v>
      </c>
      <c r="D15" s="283" t="s">
        <v>65</v>
      </c>
      <c r="E15" s="283" t="s">
        <v>15</v>
      </c>
      <c r="F15" s="284">
        <v>359984545193825</v>
      </c>
      <c r="G15" s="283"/>
      <c r="H15" s="285">
        <v>45863</v>
      </c>
      <c r="I15" s="286">
        <v>570</v>
      </c>
      <c r="J15" s="286"/>
      <c r="K15" s="285">
        <v>45872</v>
      </c>
      <c r="L15" s="287">
        <f>Таблица3[[#This Row],[OLINGAN NARXI $]]+Таблица3[[#This Row],[RASXOD]]</f>
        <v>16</v>
      </c>
      <c r="M15" s="286">
        <v>670</v>
      </c>
      <c r="N15" s="286">
        <v>100</v>
      </c>
      <c r="O15" s="282">
        <v>930877121</v>
      </c>
    </row>
    <row r="16" spans="1:15" s="288" customFormat="1" x14ac:dyDescent="0.3">
      <c r="A16" s="197">
        <v>15</v>
      </c>
      <c r="B16" s="281" t="s">
        <v>16</v>
      </c>
      <c r="C16" s="282" t="s">
        <v>81</v>
      </c>
      <c r="D16" s="283" t="s">
        <v>97</v>
      </c>
      <c r="E16" s="283" t="s">
        <v>15</v>
      </c>
      <c r="F16" s="284">
        <v>355843803332430</v>
      </c>
      <c r="G16" s="283"/>
      <c r="H16" s="285">
        <v>45862</v>
      </c>
      <c r="I16" s="286">
        <v>490</v>
      </c>
      <c r="J16" s="286"/>
      <c r="K16" s="285">
        <v>45872</v>
      </c>
      <c r="L16" s="287">
        <f>Таблица3[[#This Row],[OLINGAN NARXI $]]+Таблица3[[#This Row],[RASXOD]]</f>
        <v>387</v>
      </c>
      <c r="M16" s="286">
        <v>550</v>
      </c>
      <c r="N16" s="286">
        <v>60</v>
      </c>
      <c r="O16" s="282" t="s">
        <v>1513</v>
      </c>
    </row>
    <row r="17" spans="1:15" s="253" customFormat="1" x14ac:dyDescent="0.3">
      <c r="A17" s="197">
        <v>16</v>
      </c>
      <c r="B17" s="245" t="s">
        <v>207</v>
      </c>
      <c r="C17" s="246" t="s">
        <v>1413</v>
      </c>
      <c r="D17" s="247" t="s">
        <v>21</v>
      </c>
      <c r="E17" s="247" t="s">
        <v>22</v>
      </c>
      <c r="F17" s="248"/>
      <c r="G17" s="247"/>
      <c r="H17" s="250">
        <v>45839</v>
      </c>
      <c r="I17" s="251">
        <v>45</v>
      </c>
      <c r="J17" s="251"/>
      <c r="K17" s="250">
        <v>45872</v>
      </c>
      <c r="L17" s="252">
        <f>Таблица3[[#This Row],[OLINGAN NARXI $]]+Таблица3[[#This Row],[RASXOD]]</f>
        <v>320</v>
      </c>
      <c r="M17" s="251">
        <v>70</v>
      </c>
      <c r="N17" s="251">
        <v>25</v>
      </c>
      <c r="O17" s="246" t="s">
        <v>1414</v>
      </c>
    </row>
    <row r="18" spans="1:15" s="288" customFormat="1" x14ac:dyDescent="0.3">
      <c r="A18" s="197">
        <v>17</v>
      </c>
      <c r="B18" s="281" t="s">
        <v>13</v>
      </c>
      <c r="C18" s="282" t="s">
        <v>455</v>
      </c>
      <c r="D18" s="283" t="s">
        <v>21</v>
      </c>
      <c r="E18" s="283" t="s">
        <v>15</v>
      </c>
      <c r="F18" s="284">
        <v>352412370984982</v>
      </c>
      <c r="G18" s="283"/>
      <c r="H18" s="285">
        <v>45834</v>
      </c>
      <c r="I18" s="286">
        <v>280</v>
      </c>
      <c r="J18" s="286"/>
      <c r="K18" s="285">
        <v>45873</v>
      </c>
      <c r="L18" s="287">
        <f>Таблица3[[#This Row],[OLINGAN NARXI $]]+Таблица3[[#This Row],[RASXOD]]</f>
        <v>223</v>
      </c>
      <c r="M18" s="286">
        <v>350</v>
      </c>
      <c r="N18" s="286">
        <v>70</v>
      </c>
      <c r="O18" s="282">
        <v>974315454</v>
      </c>
    </row>
    <row r="19" spans="1:15" s="288" customFormat="1" x14ac:dyDescent="0.3">
      <c r="A19" s="197">
        <v>18</v>
      </c>
      <c r="B19" s="281" t="s">
        <v>16</v>
      </c>
      <c r="C19" s="282" t="s">
        <v>34</v>
      </c>
      <c r="D19" s="283" t="s">
        <v>35</v>
      </c>
      <c r="E19" s="283" t="s">
        <v>22</v>
      </c>
      <c r="F19" s="284">
        <v>351088769863218</v>
      </c>
      <c r="G19" s="283"/>
      <c r="H19" s="285">
        <v>45869</v>
      </c>
      <c r="I19" s="286">
        <v>560</v>
      </c>
      <c r="J19" s="286"/>
      <c r="K19" s="285">
        <v>45872</v>
      </c>
      <c r="L19" s="287">
        <f>Таблица3[[#This Row],[OLINGAN NARXI $]]+Таблица3[[#This Row],[RASXOD]]</f>
        <v>251.5</v>
      </c>
      <c r="M19" s="286">
        <v>720</v>
      </c>
      <c r="N19" s="286">
        <v>120</v>
      </c>
      <c r="O19" s="282">
        <v>888683607</v>
      </c>
    </row>
    <row r="20" spans="1:15" s="288" customFormat="1" x14ac:dyDescent="0.3">
      <c r="A20" s="197">
        <v>19</v>
      </c>
      <c r="B20" s="281" t="s">
        <v>16</v>
      </c>
      <c r="C20" s="282" t="s">
        <v>148</v>
      </c>
      <c r="D20" s="283" t="s">
        <v>65</v>
      </c>
      <c r="E20" s="283" t="s">
        <v>22</v>
      </c>
      <c r="F20" s="284">
        <v>353781183859576</v>
      </c>
      <c r="G20" s="283"/>
      <c r="H20" s="285">
        <v>45867</v>
      </c>
      <c r="I20" s="286">
        <v>325</v>
      </c>
      <c r="J20" s="286"/>
      <c r="K20" s="285">
        <v>45872</v>
      </c>
      <c r="L20" s="287">
        <f>Таблица3[[#This Row],[OLINGAN NARXI $]]+Таблица3[[#This Row],[RASXOD]]</f>
        <v>1080</v>
      </c>
      <c r="M20" s="286">
        <v>375</v>
      </c>
      <c r="N20" s="286">
        <v>50</v>
      </c>
      <c r="O20" s="282" t="s">
        <v>1543</v>
      </c>
    </row>
    <row r="21" spans="1:15" s="288" customFormat="1" ht="13.5" customHeight="1" x14ac:dyDescent="0.3">
      <c r="A21" s="197">
        <v>20</v>
      </c>
      <c r="B21" s="281" t="s">
        <v>16</v>
      </c>
      <c r="C21" s="282" t="s">
        <v>1000</v>
      </c>
      <c r="D21" s="283"/>
      <c r="E21" s="283"/>
      <c r="F21" s="284"/>
      <c r="G21" s="283"/>
      <c r="H21" s="305">
        <v>45872</v>
      </c>
      <c r="I21" s="283">
        <v>20</v>
      </c>
      <c r="J21" s="283"/>
      <c r="K21" s="305">
        <v>45872</v>
      </c>
      <c r="L21" s="287">
        <f>Таблица3758910111415[[#This Row],[OLINGAN NARXI $]]+Таблица3758910111415[[#This Row],[RASXOD]]</f>
        <v>20</v>
      </c>
      <c r="M21" s="283">
        <v>20</v>
      </c>
      <c r="N21" s="283">
        <v>20</v>
      </c>
      <c r="O21" s="282" t="s">
        <v>1576</v>
      </c>
    </row>
    <row r="22" spans="1:15" s="288" customFormat="1" x14ac:dyDescent="0.3">
      <c r="A22" s="197">
        <v>21</v>
      </c>
      <c r="B22" s="281" t="s">
        <v>13</v>
      </c>
      <c r="C22" s="282" t="s">
        <v>255</v>
      </c>
      <c r="D22" s="283" t="s">
        <v>583</v>
      </c>
      <c r="E22" s="283" t="s">
        <v>22</v>
      </c>
      <c r="F22" s="284">
        <v>350683210699509</v>
      </c>
      <c r="G22" s="283" t="s">
        <v>98</v>
      </c>
      <c r="H22" s="285">
        <v>45823</v>
      </c>
      <c r="I22" s="286">
        <v>650</v>
      </c>
      <c r="J22" s="286"/>
      <c r="K22" s="285">
        <v>45872</v>
      </c>
      <c r="L22" s="287">
        <f>Таблица3[[#This Row],[OLINGAN NARXI $]]+Таблица3[[#This Row],[RASXOD]]</f>
        <v>271</v>
      </c>
      <c r="M22" s="286">
        <v>770</v>
      </c>
      <c r="N22" s="286">
        <v>120</v>
      </c>
      <c r="O22" s="282" t="s">
        <v>1352</v>
      </c>
    </row>
    <row r="23" spans="1:15" s="288" customFormat="1" x14ac:dyDescent="0.3">
      <c r="A23" s="197">
        <v>22</v>
      </c>
      <c r="B23" s="281" t="s">
        <v>13</v>
      </c>
      <c r="C23" s="282" t="s">
        <v>370</v>
      </c>
      <c r="D23" s="283" t="s">
        <v>18</v>
      </c>
      <c r="E23" s="283" t="s">
        <v>15</v>
      </c>
      <c r="F23" s="284">
        <v>354619980642069</v>
      </c>
      <c r="G23" s="283"/>
      <c r="H23" s="285">
        <v>45791</v>
      </c>
      <c r="I23" s="286">
        <v>270</v>
      </c>
      <c r="J23" s="286">
        <v>33</v>
      </c>
      <c r="K23" s="285">
        <v>45872</v>
      </c>
      <c r="L23" s="287">
        <f>Таблица3[[#This Row],[OLINGAN NARXI $]]+Таблица3[[#This Row],[RASXOD]]</f>
        <v>366</v>
      </c>
      <c r="M23" s="286">
        <v>370</v>
      </c>
      <c r="N23" s="286">
        <v>67</v>
      </c>
      <c r="O23" s="282" t="s">
        <v>147</v>
      </c>
    </row>
    <row r="24" spans="1:15" s="288" customFormat="1" x14ac:dyDescent="0.3">
      <c r="A24" s="197">
        <v>23</v>
      </c>
      <c r="B24" s="281" t="s">
        <v>16</v>
      </c>
      <c r="C24" s="282" t="s">
        <v>106</v>
      </c>
      <c r="D24" s="283" t="s">
        <v>35</v>
      </c>
      <c r="E24" s="283" t="s">
        <v>15</v>
      </c>
      <c r="F24" s="284">
        <v>356855119122858</v>
      </c>
      <c r="G24" s="283"/>
      <c r="H24" s="285">
        <v>45870</v>
      </c>
      <c r="I24" s="286">
        <v>165</v>
      </c>
      <c r="J24" s="286"/>
      <c r="K24" s="285">
        <v>45873</v>
      </c>
      <c r="L24" s="287">
        <f>Таблица3[[#This Row],[OLINGAN NARXI $]]+Таблица3[[#This Row],[RASXOD]]</f>
        <v>381</v>
      </c>
      <c r="M24" s="286">
        <v>240</v>
      </c>
      <c r="N24" s="286">
        <v>75</v>
      </c>
      <c r="O24" s="282">
        <v>773061150</v>
      </c>
    </row>
    <row r="25" spans="1:15" s="304" customFormat="1" ht="13.5" customHeight="1" x14ac:dyDescent="0.3">
      <c r="A25" s="197">
        <v>24</v>
      </c>
      <c r="B25" s="197" t="s">
        <v>1460</v>
      </c>
      <c r="C25" s="297" t="s">
        <v>1461</v>
      </c>
      <c r="D25" s="197" t="s">
        <v>1462</v>
      </c>
      <c r="E25" s="298" t="s">
        <v>22</v>
      </c>
      <c r="F25" s="299">
        <v>356280235581004</v>
      </c>
      <c r="G25" s="197" t="s">
        <v>1463</v>
      </c>
      <c r="H25" s="300">
        <v>45851</v>
      </c>
      <c r="I25" s="301">
        <v>102</v>
      </c>
      <c r="J25" s="301"/>
      <c r="K25" s="302">
        <v>45873</v>
      </c>
      <c r="L25" s="303">
        <f>Таблица3758910111415[[#This Row],[OLINGAN NARXI $]]+Таблица3758910111415[[#This Row],[RASXOD]]</f>
        <v>102</v>
      </c>
      <c r="M25" s="298">
        <v>141</v>
      </c>
      <c r="N25" s="298">
        <v>19.5</v>
      </c>
      <c r="O25" s="297"/>
    </row>
    <row r="26" spans="1:15" s="304" customFormat="1" ht="13.5" customHeight="1" x14ac:dyDescent="0.3">
      <c r="A26" s="197">
        <v>25</v>
      </c>
      <c r="B26" s="197" t="s">
        <v>16</v>
      </c>
      <c r="C26" s="297" t="s">
        <v>1125</v>
      </c>
      <c r="D26" s="197" t="s">
        <v>21</v>
      </c>
      <c r="E26" s="298" t="s">
        <v>15</v>
      </c>
      <c r="F26" s="299">
        <v>356901459386321</v>
      </c>
      <c r="G26" s="197" t="s">
        <v>556</v>
      </c>
      <c r="H26" s="300">
        <v>45855</v>
      </c>
      <c r="I26" s="301">
        <v>520</v>
      </c>
      <c r="J26" s="301"/>
      <c r="K26" s="302">
        <v>45873</v>
      </c>
      <c r="L26" s="303">
        <f>Таблица3758910111415[[#This Row],[OLINGAN NARXI $]]+Таблица3758910111415[[#This Row],[RASXOD]]</f>
        <v>520</v>
      </c>
      <c r="M26" s="298">
        <v>580</v>
      </c>
      <c r="N26" s="298">
        <v>30</v>
      </c>
      <c r="O26" s="297"/>
    </row>
    <row r="27" spans="1:15" s="304" customFormat="1" ht="13.5" customHeight="1" x14ac:dyDescent="0.3">
      <c r="A27" s="197">
        <v>26</v>
      </c>
      <c r="B27" s="197" t="s">
        <v>16</v>
      </c>
      <c r="C27" s="297" t="s">
        <v>81</v>
      </c>
      <c r="D27" s="197" t="s">
        <v>65</v>
      </c>
      <c r="E27" s="298" t="s">
        <v>22</v>
      </c>
      <c r="F27" s="299">
        <v>355843803019151</v>
      </c>
      <c r="G27" s="298"/>
      <c r="H27" s="300">
        <v>45871</v>
      </c>
      <c r="I27" s="301">
        <v>500</v>
      </c>
      <c r="J27" s="301"/>
      <c r="K27" s="302">
        <v>45873</v>
      </c>
      <c r="L27" s="303">
        <f>Таблица3758910111415[[#This Row],[OLINGAN NARXI $]]+Таблица3758910111415[[#This Row],[RASXOD]]</f>
        <v>500</v>
      </c>
      <c r="M27" s="298">
        <v>540</v>
      </c>
      <c r="N27" s="298">
        <v>20</v>
      </c>
      <c r="O27" s="297"/>
    </row>
    <row r="28" spans="1:15" s="296" customFormat="1" x14ac:dyDescent="0.3">
      <c r="A28" s="197">
        <v>27</v>
      </c>
      <c r="B28" s="289" t="s">
        <v>16</v>
      </c>
      <c r="C28" s="290" t="s">
        <v>312</v>
      </c>
      <c r="D28" s="291" t="s">
        <v>18</v>
      </c>
      <c r="E28" s="291" t="s">
        <v>15</v>
      </c>
      <c r="F28" s="292">
        <v>352206209349841</v>
      </c>
      <c r="G28" s="291" t="s">
        <v>1456</v>
      </c>
      <c r="H28" s="293">
        <v>45851</v>
      </c>
      <c r="I28" s="294">
        <v>550</v>
      </c>
      <c r="J28" s="294"/>
      <c r="K28" s="293">
        <v>45873</v>
      </c>
      <c r="L28" s="295">
        <f>Таблица3[[#This Row],[OLINGAN NARXI $]]+Таблица3[[#This Row],[RASXOD]]</f>
        <v>447.7</v>
      </c>
      <c r="M28" s="294">
        <v>600</v>
      </c>
      <c r="N28" s="294">
        <v>50</v>
      </c>
      <c r="O28" s="290" t="s">
        <v>1455</v>
      </c>
    </row>
    <row r="29" spans="1:15" s="253" customFormat="1" x14ac:dyDescent="0.3">
      <c r="A29" s="197">
        <v>28</v>
      </c>
      <c r="B29" s="245" t="s">
        <v>16</v>
      </c>
      <c r="C29" s="246" t="s">
        <v>128</v>
      </c>
      <c r="D29" s="247" t="s">
        <v>26</v>
      </c>
      <c r="E29" s="247" t="s">
        <v>15</v>
      </c>
      <c r="F29" s="248">
        <v>5650</v>
      </c>
      <c r="G29" s="247" t="s">
        <v>66</v>
      </c>
      <c r="H29" s="250">
        <v>45874</v>
      </c>
      <c r="I29" s="251">
        <v>500</v>
      </c>
      <c r="J29" s="251"/>
      <c r="K29" s="250">
        <v>45874</v>
      </c>
      <c r="L29" s="252">
        <f>Таблица3[[#This Row],[OLINGAN NARXI $]]+Таблица3[[#This Row],[RASXOD]]</f>
        <v>400</v>
      </c>
      <c r="M29" s="251">
        <v>600</v>
      </c>
      <c r="N29" s="251">
        <v>100</v>
      </c>
      <c r="O29" s="246" t="s">
        <v>1579</v>
      </c>
    </row>
    <row r="30" spans="1:15" s="288" customFormat="1" x14ac:dyDescent="0.3">
      <c r="A30" s="197">
        <v>29</v>
      </c>
      <c r="B30" s="281" t="s">
        <v>16</v>
      </c>
      <c r="C30" s="282" t="s">
        <v>39</v>
      </c>
      <c r="D30" s="283" t="s">
        <v>35</v>
      </c>
      <c r="E30" s="283" t="s">
        <v>15</v>
      </c>
      <c r="F30" s="284">
        <v>351643931334884</v>
      </c>
      <c r="G30" s="283"/>
      <c r="H30" s="285">
        <v>45562</v>
      </c>
      <c r="I30" s="286">
        <v>730</v>
      </c>
      <c r="J30" s="286">
        <v>12</v>
      </c>
      <c r="K30" s="285">
        <v>45874</v>
      </c>
      <c r="L30" s="287">
        <f>Таблица3[[#This Row],[OLINGAN NARXI $]]+Таблица3[[#This Row],[RASXOD]]</f>
        <v>240</v>
      </c>
      <c r="M30" s="286">
        <v>700</v>
      </c>
      <c r="N30" s="286">
        <v>-42</v>
      </c>
      <c r="O30" s="282" t="s">
        <v>29</v>
      </c>
    </row>
    <row r="31" spans="1:15" s="288" customFormat="1" x14ac:dyDescent="0.3">
      <c r="A31" s="197">
        <v>30</v>
      </c>
      <c r="B31" s="281" t="s">
        <v>13</v>
      </c>
      <c r="C31" s="282" t="s">
        <v>255</v>
      </c>
      <c r="D31" s="283" t="s">
        <v>21</v>
      </c>
      <c r="E31" s="283" t="s">
        <v>22</v>
      </c>
      <c r="F31" s="284">
        <v>350518498626503</v>
      </c>
      <c r="G31" s="283"/>
      <c r="H31" s="285">
        <v>45871</v>
      </c>
      <c r="I31" s="286">
        <v>710</v>
      </c>
      <c r="J31" s="286"/>
      <c r="K31" s="285">
        <v>45874</v>
      </c>
      <c r="L31" s="287">
        <f>Таблица3[[#This Row],[OLINGAN NARXI $]]+Таблица3[[#This Row],[RASXOD]]</f>
        <v>620</v>
      </c>
      <c r="M31" s="286">
        <v>770</v>
      </c>
      <c r="N31" s="286">
        <v>60</v>
      </c>
      <c r="O31" s="282" t="s">
        <v>1574</v>
      </c>
    </row>
    <row r="32" spans="1:15" s="296" customFormat="1" x14ac:dyDescent="0.3">
      <c r="A32" s="197">
        <v>31</v>
      </c>
      <c r="B32" s="289" t="s">
        <v>16</v>
      </c>
      <c r="C32" s="290" t="s">
        <v>1000</v>
      </c>
      <c r="D32" s="291" t="s">
        <v>583</v>
      </c>
      <c r="E32" s="291" t="s">
        <v>22</v>
      </c>
      <c r="F32" s="292">
        <v>352389714985257</v>
      </c>
      <c r="G32" s="291"/>
      <c r="H32" s="293">
        <v>45863</v>
      </c>
      <c r="I32" s="294">
        <v>1200</v>
      </c>
      <c r="J32" s="294"/>
      <c r="K32" s="293">
        <v>45874</v>
      </c>
      <c r="L32" s="295">
        <f>Таблица3[[#This Row],[OLINGAN NARXI $]]+Таблица3[[#This Row],[RASXOD]]</f>
        <v>365</v>
      </c>
      <c r="M32" s="294">
        <v>1250</v>
      </c>
      <c r="N32" s="294">
        <v>50</v>
      </c>
      <c r="O32" s="290" t="s">
        <v>1516</v>
      </c>
    </row>
    <row r="33" spans="1:15" s="288" customFormat="1" x14ac:dyDescent="0.3">
      <c r="A33" s="197">
        <v>32</v>
      </c>
      <c r="B33" s="281" t="s">
        <v>16</v>
      </c>
      <c r="C33" s="282" t="s">
        <v>81</v>
      </c>
      <c r="D33" s="283" t="s">
        <v>21</v>
      </c>
      <c r="E33" s="283" t="s">
        <v>15</v>
      </c>
      <c r="F33" s="284">
        <v>350753240586859</v>
      </c>
      <c r="G33" s="283"/>
      <c r="H33" s="285">
        <v>45862</v>
      </c>
      <c r="I33" s="286">
        <v>500</v>
      </c>
      <c r="J33" s="286"/>
      <c r="K33" s="285">
        <v>45874</v>
      </c>
      <c r="L33" s="287">
        <f>Таблица3[[#This Row],[OLINGAN NARXI $]]+Таблица3[[#This Row],[RASXOD]]</f>
        <v>180</v>
      </c>
      <c r="M33" s="286">
        <v>560</v>
      </c>
      <c r="N33" s="286">
        <v>60</v>
      </c>
      <c r="O33" s="282" t="s">
        <v>262</v>
      </c>
    </row>
    <row r="34" spans="1:15" s="288" customFormat="1" x14ac:dyDescent="0.3">
      <c r="A34" s="197">
        <v>33</v>
      </c>
      <c r="B34" s="281" t="s">
        <v>16</v>
      </c>
      <c r="C34" s="282" t="s">
        <v>157</v>
      </c>
      <c r="D34" s="283" t="s">
        <v>18</v>
      </c>
      <c r="E34" s="283" t="s">
        <v>15</v>
      </c>
      <c r="F34" s="284">
        <v>352003573072756</v>
      </c>
      <c r="G34" s="283"/>
      <c r="H34" s="285">
        <v>45868</v>
      </c>
      <c r="I34" s="286">
        <v>300</v>
      </c>
      <c r="J34" s="286"/>
      <c r="K34" s="285">
        <v>45874</v>
      </c>
      <c r="L34" s="287">
        <f>Таблица3[[#This Row],[OLINGAN NARXI $]]+Таблица3[[#This Row],[RASXOD]]</f>
        <v>610</v>
      </c>
      <c r="M34" s="286">
        <v>370</v>
      </c>
      <c r="N34" s="286">
        <v>70</v>
      </c>
      <c r="O34" s="282">
        <v>994996555</v>
      </c>
    </row>
    <row r="35" spans="1:15" s="304" customFormat="1" x14ac:dyDescent="0.3">
      <c r="A35" s="197">
        <v>34</v>
      </c>
      <c r="B35" s="197" t="s">
        <v>16</v>
      </c>
      <c r="C35" s="297" t="s">
        <v>104</v>
      </c>
      <c r="D35" s="197" t="s">
        <v>65</v>
      </c>
      <c r="E35" s="298" t="s">
        <v>15</v>
      </c>
      <c r="F35" s="299">
        <v>353175866781720</v>
      </c>
      <c r="G35" s="197"/>
      <c r="H35" s="300">
        <v>45854</v>
      </c>
      <c r="I35" s="301">
        <v>350</v>
      </c>
      <c r="J35" s="301"/>
      <c r="K35" s="300">
        <v>45874</v>
      </c>
      <c r="L35" s="303">
        <f>Таблица3758910111415[[#This Row],[OLINGAN NARXI $]]+Таблица3758910111415[[#This Row],[RASXOD]]</f>
        <v>350</v>
      </c>
      <c r="M35" s="301">
        <v>440</v>
      </c>
      <c r="N35" s="301">
        <v>45</v>
      </c>
      <c r="O35" s="297"/>
    </row>
    <row r="36" spans="1:15" s="288" customFormat="1" x14ac:dyDescent="0.3">
      <c r="A36" s="197">
        <v>35</v>
      </c>
      <c r="B36" s="281" t="s">
        <v>16</v>
      </c>
      <c r="C36" s="282" t="s">
        <v>128</v>
      </c>
      <c r="D36" s="283" t="s">
        <v>26</v>
      </c>
      <c r="E36" s="283" t="s">
        <v>22</v>
      </c>
      <c r="F36" s="284">
        <v>351080474967814</v>
      </c>
      <c r="G36" s="283"/>
      <c r="H36" s="285">
        <v>45867</v>
      </c>
      <c r="I36" s="286">
        <v>800</v>
      </c>
      <c r="J36" s="286"/>
      <c r="K36" s="285">
        <v>45875</v>
      </c>
      <c r="L36" s="287">
        <f>Таблица3[[#This Row],[OLINGAN NARXI $]]+Таблица3[[#This Row],[RASXOD]]</f>
        <v>645</v>
      </c>
      <c r="M36" s="286">
        <v>840</v>
      </c>
      <c r="N36" s="286">
        <v>40</v>
      </c>
      <c r="O36" s="282" t="s">
        <v>1544</v>
      </c>
    </row>
    <row r="37" spans="1:15" s="296" customFormat="1" x14ac:dyDescent="0.3">
      <c r="A37" s="197">
        <v>36</v>
      </c>
      <c r="B37" s="289" t="s">
        <v>13</v>
      </c>
      <c r="C37" s="290" t="s">
        <v>384</v>
      </c>
      <c r="D37" s="291" t="s">
        <v>21</v>
      </c>
      <c r="E37" s="291" t="s">
        <v>15</v>
      </c>
      <c r="F37" s="292">
        <v>353561332745870</v>
      </c>
      <c r="G37" s="291"/>
      <c r="H37" s="293">
        <v>45757</v>
      </c>
      <c r="I37" s="294">
        <v>225</v>
      </c>
      <c r="J37" s="294"/>
      <c r="K37" s="293">
        <v>45875</v>
      </c>
      <c r="L37" s="295">
        <f>Таблица3[[#This Row],[OLINGAN NARXI $]]+Таблица3[[#This Row],[RASXOD]]</f>
        <v>550</v>
      </c>
      <c r="M37" s="294">
        <v>300</v>
      </c>
      <c r="N37" s="294">
        <v>75</v>
      </c>
      <c r="O37" s="290" t="s">
        <v>19</v>
      </c>
    </row>
    <row r="38" spans="1:15" s="296" customFormat="1" x14ac:dyDescent="0.3">
      <c r="A38" s="197">
        <v>37</v>
      </c>
      <c r="B38" s="289" t="s">
        <v>16</v>
      </c>
      <c r="C38" s="290" t="s">
        <v>74</v>
      </c>
      <c r="D38" s="291" t="s">
        <v>18</v>
      </c>
      <c r="E38" s="291" t="s">
        <v>15</v>
      </c>
      <c r="F38" s="292">
        <v>350666978509101</v>
      </c>
      <c r="G38" s="291"/>
      <c r="H38" s="293">
        <v>45820</v>
      </c>
      <c r="I38" s="294">
        <v>550</v>
      </c>
      <c r="J38" s="294"/>
      <c r="K38" s="293">
        <v>45875</v>
      </c>
      <c r="L38" s="295">
        <f>Таблица3[[#This Row],[OLINGAN NARXI $]]+Таблица3[[#This Row],[RASXOD]]</f>
        <v>315</v>
      </c>
      <c r="M38" s="294">
        <v>600</v>
      </c>
      <c r="N38" s="294">
        <v>50</v>
      </c>
      <c r="O38" s="290" t="s">
        <v>19</v>
      </c>
    </row>
    <row r="39" spans="1:15" s="304" customFormat="1" x14ac:dyDescent="0.3">
      <c r="A39" s="197">
        <v>38</v>
      </c>
      <c r="B39" s="197" t="s">
        <v>16</v>
      </c>
      <c r="C39" s="297" t="s">
        <v>81</v>
      </c>
      <c r="D39" s="197" t="s">
        <v>97</v>
      </c>
      <c r="E39" s="298" t="s">
        <v>22</v>
      </c>
      <c r="F39" s="299">
        <v>352835987158022</v>
      </c>
      <c r="G39" s="298"/>
      <c r="H39" s="300">
        <v>45873</v>
      </c>
      <c r="I39" s="301">
        <v>470</v>
      </c>
      <c r="J39" s="301"/>
      <c r="K39" s="300">
        <v>45875</v>
      </c>
      <c r="L39" s="303">
        <f>Таблица3758910111415[[#This Row],[OLINGAN NARXI $]]+Таблица3758910111415[[#This Row],[RASXOD]]</f>
        <v>470</v>
      </c>
      <c r="M39" s="301">
        <v>550</v>
      </c>
      <c r="N39" s="301">
        <v>40</v>
      </c>
      <c r="O39" s="297"/>
    </row>
    <row r="40" spans="1:15" s="288" customFormat="1" x14ac:dyDescent="0.3">
      <c r="A40" s="197">
        <v>39</v>
      </c>
      <c r="B40" s="281" t="s">
        <v>13</v>
      </c>
      <c r="C40" s="282" t="s">
        <v>1477</v>
      </c>
      <c r="D40" s="283" t="s">
        <v>21</v>
      </c>
      <c r="E40" s="283" t="s">
        <v>15</v>
      </c>
      <c r="F40" s="284">
        <v>356021071089607</v>
      </c>
      <c r="G40" s="283"/>
      <c r="H40" s="285">
        <v>45858</v>
      </c>
      <c r="I40" s="286">
        <v>35</v>
      </c>
      <c r="J40" s="286"/>
      <c r="K40" s="285">
        <v>45875</v>
      </c>
      <c r="L40" s="287">
        <f>Таблица3[[#This Row],[OLINGAN NARXI $]]+Таблица3[[#This Row],[RASXOD]]</f>
        <v>312.2</v>
      </c>
      <c r="M40" s="286">
        <v>55</v>
      </c>
      <c r="N40" s="286">
        <v>20</v>
      </c>
      <c r="O40" s="282" t="s">
        <v>1488</v>
      </c>
    </row>
    <row r="41" spans="1:15" s="296" customFormat="1" x14ac:dyDescent="0.3">
      <c r="A41" s="197">
        <v>40</v>
      </c>
      <c r="B41" s="289" t="s">
        <v>16</v>
      </c>
      <c r="C41" s="290" t="s">
        <v>303</v>
      </c>
      <c r="D41" s="291" t="s">
        <v>18</v>
      </c>
      <c r="E41" s="291" t="s">
        <v>15</v>
      </c>
      <c r="F41" s="292">
        <v>9910</v>
      </c>
      <c r="G41" s="291"/>
      <c r="H41" s="293">
        <v>45875</v>
      </c>
      <c r="I41" s="294">
        <v>440</v>
      </c>
      <c r="J41" s="294"/>
      <c r="K41" s="293">
        <v>45875</v>
      </c>
      <c r="L41" s="295">
        <f>Таблица3758910111415[[#This Row],[OLINGAN NARXI $]]+Таблица3758910111415[[#This Row],[RASXOD]]</f>
        <v>440</v>
      </c>
      <c r="M41" s="294">
        <v>450</v>
      </c>
      <c r="N41" s="294">
        <f>Таблица3758910111415[[#This Row],[SOTILGAN NARXI]]-Таблица3758910111415[[#This Row],[OLINGAN NARXI $]]-Таблица3758910111415[[#This Row],[RASXOD]]</f>
        <v>10</v>
      </c>
      <c r="O41" s="290" t="s">
        <v>1591</v>
      </c>
    </row>
    <row r="42" spans="1:15" s="253" customFormat="1" x14ac:dyDescent="0.3">
      <c r="A42" s="197">
        <v>41</v>
      </c>
      <c r="B42" s="245" t="s">
        <v>16</v>
      </c>
      <c r="C42" s="246" t="s">
        <v>1592</v>
      </c>
      <c r="D42" s="247"/>
      <c r="E42" s="247" t="s">
        <v>15</v>
      </c>
      <c r="F42" s="248">
        <v>353816082300742</v>
      </c>
      <c r="G42" s="247" t="s">
        <v>61</v>
      </c>
      <c r="H42" s="250">
        <v>45875</v>
      </c>
      <c r="I42" s="251">
        <v>70</v>
      </c>
      <c r="J42" s="251"/>
      <c r="K42" s="250">
        <v>45875</v>
      </c>
      <c r="L42" s="252">
        <f>Таблица3[[#This Row],[OLINGAN NARXI $]]+Таблица3[[#This Row],[RASXOD]]</f>
        <v>260</v>
      </c>
      <c r="M42" s="251">
        <v>100</v>
      </c>
      <c r="N42" s="251">
        <v>30</v>
      </c>
      <c r="O42" s="246" t="s">
        <v>1593</v>
      </c>
    </row>
    <row r="43" spans="1:15" s="288" customFormat="1" x14ac:dyDescent="0.3">
      <c r="A43" s="197">
        <v>42</v>
      </c>
      <c r="B43" s="281" t="s">
        <v>16</v>
      </c>
      <c r="C43" s="282" t="s">
        <v>1496</v>
      </c>
      <c r="D43" s="283" t="s">
        <v>187</v>
      </c>
      <c r="E43" s="283" t="s">
        <v>15</v>
      </c>
      <c r="F43" s="284">
        <v>352051688501508</v>
      </c>
      <c r="G43" s="283"/>
      <c r="H43" s="285">
        <v>45856</v>
      </c>
      <c r="I43" s="286">
        <v>380</v>
      </c>
      <c r="J43" s="286"/>
      <c r="K43" s="285">
        <v>45876</v>
      </c>
      <c r="L43" s="287">
        <f>Таблица3[[#This Row],[OLINGAN NARXI $]]+Таблица3[[#This Row],[RASXOD]]</f>
        <v>350</v>
      </c>
      <c r="M43" s="286">
        <v>440</v>
      </c>
      <c r="N43" s="286">
        <v>60</v>
      </c>
      <c r="O43" s="282" t="s">
        <v>1367</v>
      </c>
    </row>
    <row r="44" spans="1:15" s="288" customFormat="1" ht="14.25" customHeight="1" x14ac:dyDescent="0.3">
      <c r="A44" s="197">
        <v>43</v>
      </c>
      <c r="B44" s="281" t="s">
        <v>16</v>
      </c>
      <c r="C44" s="282" t="s">
        <v>106</v>
      </c>
      <c r="D44" s="283" t="s">
        <v>35</v>
      </c>
      <c r="E44" s="283" t="s">
        <v>22</v>
      </c>
      <c r="F44" s="284">
        <v>356057361115470</v>
      </c>
      <c r="G44" s="283" t="s">
        <v>1340</v>
      </c>
      <c r="H44" s="285">
        <v>45801</v>
      </c>
      <c r="I44" s="286">
        <v>180</v>
      </c>
      <c r="J44" s="286">
        <v>15</v>
      </c>
      <c r="K44" s="285">
        <v>45876</v>
      </c>
      <c r="L44" s="287">
        <f>Таблица3[[#This Row],[OLINGAN NARXI $]]+Таблица3[[#This Row],[RASXOD]]</f>
        <v>1000</v>
      </c>
      <c r="M44" s="286">
        <v>250</v>
      </c>
      <c r="N44" s="286">
        <v>55</v>
      </c>
      <c r="O44" s="282" t="s">
        <v>1250</v>
      </c>
    </row>
    <row r="45" spans="1:15" s="288" customFormat="1" x14ac:dyDescent="0.3">
      <c r="A45" s="197">
        <v>44</v>
      </c>
      <c r="B45" s="281" t="s">
        <v>13</v>
      </c>
      <c r="C45" s="282" t="s">
        <v>563</v>
      </c>
      <c r="D45" s="283" t="s">
        <v>21</v>
      </c>
      <c r="E45" s="283" t="s">
        <v>15</v>
      </c>
      <c r="F45" s="284">
        <v>354403350310627</v>
      </c>
      <c r="G45" s="283"/>
      <c r="H45" s="285">
        <v>45856</v>
      </c>
      <c r="I45" s="286">
        <v>390</v>
      </c>
      <c r="J45" s="286"/>
      <c r="K45" s="285">
        <v>45877</v>
      </c>
      <c r="L45" s="287">
        <f>Таблица3[[#This Row],[OLINGAN NARXI $]]+Таблица3[[#This Row],[RASXOD]]</f>
        <v>865</v>
      </c>
      <c r="M45" s="286">
        <v>440</v>
      </c>
      <c r="N45" s="286">
        <v>50</v>
      </c>
      <c r="O45" s="282" t="s">
        <v>1367</v>
      </c>
    </row>
    <row r="46" spans="1:15" s="288" customFormat="1" x14ac:dyDescent="0.3">
      <c r="A46" s="197">
        <v>45</v>
      </c>
      <c r="B46" s="281" t="s">
        <v>16</v>
      </c>
      <c r="C46" s="282" t="s">
        <v>83</v>
      </c>
      <c r="D46" s="283" t="s">
        <v>65</v>
      </c>
      <c r="E46" s="283" t="s">
        <v>15</v>
      </c>
      <c r="F46" s="284">
        <v>350165055404450</v>
      </c>
      <c r="G46" s="283" t="s">
        <v>98</v>
      </c>
      <c r="H46" s="285">
        <v>45863</v>
      </c>
      <c r="I46" s="286">
        <v>400</v>
      </c>
      <c r="J46" s="286"/>
      <c r="K46" s="285">
        <v>45877</v>
      </c>
      <c r="L46" s="287">
        <f>Таблица3[[#This Row],[OLINGAN NARXI $]]+Таблица3[[#This Row],[RASXOD]]</f>
        <v>145</v>
      </c>
      <c r="M46" s="286">
        <v>500</v>
      </c>
      <c r="N46" s="286">
        <v>100</v>
      </c>
      <c r="O46" s="282" t="s">
        <v>1524</v>
      </c>
    </row>
    <row r="47" spans="1:15" s="288" customFormat="1" x14ac:dyDescent="0.3">
      <c r="A47" s="197">
        <v>46</v>
      </c>
      <c r="B47" s="281" t="s">
        <v>16</v>
      </c>
      <c r="C47" s="282" t="s">
        <v>1497</v>
      </c>
      <c r="D47" s="283" t="s">
        <v>65</v>
      </c>
      <c r="E47" s="283" t="s">
        <v>15</v>
      </c>
      <c r="F47" s="284">
        <v>350979732489753</v>
      </c>
      <c r="G47" s="283"/>
      <c r="H47" s="285">
        <v>45856</v>
      </c>
      <c r="I47" s="286">
        <v>440</v>
      </c>
      <c r="J47" s="286"/>
      <c r="K47" s="285">
        <v>45877</v>
      </c>
      <c r="L47" s="287">
        <f>Таблица3[[#This Row],[OLINGAN NARXI $]]+Таблица3[[#This Row],[RASXOD]]</f>
        <v>390</v>
      </c>
      <c r="M47" s="286">
        <v>540</v>
      </c>
      <c r="N47" s="286">
        <v>100</v>
      </c>
      <c r="O47" s="282" t="s">
        <v>1367</v>
      </c>
    </row>
    <row r="48" spans="1:15" s="288" customFormat="1" x14ac:dyDescent="0.3">
      <c r="A48" s="197">
        <v>47</v>
      </c>
      <c r="B48" s="281" t="s">
        <v>16</v>
      </c>
      <c r="C48" s="282" t="s">
        <v>1085</v>
      </c>
      <c r="D48" s="283" t="s">
        <v>18</v>
      </c>
      <c r="E48" s="283" t="s">
        <v>15</v>
      </c>
      <c r="F48" s="284">
        <v>356455102918956</v>
      </c>
      <c r="G48" s="283" t="s">
        <v>203</v>
      </c>
      <c r="H48" s="285">
        <v>45877</v>
      </c>
      <c r="I48" s="286">
        <v>100</v>
      </c>
      <c r="J48" s="286"/>
      <c r="K48" s="285">
        <v>45878</v>
      </c>
      <c r="L48" s="287">
        <f>Таблица3[[#This Row],[OLINGAN NARXI $]]+Таблица3[[#This Row],[RASXOD]]</f>
        <v>63</v>
      </c>
      <c r="M48" s="286">
        <v>156</v>
      </c>
      <c r="N48" s="286">
        <v>56</v>
      </c>
      <c r="O48" s="282" t="s">
        <v>1597</v>
      </c>
    </row>
    <row r="49" spans="1:15" s="288" customFormat="1" x14ac:dyDescent="0.3">
      <c r="A49" s="197">
        <v>48</v>
      </c>
      <c r="B49" s="281" t="s">
        <v>16</v>
      </c>
      <c r="C49" s="282" t="s">
        <v>1567</v>
      </c>
      <c r="D49" s="283" t="s">
        <v>187</v>
      </c>
      <c r="E49" s="283" t="s">
        <v>15</v>
      </c>
      <c r="F49" s="284">
        <v>357358093858273</v>
      </c>
      <c r="G49" s="283"/>
      <c r="H49" s="285">
        <v>45871</v>
      </c>
      <c r="I49" s="286">
        <v>110</v>
      </c>
      <c r="J49" s="286"/>
      <c r="K49" s="285">
        <v>45878</v>
      </c>
      <c r="L49" s="287">
        <f>Таблица3[[#This Row],[OLINGAN NARXI $]]+Таблица3[[#This Row],[RASXOD]]</f>
        <v>60</v>
      </c>
      <c r="M49" s="286">
        <v>160</v>
      </c>
      <c r="N49" s="286">
        <v>50</v>
      </c>
      <c r="O49" s="282" t="s">
        <v>262</v>
      </c>
    </row>
    <row r="50" spans="1:15" s="288" customFormat="1" x14ac:dyDescent="0.3">
      <c r="A50" s="197">
        <v>49</v>
      </c>
      <c r="B50" s="281" t="s">
        <v>16</v>
      </c>
      <c r="C50" s="282" t="s">
        <v>88</v>
      </c>
      <c r="D50" s="283" t="s">
        <v>89</v>
      </c>
      <c r="E50" s="283" t="s">
        <v>15</v>
      </c>
      <c r="F50" s="284">
        <v>351843197127770</v>
      </c>
      <c r="G50" s="283"/>
      <c r="H50" s="285">
        <v>45876</v>
      </c>
      <c r="I50" s="286">
        <v>340</v>
      </c>
      <c r="J50" s="286"/>
      <c r="K50" s="285">
        <v>45878</v>
      </c>
      <c r="L50" s="287">
        <f>Таблица3[[#This Row],[OLINGAN NARXI $]]+Таблица3[[#This Row],[RASXOD]]</f>
        <v>120</v>
      </c>
      <c r="M50" s="286">
        <v>370</v>
      </c>
      <c r="N50" s="286">
        <v>30</v>
      </c>
      <c r="O50" s="282" t="s">
        <v>262</v>
      </c>
    </row>
    <row r="51" spans="1:15" s="296" customFormat="1" x14ac:dyDescent="0.3">
      <c r="A51" s="197">
        <v>50</v>
      </c>
      <c r="B51" s="289" t="s">
        <v>16</v>
      </c>
      <c r="C51" s="290" t="s">
        <v>418</v>
      </c>
      <c r="D51" s="291" t="s">
        <v>18</v>
      </c>
      <c r="E51" s="291" t="s">
        <v>15</v>
      </c>
      <c r="F51" s="292">
        <v>350903432695600</v>
      </c>
      <c r="G51" s="291"/>
      <c r="H51" s="293">
        <v>45793</v>
      </c>
      <c r="I51" s="294">
        <v>865</v>
      </c>
      <c r="J51" s="294">
        <v>19.3</v>
      </c>
      <c r="K51" s="293">
        <v>45878</v>
      </c>
      <c r="L51" s="295">
        <f>Таблица3[[#This Row],[OLINGAN NARXI $]]+Таблица3[[#This Row],[RASXOD]]</f>
        <v>380</v>
      </c>
      <c r="M51" s="294">
        <v>950</v>
      </c>
      <c r="N51" s="294">
        <v>65.7</v>
      </c>
      <c r="O51" s="290" t="s">
        <v>147</v>
      </c>
    </row>
    <row r="52" spans="1:15" s="288" customFormat="1" x14ac:dyDescent="0.3">
      <c r="A52" s="197">
        <v>51</v>
      </c>
      <c r="B52" s="281" t="s">
        <v>207</v>
      </c>
      <c r="C52" s="282" t="s">
        <v>1517</v>
      </c>
      <c r="D52" s="283" t="s">
        <v>21</v>
      </c>
      <c r="E52" s="283" t="s">
        <v>15</v>
      </c>
      <c r="F52" s="284"/>
      <c r="G52" s="283"/>
      <c r="H52" s="285">
        <v>45862</v>
      </c>
      <c r="I52" s="286">
        <v>80</v>
      </c>
      <c r="J52" s="286"/>
      <c r="K52" s="285">
        <v>45878</v>
      </c>
      <c r="L52" s="287">
        <f>Таблица3[[#This Row],[OLINGAN NARXI $]]+Таблица3[[#This Row],[RASXOD]]</f>
        <v>635</v>
      </c>
      <c r="M52" s="286">
        <v>120</v>
      </c>
      <c r="N52" s="286">
        <v>40</v>
      </c>
      <c r="O52" s="282" t="s">
        <v>1518</v>
      </c>
    </row>
    <row r="53" spans="1:15" s="288" customFormat="1" x14ac:dyDescent="0.3">
      <c r="A53" s="197">
        <v>52</v>
      </c>
      <c r="B53" s="281" t="s">
        <v>16</v>
      </c>
      <c r="C53" s="282" t="s">
        <v>25</v>
      </c>
      <c r="D53" s="283" t="s">
        <v>26</v>
      </c>
      <c r="E53" s="283" t="s">
        <v>22</v>
      </c>
      <c r="F53" s="284">
        <v>350069701610538</v>
      </c>
      <c r="G53" s="283"/>
      <c r="H53" s="285">
        <v>45869</v>
      </c>
      <c r="I53" s="286">
        <v>850</v>
      </c>
      <c r="J53" s="286"/>
      <c r="K53" s="285">
        <v>45879</v>
      </c>
      <c r="L53" s="287">
        <f>Таблица3[[#This Row],[OLINGAN NARXI $]]+Таблица3[[#This Row],[RASXOD]]</f>
        <v>1185</v>
      </c>
      <c r="M53" s="286">
        <v>930</v>
      </c>
      <c r="N53" s="286">
        <v>80</v>
      </c>
      <c r="O53" s="282">
        <v>900780990</v>
      </c>
    </row>
    <row r="54" spans="1:15" s="253" customFormat="1" x14ac:dyDescent="0.3">
      <c r="A54" s="197">
        <v>53</v>
      </c>
      <c r="B54" s="245" t="s">
        <v>16</v>
      </c>
      <c r="C54" s="246" t="s">
        <v>152</v>
      </c>
      <c r="D54" s="247" t="s">
        <v>26</v>
      </c>
      <c r="E54" s="247" t="s">
        <v>22</v>
      </c>
      <c r="F54" s="248">
        <v>357275791881912</v>
      </c>
      <c r="G54" s="247"/>
      <c r="H54" s="250">
        <v>45876</v>
      </c>
      <c r="I54" s="251">
        <v>780</v>
      </c>
      <c r="J54" s="251"/>
      <c r="K54" s="250">
        <v>45879</v>
      </c>
      <c r="L54" s="252">
        <f>Таблица3[[#This Row],[OLINGAN NARXI $]]+Таблица3[[#This Row],[RASXOD]]</f>
        <v>156</v>
      </c>
      <c r="M54" s="251">
        <v>850</v>
      </c>
      <c r="N54" s="251">
        <v>70</v>
      </c>
      <c r="O54" s="246" t="s">
        <v>1594</v>
      </c>
    </row>
    <row r="55" spans="1:15" s="304" customFormat="1" x14ac:dyDescent="0.3">
      <c r="A55" s="197">
        <v>54</v>
      </c>
      <c r="B55" s="197" t="s">
        <v>16</v>
      </c>
      <c r="C55" s="297" t="s">
        <v>1084</v>
      </c>
      <c r="D55" s="197" t="s">
        <v>21</v>
      </c>
      <c r="E55" s="298" t="s">
        <v>22</v>
      </c>
      <c r="F55" s="299">
        <v>351901546298732</v>
      </c>
      <c r="G55" s="197"/>
      <c r="H55" s="300">
        <v>45842</v>
      </c>
      <c r="I55" s="301">
        <v>620</v>
      </c>
      <c r="J55" s="301"/>
      <c r="K55" s="300">
        <v>45876</v>
      </c>
      <c r="L55" s="303">
        <v>620</v>
      </c>
      <c r="M55" s="301">
        <v>700</v>
      </c>
      <c r="N55" s="301">
        <v>40</v>
      </c>
      <c r="O55" s="297" t="s">
        <v>1429</v>
      </c>
    </row>
    <row r="56" spans="1:15" s="304" customFormat="1" x14ac:dyDescent="0.3">
      <c r="A56" s="197">
        <v>55</v>
      </c>
      <c r="B56" s="197" t="s">
        <v>16</v>
      </c>
      <c r="C56" s="297" t="s">
        <v>1083</v>
      </c>
      <c r="D56" s="197" t="s">
        <v>35</v>
      </c>
      <c r="E56" s="298" t="s">
        <v>22</v>
      </c>
      <c r="F56" s="299">
        <v>355960225661038</v>
      </c>
      <c r="G56" s="197" t="s">
        <v>556</v>
      </c>
      <c r="H56" s="300">
        <v>45854</v>
      </c>
      <c r="I56" s="301">
        <v>520</v>
      </c>
      <c r="J56" s="301"/>
      <c r="K56" s="300">
        <v>45876</v>
      </c>
      <c r="L56" s="303">
        <v>520</v>
      </c>
      <c r="M56" s="301">
        <v>600</v>
      </c>
      <c r="N56" s="301">
        <v>40</v>
      </c>
      <c r="O56" s="297" t="s">
        <v>1473</v>
      </c>
    </row>
    <row r="57" spans="1:15" s="304" customFormat="1" x14ac:dyDescent="0.3">
      <c r="A57" s="197">
        <v>56</v>
      </c>
      <c r="B57" s="197" t="s">
        <v>16</v>
      </c>
      <c r="C57" s="297" t="s">
        <v>17</v>
      </c>
      <c r="D57" s="197" t="s">
        <v>97</v>
      </c>
      <c r="E57" s="298" t="s">
        <v>15</v>
      </c>
      <c r="F57" s="299">
        <v>353242103823093</v>
      </c>
      <c r="G57" s="298" t="s">
        <v>61</v>
      </c>
      <c r="H57" s="300">
        <v>45874</v>
      </c>
      <c r="I57" s="301">
        <v>245</v>
      </c>
      <c r="J57" s="301"/>
      <c r="K57" s="300">
        <v>45876</v>
      </c>
      <c r="L57" s="303">
        <v>245</v>
      </c>
      <c r="M57" s="301">
        <v>270</v>
      </c>
      <c r="N57" s="301">
        <v>12.5</v>
      </c>
      <c r="O57" s="297" t="s">
        <v>1585</v>
      </c>
    </row>
    <row r="58" spans="1:15" s="304" customFormat="1" x14ac:dyDescent="0.3">
      <c r="A58" s="197">
        <v>57</v>
      </c>
      <c r="B58" s="197" t="s">
        <v>16</v>
      </c>
      <c r="C58" s="297" t="s">
        <v>1368</v>
      </c>
      <c r="D58" s="197" t="s">
        <v>65</v>
      </c>
      <c r="E58" s="298" t="s">
        <v>22</v>
      </c>
      <c r="F58" s="299">
        <v>356692113187284</v>
      </c>
      <c r="G58" s="197"/>
      <c r="H58" s="300">
        <v>45857</v>
      </c>
      <c r="I58" s="301">
        <v>270</v>
      </c>
      <c r="J58" s="301"/>
      <c r="K58" s="300">
        <v>45879</v>
      </c>
      <c r="L58" s="303">
        <v>270</v>
      </c>
      <c r="M58" s="301">
        <v>320</v>
      </c>
      <c r="N58" s="301">
        <v>25</v>
      </c>
      <c r="O58" s="297" t="s">
        <v>1391</v>
      </c>
    </row>
    <row r="59" spans="1:15" s="304" customFormat="1" x14ac:dyDescent="0.3">
      <c r="A59" s="197">
        <v>58</v>
      </c>
      <c r="B59" s="197" t="s">
        <v>16</v>
      </c>
      <c r="C59" s="297" t="s">
        <v>1368</v>
      </c>
      <c r="D59" s="197" t="s">
        <v>21</v>
      </c>
      <c r="E59" s="298" t="s">
        <v>15</v>
      </c>
      <c r="F59" s="299">
        <v>356691112536194</v>
      </c>
      <c r="G59" s="197"/>
      <c r="H59" s="300">
        <v>45855</v>
      </c>
      <c r="I59" s="301">
        <v>320</v>
      </c>
      <c r="J59" s="301"/>
      <c r="K59" s="300">
        <v>45879</v>
      </c>
      <c r="L59" s="303">
        <v>320</v>
      </c>
      <c r="M59" s="301">
        <v>360</v>
      </c>
      <c r="N59" s="301">
        <v>20</v>
      </c>
      <c r="O59" s="297" t="s">
        <v>1473</v>
      </c>
    </row>
    <row r="60" spans="1:15" s="304" customFormat="1" x14ac:dyDescent="0.3">
      <c r="A60" s="197">
        <v>59</v>
      </c>
      <c r="B60" s="197" t="s">
        <v>16</v>
      </c>
      <c r="C60" s="297" t="s">
        <v>312</v>
      </c>
      <c r="D60" s="197" t="s">
        <v>65</v>
      </c>
      <c r="E60" s="298" t="s">
        <v>15</v>
      </c>
      <c r="F60" s="299">
        <v>356942219826487</v>
      </c>
      <c r="G60" s="298"/>
      <c r="H60" s="300">
        <v>45863</v>
      </c>
      <c r="I60" s="301">
        <v>570</v>
      </c>
      <c r="J60" s="301"/>
      <c r="K60" s="300">
        <v>45879</v>
      </c>
      <c r="L60" s="303">
        <v>570</v>
      </c>
      <c r="M60" s="301">
        <v>620</v>
      </c>
      <c r="N60" s="301">
        <v>25</v>
      </c>
      <c r="O60" s="297" t="s">
        <v>1522</v>
      </c>
    </row>
    <row r="61" spans="1:15" s="253" customFormat="1" x14ac:dyDescent="0.3">
      <c r="A61" s="197">
        <v>60</v>
      </c>
      <c r="B61" s="245" t="s">
        <v>13</v>
      </c>
      <c r="C61" s="246" t="s">
        <v>115</v>
      </c>
      <c r="D61" s="247" t="s">
        <v>21</v>
      </c>
      <c r="E61" s="247" t="s">
        <v>15</v>
      </c>
      <c r="F61" s="248">
        <v>354773800703898</v>
      </c>
      <c r="G61" s="247"/>
      <c r="H61" s="250">
        <v>45876</v>
      </c>
      <c r="I61" s="251">
        <v>210</v>
      </c>
      <c r="J61" s="251"/>
      <c r="K61" s="250">
        <v>45879</v>
      </c>
      <c r="L61" s="252">
        <f>Таблица3[[#This Row],[OLINGAN NARXI $]]+Таблица3[[#This Row],[RASXOD]]</f>
        <v>60</v>
      </c>
      <c r="M61" s="251">
        <v>244</v>
      </c>
      <c r="N61" s="251">
        <v>34</v>
      </c>
      <c r="O61" s="246" t="s">
        <v>19</v>
      </c>
    </row>
    <row r="62" spans="1:15" s="313" customFormat="1" x14ac:dyDescent="0.3">
      <c r="A62" s="197">
        <v>61</v>
      </c>
      <c r="B62" s="306" t="s">
        <v>16</v>
      </c>
      <c r="C62" s="307" t="s">
        <v>448</v>
      </c>
      <c r="D62" s="308" t="s">
        <v>65</v>
      </c>
      <c r="E62" s="308" t="s">
        <v>15</v>
      </c>
      <c r="F62" s="309">
        <v>357171854053459</v>
      </c>
      <c r="G62" s="308"/>
      <c r="H62" s="310">
        <v>45612</v>
      </c>
      <c r="I62" s="311">
        <v>330</v>
      </c>
      <c r="J62" s="311"/>
      <c r="K62" s="310">
        <v>45879</v>
      </c>
      <c r="L62" s="312">
        <f>Таблица3[[#This Row],[OLINGAN NARXI $]]+Таблица3[[#This Row],[RASXOD]]</f>
        <v>172.7</v>
      </c>
      <c r="M62" s="311">
        <v>370</v>
      </c>
      <c r="N62" s="311">
        <v>40</v>
      </c>
      <c r="O62" s="307" t="s">
        <v>447</v>
      </c>
    </row>
    <row r="63" spans="1:15" s="304" customFormat="1" ht="13.5" customHeight="1" x14ac:dyDescent="0.3">
      <c r="A63" s="197">
        <v>62</v>
      </c>
      <c r="B63" s="197" t="s">
        <v>16</v>
      </c>
      <c r="C63" s="297" t="s">
        <v>81</v>
      </c>
      <c r="D63" s="197" t="s">
        <v>65</v>
      </c>
      <c r="E63" s="298" t="s">
        <v>15</v>
      </c>
      <c r="F63" s="299">
        <v>354509713519165</v>
      </c>
      <c r="G63" s="197"/>
      <c r="H63" s="300">
        <v>45854</v>
      </c>
      <c r="I63" s="301">
        <v>450</v>
      </c>
      <c r="J63" s="301"/>
      <c r="K63" s="300">
        <v>45879</v>
      </c>
      <c r="L63" s="303">
        <v>450</v>
      </c>
      <c r="M63" s="301">
        <v>530</v>
      </c>
      <c r="N63" s="301">
        <v>40</v>
      </c>
      <c r="O63" s="297" t="s">
        <v>1473</v>
      </c>
    </row>
    <row r="64" spans="1:15" s="296" customFormat="1" x14ac:dyDescent="0.3">
      <c r="A64" s="197">
        <v>63</v>
      </c>
      <c r="B64" s="289" t="s">
        <v>16</v>
      </c>
      <c r="C64" s="290" t="s">
        <v>111</v>
      </c>
      <c r="D64" s="291" t="s">
        <v>89</v>
      </c>
      <c r="E64" s="291" t="s">
        <v>15</v>
      </c>
      <c r="F64" s="292">
        <v>352922184366267</v>
      </c>
      <c r="G64" s="291"/>
      <c r="H64" s="293">
        <v>45760</v>
      </c>
      <c r="I64" s="294">
        <v>203</v>
      </c>
      <c r="J64" s="294">
        <v>16</v>
      </c>
      <c r="K64" s="293">
        <v>45879</v>
      </c>
      <c r="L64" s="295">
        <f>Таблица3[[#This Row],[OLINGAN NARXI $]]+Таблица3[[#This Row],[RASXOD]]</f>
        <v>164.7</v>
      </c>
      <c r="M64" s="294">
        <v>275</v>
      </c>
      <c r="N64" s="294">
        <v>56</v>
      </c>
      <c r="O64" s="290" t="s">
        <v>147</v>
      </c>
    </row>
    <row r="65" spans="1:15" s="288" customFormat="1" x14ac:dyDescent="0.3">
      <c r="A65" s="197">
        <v>64</v>
      </c>
      <c r="B65" s="281" t="s">
        <v>13</v>
      </c>
      <c r="C65" s="282" t="s">
        <v>1520</v>
      </c>
      <c r="D65" s="283"/>
      <c r="E65" s="283"/>
      <c r="F65" s="284">
        <v>3886</v>
      </c>
      <c r="G65" s="283"/>
      <c r="H65" s="285">
        <v>45862</v>
      </c>
      <c r="I65" s="286">
        <v>27</v>
      </c>
      <c r="J65" s="286"/>
      <c r="K65" s="285">
        <v>45880</v>
      </c>
      <c r="L65" s="287">
        <f>Таблица3[[#This Row],[OLINGAN NARXI $]]+Таблица3[[#This Row],[RASXOD]]</f>
        <v>1100</v>
      </c>
      <c r="M65" s="286">
        <v>58.8</v>
      </c>
      <c r="N65" s="286">
        <v>31.8</v>
      </c>
      <c r="O65" s="282"/>
    </row>
    <row r="66" spans="1:15" s="288" customFormat="1" x14ac:dyDescent="0.3">
      <c r="A66" s="197">
        <v>65</v>
      </c>
      <c r="B66" s="281" t="s">
        <v>16</v>
      </c>
      <c r="C66" s="282" t="s">
        <v>312</v>
      </c>
      <c r="D66" s="283" t="s">
        <v>65</v>
      </c>
      <c r="E66" s="283" t="s">
        <v>22</v>
      </c>
      <c r="F66" s="284">
        <v>350019046165011</v>
      </c>
      <c r="G66" s="283"/>
      <c r="H66" s="285">
        <v>45876</v>
      </c>
      <c r="I66" s="286">
        <v>540</v>
      </c>
      <c r="J66" s="286"/>
      <c r="K66" s="285">
        <v>45880</v>
      </c>
      <c r="L66" s="287">
        <f>Таблица3[[#This Row],[OLINGAN NARXI $]]+Таблица3[[#This Row],[RASXOD]]</f>
        <v>1200</v>
      </c>
      <c r="M66" s="286">
        <v>600</v>
      </c>
      <c r="N66" s="286">
        <v>60</v>
      </c>
      <c r="O66" s="282">
        <v>916941737</v>
      </c>
    </row>
    <row r="67" spans="1:15" s="288" customFormat="1" x14ac:dyDescent="0.3">
      <c r="A67" s="197">
        <v>66</v>
      </c>
      <c r="B67" s="281" t="s">
        <v>13</v>
      </c>
      <c r="C67" s="282" t="s">
        <v>117</v>
      </c>
      <c r="D67" s="283" t="s">
        <v>21</v>
      </c>
      <c r="E67" s="283" t="s">
        <v>15</v>
      </c>
      <c r="F67" s="284">
        <v>351424771826044</v>
      </c>
      <c r="G67" s="283"/>
      <c r="H67" s="285">
        <v>45866</v>
      </c>
      <c r="I67" s="286">
        <v>250</v>
      </c>
      <c r="J67" s="286"/>
      <c r="K67" s="285">
        <v>45880</v>
      </c>
      <c r="L67" s="287">
        <f>Таблица3[[#This Row],[OLINGAN NARXI $]]+Таблица3[[#This Row],[RASXOD]]</f>
        <v>210</v>
      </c>
      <c r="M67" s="286">
        <v>298</v>
      </c>
      <c r="N67" s="286">
        <v>48</v>
      </c>
      <c r="O67" s="282" t="s">
        <v>19</v>
      </c>
    </row>
    <row r="68" spans="1:15" s="288" customFormat="1" x14ac:dyDescent="0.3">
      <c r="A68" s="197">
        <v>67</v>
      </c>
      <c r="B68" s="281" t="s">
        <v>13</v>
      </c>
      <c r="C68" s="282" t="s">
        <v>119</v>
      </c>
      <c r="D68" s="283" t="s">
        <v>89</v>
      </c>
      <c r="E68" s="283" t="s">
        <v>15</v>
      </c>
      <c r="F68" s="284">
        <v>350345220638469</v>
      </c>
      <c r="G68" s="283"/>
      <c r="H68" s="285">
        <v>45790</v>
      </c>
      <c r="I68" s="286">
        <v>250</v>
      </c>
      <c r="J68" s="286">
        <v>26</v>
      </c>
      <c r="K68" s="285">
        <v>45880</v>
      </c>
      <c r="L68" s="287">
        <f>Таблица3[[#This Row],[OLINGAN NARXI $]]+Таблица3[[#This Row],[RASXOD]]</f>
        <v>570</v>
      </c>
      <c r="M68" s="286">
        <v>340</v>
      </c>
      <c r="N68" s="286">
        <v>64</v>
      </c>
      <c r="O68" s="282" t="s">
        <v>147</v>
      </c>
    </row>
    <row r="69" spans="1:15" s="253" customFormat="1" x14ac:dyDescent="0.3">
      <c r="A69" s="197">
        <v>68</v>
      </c>
      <c r="B69" s="245" t="s">
        <v>16</v>
      </c>
      <c r="C69" s="246" t="s">
        <v>372</v>
      </c>
      <c r="D69" s="247" t="s">
        <v>45</v>
      </c>
      <c r="E69" s="247" t="s">
        <v>15</v>
      </c>
      <c r="F69" s="248">
        <v>359237633933606</v>
      </c>
      <c r="G69" s="247"/>
      <c r="H69" s="250">
        <v>45879</v>
      </c>
      <c r="I69" s="251">
        <v>390</v>
      </c>
      <c r="J69" s="251"/>
      <c r="K69" s="250">
        <v>45881</v>
      </c>
      <c r="L69" s="252">
        <f>Таблица3[[#This Row],[OLINGAN NARXI $]]+Таблица3[[#This Row],[RASXOD]]</f>
        <v>850</v>
      </c>
      <c r="M69" s="251">
        <v>450</v>
      </c>
      <c r="N69" s="251">
        <v>60</v>
      </c>
      <c r="O69" s="246" t="s">
        <v>1604</v>
      </c>
    </row>
    <row r="70" spans="1:15" s="288" customFormat="1" ht="13.5" customHeight="1" x14ac:dyDescent="0.3">
      <c r="A70" s="197">
        <v>69</v>
      </c>
      <c r="B70" s="281" t="s">
        <v>16</v>
      </c>
      <c r="C70" s="282" t="s">
        <v>1426</v>
      </c>
      <c r="D70" s="283"/>
      <c r="E70" s="283"/>
      <c r="F70" s="284">
        <v>6752</v>
      </c>
      <c r="G70" s="283"/>
      <c r="H70" s="305">
        <v>45881</v>
      </c>
      <c r="I70" s="283">
        <v>20</v>
      </c>
      <c r="J70" s="283"/>
      <c r="K70" s="305">
        <v>45881</v>
      </c>
      <c r="L70" s="287">
        <f>Таблица3758910111415[[#This Row],[OLINGAN NARXI $]]+Таблица3758910111415[[#This Row],[RASXOD]]</f>
        <v>20</v>
      </c>
      <c r="M70" s="283">
        <v>20</v>
      </c>
      <c r="N70" s="286">
        <v>20</v>
      </c>
      <c r="O70" s="282" t="s">
        <v>1608</v>
      </c>
    </row>
    <row r="71" spans="1:15" s="253" customFormat="1" x14ac:dyDescent="0.3">
      <c r="A71" s="197">
        <v>70</v>
      </c>
      <c r="B71" s="245" t="s">
        <v>16</v>
      </c>
      <c r="C71" s="246" t="s">
        <v>42</v>
      </c>
      <c r="D71" s="247" t="s">
        <v>35</v>
      </c>
      <c r="E71" s="247" t="s">
        <v>22</v>
      </c>
      <c r="F71" s="248">
        <v>354064853656641</v>
      </c>
      <c r="G71" s="247" t="s">
        <v>525</v>
      </c>
      <c r="H71" s="250">
        <v>45541</v>
      </c>
      <c r="I71" s="251">
        <v>710</v>
      </c>
      <c r="J71" s="251">
        <v>47</v>
      </c>
      <c r="K71" s="250">
        <v>45881</v>
      </c>
      <c r="L71" s="252">
        <f>Таблица3[[#This Row],[OLINGAN NARXI $]]+Таблица3[[#This Row],[RASXOD]]</f>
        <v>720</v>
      </c>
      <c r="M71" s="251">
        <v>750</v>
      </c>
      <c r="N71" s="251">
        <v>-7</v>
      </c>
      <c r="O71" s="246" t="s">
        <v>44</v>
      </c>
    </row>
    <row r="72" spans="1:15" s="288" customFormat="1" x14ac:dyDescent="0.3">
      <c r="A72" s="197">
        <v>71</v>
      </c>
      <c r="B72" s="281" t="s">
        <v>13</v>
      </c>
      <c r="C72" s="282" t="s">
        <v>563</v>
      </c>
      <c r="D72" s="283" t="s">
        <v>18</v>
      </c>
      <c r="E72" s="283" t="s">
        <v>15</v>
      </c>
      <c r="F72" s="284">
        <v>352958190291875</v>
      </c>
      <c r="G72" s="283"/>
      <c r="H72" s="285">
        <v>45793</v>
      </c>
      <c r="I72" s="286">
        <v>345</v>
      </c>
      <c r="J72" s="286">
        <v>32.700000000000003</v>
      </c>
      <c r="K72" s="285">
        <v>45882</v>
      </c>
      <c r="L72" s="287">
        <f>Таблица3[[#This Row],[OLINGAN NARXI $]]+Таблица3[[#This Row],[RASXOD]]</f>
        <v>464</v>
      </c>
      <c r="M72" s="286">
        <v>450</v>
      </c>
      <c r="N72" s="286">
        <v>72.3</v>
      </c>
      <c r="O72" s="282" t="s">
        <v>147</v>
      </c>
    </row>
    <row r="73" spans="1:15" s="288" customFormat="1" x14ac:dyDescent="0.3">
      <c r="A73" s="197">
        <v>72</v>
      </c>
      <c r="B73" s="281" t="s">
        <v>13</v>
      </c>
      <c r="C73" s="282" t="s">
        <v>115</v>
      </c>
      <c r="D73" s="283" t="s">
        <v>21</v>
      </c>
      <c r="E73" s="283" t="s">
        <v>15</v>
      </c>
      <c r="F73" s="284">
        <v>351376414075142</v>
      </c>
      <c r="G73" s="283"/>
      <c r="H73" s="285">
        <v>45866</v>
      </c>
      <c r="I73" s="286">
        <v>210</v>
      </c>
      <c r="J73" s="286"/>
      <c r="K73" s="285">
        <v>45882</v>
      </c>
      <c r="L73" s="287">
        <f>Таблица3[[#This Row],[OLINGAN NARXI $]]+Таблица3[[#This Row],[RASXOD]]</f>
        <v>330</v>
      </c>
      <c r="M73" s="286">
        <v>245</v>
      </c>
      <c r="N73" s="286">
        <v>35</v>
      </c>
      <c r="O73" s="282" t="s">
        <v>19</v>
      </c>
    </row>
    <row r="74" spans="1:15" s="288" customFormat="1" x14ac:dyDescent="0.3">
      <c r="A74" s="197">
        <v>73</v>
      </c>
      <c r="B74" s="281" t="s">
        <v>16</v>
      </c>
      <c r="C74" s="282" t="s">
        <v>81</v>
      </c>
      <c r="D74" s="283" t="s">
        <v>45</v>
      </c>
      <c r="E74" s="283" t="s">
        <v>15</v>
      </c>
      <c r="F74" s="284">
        <v>359366640540151</v>
      </c>
      <c r="G74" s="283"/>
      <c r="H74" s="285">
        <v>45868</v>
      </c>
      <c r="I74" s="286">
        <v>500</v>
      </c>
      <c r="J74" s="286"/>
      <c r="K74" s="285">
        <v>45882</v>
      </c>
      <c r="L74" s="287">
        <f>Таблица3[[#This Row],[OLINGAN NARXI $]]+Таблица3[[#This Row],[RASXOD]]</f>
        <v>565</v>
      </c>
      <c r="M74" s="286">
        <v>530</v>
      </c>
      <c r="N74" s="286">
        <v>30</v>
      </c>
      <c r="O74" s="282">
        <v>994999655</v>
      </c>
    </row>
    <row r="75" spans="1:15" s="304" customFormat="1" ht="13.5" customHeight="1" x14ac:dyDescent="0.3">
      <c r="A75" s="197">
        <v>74</v>
      </c>
      <c r="B75" s="197" t="s">
        <v>16</v>
      </c>
      <c r="C75" s="297" t="s">
        <v>312</v>
      </c>
      <c r="D75" s="197" t="s">
        <v>18</v>
      </c>
      <c r="E75" s="298" t="s">
        <v>15</v>
      </c>
      <c r="F75" s="299">
        <v>355325323630550</v>
      </c>
      <c r="G75" s="197"/>
      <c r="H75" s="300">
        <v>45839</v>
      </c>
      <c r="I75" s="301">
        <v>500</v>
      </c>
      <c r="J75" s="301"/>
      <c r="K75" s="302">
        <v>45882</v>
      </c>
      <c r="L75" s="303">
        <f>Таблица3758910111415[[#This Row],[OLINGAN NARXI $]]+Таблица3758910111415[[#This Row],[RASXOD]]</f>
        <v>500</v>
      </c>
      <c r="M75" s="298">
        <v>600</v>
      </c>
      <c r="N75" s="301">
        <v>50</v>
      </c>
      <c r="O75" s="297"/>
    </row>
    <row r="76" spans="1:15" s="253" customFormat="1" x14ac:dyDescent="0.3">
      <c r="A76" s="197">
        <v>75</v>
      </c>
      <c r="B76" s="245" t="s">
        <v>16</v>
      </c>
      <c r="C76" s="246" t="s">
        <v>1083</v>
      </c>
      <c r="D76" s="247" t="s">
        <v>35</v>
      </c>
      <c r="E76" s="247" t="s">
        <v>15</v>
      </c>
      <c r="F76" s="248">
        <v>357588208110430</v>
      </c>
      <c r="G76" s="247"/>
      <c r="H76" s="250">
        <v>45789</v>
      </c>
      <c r="I76" s="251">
        <v>480</v>
      </c>
      <c r="J76" s="251">
        <v>26</v>
      </c>
      <c r="K76" s="250">
        <v>45883</v>
      </c>
      <c r="L76" s="252">
        <f>Таблица3[[#This Row],[OLINGAN NARXI $]]+Таблица3[[#This Row],[RASXOD]]</f>
        <v>330</v>
      </c>
      <c r="M76" s="251">
        <v>620</v>
      </c>
      <c r="N76" s="251">
        <v>114</v>
      </c>
      <c r="O76" s="246" t="s">
        <v>147</v>
      </c>
    </row>
    <row r="77" spans="1:15" s="296" customFormat="1" x14ac:dyDescent="0.3">
      <c r="A77" s="197">
        <v>76</v>
      </c>
      <c r="B77" s="289" t="s">
        <v>16</v>
      </c>
      <c r="C77" s="290" t="s">
        <v>30</v>
      </c>
      <c r="D77" s="291" t="s">
        <v>26</v>
      </c>
      <c r="E77" s="291" t="s">
        <v>22</v>
      </c>
      <c r="F77" s="292">
        <v>350814297005704</v>
      </c>
      <c r="G77" s="291"/>
      <c r="H77" s="293">
        <v>45869</v>
      </c>
      <c r="I77" s="294">
        <v>950</v>
      </c>
      <c r="J77" s="294"/>
      <c r="K77" s="293">
        <v>45883</v>
      </c>
      <c r="L77" s="295">
        <f>Таблица3[[#This Row],[OLINGAN NARXI $]]+Таблица3[[#This Row],[RASXOD]]</f>
        <v>160</v>
      </c>
      <c r="M77" s="294">
        <v>986</v>
      </c>
      <c r="N77" s="294">
        <v>36</v>
      </c>
      <c r="O77" s="290" t="s">
        <v>1547</v>
      </c>
    </row>
    <row r="78" spans="1:15" s="296" customFormat="1" ht="13.5" customHeight="1" x14ac:dyDescent="0.3">
      <c r="A78" s="197">
        <v>77</v>
      </c>
      <c r="B78" s="289" t="s">
        <v>16</v>
      </c>
      <c r="C78" s="290" t="s">
        <v>1083</v>
      </c>
      <c r="D78" s="291" t="s">
        <v>35</v>
      </c>
      <c r="E78" s="291" t="s">
        <v>22</v>
      </c>
      <c r="F78" s="292">
        <v>1882</v>
      </c>
      <c r="G78" s="291"/>
      <c r="H78" s="314">
        <v>45883</v>
      </c>
      <c r="I78" s="291">
        <v>630</v>
      </c>
      <c r="J78" s="291"/>
      <c r="K78" s="314">
        <v>45883</v>
      </c>
      <c r="L78" s="295">
        <f>Таблица3758910111415[[#This Row],[OLINGAN NARXI $]]+Таблица3758910111415[[#This Row],[RASXOD]]</f>
        <v>630</v>
      </c>
      <c r="M78" s="291">
        <v>660</v>
      </c>
      <c r="N78" s="294">
        <f>Таблица3758910111415[[#This Row],[SOTILGAN NARXI]]-Таблица3758910111415[[#This Row],[OLINGAN NARXI $]]-Таблица3758910111415[[#This Row],[RASXOD]]</f>
        <v>30</v>
      </c>
      <c r="O78" s="290" t="s">
        <v>1610</v>
      </c>
    </row>
    <row r="79" spans="1:15" s="288" customFormat="1" x14ac:dyDescent="0.3">
      <c r="A79" s="197">
        <v>78</v>
      </c>
      <c r="B79" s="281" t="s">
        <v>16</v>
      </c>
      <c r="C79" s="282" t="s">
        <v>128</v>
      </c>
      <c r="D79" s="283" t="s">
        <v>21</v>
      </c>
      <c r="E79" s="283" t="s">
        <v>15</v>
      </c>
      <c r="F79" s="284">
        <v>351135566796321</v>
      </c>
      <c r="G79" s="283"/>
      <c r="H79" s="285">
        <v>45881</v>
      </c>
      <c r="I79" s="286">
        <v>740</v>
      </c>
      <c r="J79" s="286"/>
      <c r="K79" s="285">
        <v>45884</v>
      </c>
      <c r="L79" s="287">
        <f>Таблица3[[#This Row],[OLINGAN NARXI $]]+Таблица3[[#This Row],[RASXOD]]</f>
        <v>900</v>
      </c>
      <c r="M79" s="286">
        <v>800</v>
      </c>
      <c r="N79" s="286">
        <v>60</v>
      </c>
      <c r="O79" s="282">
        <v>935808282</v>
      </c>
    </row>
    <row r="80" spans="1:15" s="288" customFormat="1" x14ac:dyDescent="0.3">
      <c r="A80" s="197">
        <v>79</v>
      </c>
      <c r="B80" s="281" t="s">
        <v>16</v>
      </c>
      <c r="C80" s="282" t="s">
        <v>128</v>
      </c>
      <c r="D80" s="283" t="s">
        <v>26</v>
      </c>
      <c r="E80" s="283" t="s">
        <v>15</v>
      </c>
      <c r="F80" s="284">
        <v>351080477830720</v>
      </c>
      <c r="G80" s="283"/>
      <c r="H80" s="285">
        <v>45884</v>
      </c>
      <c r="I80" s="286">
        <v>830</v>
      </c>
      <c r="J80" s="286"/>
      <c r="K80" s="285">
        <v>45884</v>
      </c>
      <c r="L80" s="287">
        <f>Таблица3[[#This Row],[OLINGAN NARXI $]]+Таблица3[[#This Row],[RASXOD]]</f>
        <v>700</v>
      </c>
      <c r="M80" s="286">
        <v>850</v>
      </c>
      <c r="N80" s="286">
        <v>20</v>
      </c>
      <c r="O80" s="282" t="s">
        <v>1611</v>
      </c>
    </row>
    <row r="81" spans="1:15" s="288" customFormat="1" x14ac:dyDescent="0.3">
      <c r="A81" s="197">
        <v>80</v>
      </c>
      <c r="B81" s="281" t="s">
        <v>13</v>
      </c>
      <c r="C81" s="282" t="s">
        <v>115</v>
      </c>
      <c r="D81" s="283" t="s">
        <v>830</v>
      </c>
      <c r="E81" s="283" t="s">
        <v>15</v>
      </c>
      <c r="F81" s="284">
        <v>351376418112925</v>
      </c>
      <c r="G81" s="283"/>
      <c r="H81" s="285">
        <v>45872</v>
      </c>
      <c r="I81" s="286">
        <v>210</v>
      </c>
      <c r="J81" s="286"/>
      <c r="K81" s="285">
        <v>45884</v>
      </c>
      <c r="L81" s="287">
        <f>Таблица3[[#This Row],[OLINGAN NARXI $]]+Таблица3[[#This Row],[RASXOD]]</f>
        <v>1080</v>
      </c>
      <c r="M81" s="286">
        <v>245</v>
      </c>
      <c r="N81" s="286">
        <v>35</v>
      </c>
      <c r="O81" s="282" t="s">
        <v>19</v>
      </c>
    </row>
    <row r="82" spans="1:15" s="288" customFormat="1" x14ac:dyDescent="0.3">
      <c r="A82" s="197">
        <v>81</v>
      </c>
      <c r="B82" s="281" t="s">
        <v>13</v>
      </c>
      <c r="C82" s="282" t="s">
        <v>115</v>
      </c>
      <c r="D82" s="283" t="s">
        <v>21</v>
      </c>
      <c r="E82" s="283" t="s">
        <v>15</v>
      </c>
      <c r="F82" s="284">
        <v>354879301769765</v>
      </c>
      <c r="G82" s="283"/>
      <c r="H82" s="285">
        <v>45872</v>
      </c>
      <c r="I82" s="286">
        <v>210</v>
      </c>
      <c r="J82" s="286"/>
      <c r="K82" s="285">
        <v>45884</v>
      </c>
      <c r="L82" s="287">
        <f>Таблица3[[#This Row],[OLINGAN NARXI $]]+Таблица3[[#This Row],[RASXOD]]</f>
        <v>850</v>
      </c>
      <c r="M82" s="286">
        <v>245</v>
      </c>
      <c r="N82" s="286">
        <v>35</v>
      </c>
      <c r="O82" s="282" t="s">
        <v>19</v>
      </c>
    </row>
    <row r="83" spans="1:15" s="288" customFormat="1" x14ac:dyDescent="0.3">
      <c r="A83" s="197">
        <v>82</v>
      </c>
      <c r="B83" s="281" t="s">
        <v>16</v>
      </c>
      <c r="C83" s="282" t="s">
        <v>25</v>
      </c>
      <c r="D83" s="283" t="s">
        <v>26</v>
      </c>
      <c r="E83" s="283" t="s">
        <v>22</v>
      </c>
      <c r="F83" s="284">
        <v>356616947411701</v>
      </c>
      <c r="G83" s="283" t="s">
        <v>1606</v>
      </c>
      <c r="H83" s="285">
        <v>45881</v>
      </c>
      <c r="I83" s="286">
        <v>850</v>
      </c>
      <c r="J83" s="286"/>
      <c r="K83" s="285">
        <v>45884</v>
      </c>
      <c r="L83" s="287">
        <f>Таблица3[[#This Row],[OLINGAN NARXI $]]+Таблица3[[#This Row],[RASXOD]]</f>
        <v>0</v>
      </c>
      <c r="M83" s="286">
        <v>950</v>
      </c>
      <c r="N83" s="286">
        <v>100</v>
      </c>
      <c r="O83" s="282" t="s">
        <v>262</v>
      </c>
    </row>
    <row r="84" spans="1:15" s="288" customFormat="1" x14ac:dyDescent="0.3">
      <c r="A84" s="197">
        <v>83</v>
      </c>
      <c r="B84" s="281" t="s">
        <v>13</v>
      </c>
      <c r="C84" s="282" t="s">
        <v>115</v>
      </c>
      <c r="D84" s="283" t="s">
        <v>21</v>
      </c>
      <c r="E84" s="283" t="s">
        <v>15</v>
      </c>
      <c r="F84" s="284">
        <v>7698</v>
      </c>
      <c r="G84" s="283"/>
      <c r="H84" s="285">
        <v>45876</v>
      </c>
      <c r="I84" s="286">
        <v>210</v>
      </c>
      <c r="J84" s="286"/>
      <c r="K84" s="285">
        <v>45884</v>
      </c>
      <c r="L84" s="287">
        <f>Таблица3[[#This Row],[OLINGAN NARXI $]]+Таблица3[[#This Row],[RASXOD]]</f>
        <v>860</v>
      </c>
      <c r="M84" s="286">
        <v>240</v>
      </c>
      <c r="N84" s="286">
        <v>30</v>
      </c>
      <c r="O84" s="282" t="s">
        <v>19</v>
      </c>
    </row>
    <row r="85" spans="1:15" s="288" customFormat="1" x14ac:dyDescent="0.3">
      <c r="A85" s="197">
        <v>84</v>
      </c>
      <c r="B85" s="281" t="s">
        <v>13</v>
      </c>
      <c r="C85" s="282" t="s">
        <v>115</v>
      </c>
      <c r="D85" s="283" t="s">
        <v>18</v>
      </c>
      <c r="E85" s="283" t="s">
        <v>15</v>
      </c>
      <c r="F85" s="284">
        <v>354773806548206</v>
      </c>
      <c r="G85" s="283"/>
      <c r="H85" s="285">
        <v>45876</v>
      </c>
      <c r="I85" s="286">
        <v>210</v>
      </c>
      <c r="J85" s="286"/>
      <c r="K85" s="285">
        <v>45884</v>
      </c>
      <c r="L85" s="287">
        <f>Таблица3[[#This Row],[OLINGAN NARXI $]]+Таблица3[[#This Row],[RASXOD]]</f>
        <v>427.7</v>
      </c>
      <c r="M85" s="286">
        <v>240</v>
      </c>
      <c r="N85" s="286">
        <v>30</v>
      </c>
      <c r="O85" s="282" t="s">
        <v>19</v>
      </c>
    </row>
    <row r="86" spans="1:15" s="296" customFormat="1" x14ac:dyDescent="0.3">
      <c r="A86" s="197">
        <v>85</v>
      </c>
      <c r="B86" s="289" t="s">
        <v>16</v>
      </c>
      <c r="C86" s="290" t="s">
        <v>312</v>
      </c>
      <c r="D86" s="291" t="s">
        <v>18</v>
      </c>
      <c r="E86" s="291" t="s">
        <v>15</v>
      </c>
      <c r="F86" s="292">
        <v>350750727036697</v>
      </c>
      <c r="G86" s="291"/>
      <c r="H86" s="293">
        <v>45851</v>
      </c>
      <c r="I86" s="294">
        <v>550</v>
      </c>
      <c r="J86" s="294"/>
      <c r="K86" s="293">
        <v>45884</v>
      </c>
      <c r="L86" s="295">
        <f>Таблица3[[#This Row],[OLINGAN NARXI $]]+Таблица3[[#This Row],[RASXOD]]</f>
        <v>560</v>
      </c>
      <c r="M86" s="294">
        <v>610</v>
      </c>
      <c r="N86" s="294">
        <v>60</v>
      </c>
      <c r="O86" s="290" t="s">
        <v>1455</v>
      </c>
    </row>
    <row r="87" spans="1:15" s="288" customFormat="1" x14ac:dyDescent="0.3">
      <c r="A87" s="197">
        <v>86</v>
      </c>
      <c r="B87" s="281" t="s">
        <v>16</v>
      </c>
      <c r="C87" s="282" t="s">
        <v>148</v>
      </c>
      <c r="D87" s="283" t="s">
        <v>21</v>
      </c>
      <c r="E87" s="283" t="s">
        <v>15</v>
      </c>
      <c r="F87" s="284">
        <v>351880152588372</v>
      </c>
      <c r="G87" s="283"/>
      <c r="H87" s="285">
        <v>45576</v>
      </c>
      <c r="I87" s="286">
        <v>340</v>
      </c>
      <c r="J87" s="286">
        <v>9</v>
      </c>
      <c r="K87" s="285">
        <v>45884</v>
      </c>
      <c r="L87" s="287">
        <f>Таблица3[[#This Row],[OLINGAN NARXI $]]+Таблица3[[#This Row],[RASXOD]]</f>
        <v>210</v>
      </c>
      <c r="M87" s="286">
        <v>400</v>
      </c>
      <c r="N87" s="286">
        <v>51</v>
      </c>
      <c r="O87" s="282" t="s">
        <v>156</v>
      </c>
    </row>
    <row r="88" spans="1:15" s="288" customFormat="1" x14ac:dyDescent="0.3">
      <c r="A88" s="197">
        <v>87</v>
      </c>
      <c r="B88" s="281" t="s">
        <v>16</v>
      </c>
      <c r="C88" s="282" t="s">
        <v>148</v>
      </c>
      <c r="D88" s="283" t="s">
        <v>21</v>
      </c>
      <c r="E88" s="283" t="s">
        <v>15</v>
      </c>
      <c r="F88" s="284">
        <v>358611742724752</v>
      </c>
      <c r="G88" s="283"/>
      <c r="H88" s="285">
        <v>45576</v>
      </c>
      <c r="I88" s="286">
        <v>340</v>
      </c>
      <c r="J88" s="286">
        <v>9</v>
      </c>
      <c r="K88" s="285">
        <v>45884</v>
      </c>
      <c r="L88" s="287">
        <f>Таблица3[[#This Row],[OLINGAN NARXI $]]+Таблица3[[#This Row],[RASXOD]]</f>
        <v>210</v>
      </c>
      <c r="M88" s="286">
        <v>400</v>
      </c>
      <c r="N88" s="286">
        <v>51</v>
      </c>
      <c r="O88" s="282" t="s">
        <v>156</v>
      </c>
    </row>
    <row r="89" spans="1:15" s="296" customFormat="1" x14ac:dyDescent="0.3">
      <c r="A89" s="197">
        <v>88</v>
      </c>
      <c r="B89" s="289" t="s">
        <v>13</v>
      </c>
      <c r="C89" s="290" t="s">
        <v>1082</v>
      </c>
      <c r="D89" s="291" t="s">
        <v>45</v>
      </c>
      <c r="E89" s="291" t="s">
        <v>15</v>
      </c>
      <c r="F89" s="292">
        <v>355375100786929</v>
      </c>
      <c r="G89" s="291" t="s">
        <v>556</v>
      </c>
      <c r="H89" s="293">
        <v>45857</v>
      </c>
      <c r="I89" s="294">
        <v>160</v>
      </c>
      <c r="J89" s="294"/>
      <c r="K89" s="293">
        <v>45885</v>
      </c>
      <c r="L89" s="295">
        <f>Таблица3[[#This Row],[OLINGAN NARXI $]]+Таблица3[[#This Row],[RASXOD]]</f>
        <v>775</v>
      </c>
      <c r="M89" s="294">
        <v>230</v>
      </c>
      <c r="N89" s="294">
        <v>70</v>
      </c>
      <c r="O89" s="290"/>
    </row>
    <row r="90" spans="1:15" s="253" customFormat="1" x14ac:dyDescent="0.3">
      <c r="A90" s="197">
        <v>89</v>
      </c>
      <c r="B90" s="245" t="s">
        <v>13</v>
      </c>
      <c r="C90" s="246" t="s">
        <v>1617</v>
      </c>
      <c r="D90" s="247" t="s">
        <v>65</v>
      </c>
      <c r="E90" s="247" t="s">
        <v>15</v>
      </c>
      <c r="F90" s="248">
        <v>352631692258839</v>
      </c>
      <c r="G90" s="247" t="s">
        <v>66</v>
      </c>
      <c r="H90" s="250">
        <v>45884</v>
      </c>
      <c r="I90" s="251">
        <v>50</v>
      </c>
      <c r="J90" s="251"/>
      <c r="K90" s="250">
        <v>45885</v>
      </c>
      <c r="L90" s="252">
        <f>Таблица3[[#This Row],[OLINGAN NARXI $]]+Таблица3[[#This Row],[RASXOD]]</f>
        <v>420</v>
      </c>
      <c r="M90" s="251">
        <v>70</v>
      </c>
      <c r="N90" s="251">
        <v>20</v>
      </c>
      <c r="O90" s="246" t="s">
        <v>1618</v>
      </c>
    </row>
    <row r="91" spans="1:15" s="288" customFormat="1" x14ac:dyDescent="0.3">
      <c r="A91" s="197">
        <v>90</v>
      </c>
      <c r="B91" s="281" t="s">
        <v>16</v>
      </c>
      <c r="C91" s="282" t="s">
        <v>1623</v>
      </c>
      <c r="D91" s="283" t="s">
        <v>65</v>
      </c>
      <c r="E91" s="283" t="s">
        <v>15</v>
      </c>
      <c r="F91" s="284">
        <v>353864165564248</v>
      </c>
      <c r="G91" s="283"/>
      <c r="H91" s="285">
        <v>45885</v>
      </c>
      <c r="I91" s="286">
        <v>670</v>
      </c>
      <c r="J91" s="286"/>
      <c r="K91" s="285">
        <v>45885</v>
      </c>
      <c r="L91" s="287">
        <f>Таблица3[[#This Row],[OLINGAN NARXI $]]+Таблица3[[#This Row],[RASXOD]]</f>
        <v>470</v>
      </c>
      <c r="M91" s="286">
        <v>750</v>
      </c>
      <c r="N91" s="286">
        <v>80</v>
      </c>
      <c r="O91" s="282">
        <v>957909919</v>
      </c>
    </row>
    <row r="92" spans="1:15" s="288" customFormat="1" x14ac:dyDescent="0.3">
      <c r="A92" s="197">
        <v>91</v>
      </c>
      <c r="B92" s="281" t="s">
        <v>16</v>
      </c>
      <c r="C92" s="282" t="s">
        <v>104</v>
      </c>
      <c r="D92" s="283" t="s">
        <v>65</v>
      </c>
      <c r="E92" s="283" t="s">
        <v>22</v>
      </c>
      <c r="F92" s="284">
        <v>353369286606613</v>
      </c>
      <c r="G92" s="283"/>
      <c r="H92" s="285">
        <v>45864</v>
      </c>
      <c r="I92" s="286">
        <v>350</v>
      </c>
      <c r="J92" s="286"/>
      <c r="K92" s="285">
        <v>45885</v>
      </c>
      <c r="L92" s="287">
        <f>Таблица3[[#This Row],[OLINGAN NARXI $]]+Таблица3[[#This Row],[RASXOD]]</f>
        <v>320</v>
      </c>
      <c r="M92" s="286">
        <v>440</v>
      </c>
      <c r="N92" s="286">
        <v>90</v>
      </c>
      <c r="O92" s="282" t="s">
        <v>262</v>
      </c>
    </row>
    <row r="93" spans="1:15" s="288" customFormat="1" x14ac:dyDescent="0.3">
      <c r="A93" s="197">
        <v>92</v>
      </c>
      <c r="B93" s="281" t="s">
        <v>16</v>
      </c>
      <c r="C93" s="282" t="s">
        <v>81</v>
      </c>
      <c r="D93" s="283" t="s">
        <v>18</v>
      </c>
      <c r="E93" s="283" t="s">
        <v>15</v>
      </c>
      <c r="F93" s="284">
        <v>356649151290834</v>
      </c>
      <c r="G93" s="283"/>
      <c r="H93" s="285">
        <v>45882</v>
      </c>
      <c r="I93" s="286">
        <v>470</v>
      </c>
      <c r="J93" s="286"/>
      <c r="K93" s="285">
        <v>45885</v>
      </c>
      <c r="L93" s="287">
        <f>Таблица3[[#This Row],[OLINGAN NARXI $]]+Таблица3[[#This Row],[RASXOD]]</f>
        <v>700</v>
      </c>
      <c r="M93" s="286">
        <v>530</v>
      </c>
      <c r="N93" s="286">
        <v>60</v>
      </c>
      <c r="O93" s="282" t="s">
        <v>1234</v>
      </c>
    </row>
    <row r="94" spans="1:15" s="288" customFormat="1" x14ac:dyDescent="0.3">
      <c r="A94" s="197">
        <v>93</v>
      </c>
      <c r="B94" s="281" t="s">
        <v>16</v>
      </c>
      <c r="C94" s="282" t="s">
        <v>81</v>
      </c>
      <c r="D94" s="283" t="s">
        <v>21</v>
      </c>
      <c r="E94" s="283" t="s">
        <v>22</v>
      </c>
      <c r="F94" s="284">
        <v>359206405121799</v>
      </c>
      <c r="G94" s="283"/>
      <c r="H94" s="285">
        <v>45885</v>
      </c>
      <c r="I94" s="286">
        <v>450</v>
      </c>
      <c r="J94" s="286"/>
      <c r="K94" s="285">
        <v>45885</v>
      </c>
      <c r="L94" s="287">
        <f>Таблица3[[#This Row],[OLINGAN NARXI $]]+Таблица3[[#This Row],[RASXOD]]</f>
        <v>1190</v>
      </c>
      <c r="M94" s="286">
        <v>520</v>
      </c>
      <c r="N94" s="286">
        <v>70</v>
      </c>
      <c r="O94" s="282" t="s">
        <v>1629</v>
      </c>
    </row>
    <row r="95" spans="1:15" s="288" customFormat="1" x14ac:dyDescent="0.3">
      <c r="A95" s="197">
        <v>94</v>
      </c>
      <c r="B95" s="281" t="s">
        <v>16</v>
      </c>
      <c r="C95" s="282" t="s">
        <v>1294</v>
      </c>
      <c r="D95" s="283" t="s">
        <v>21</v>
      </c>
      <c r="E95" s="283" t="s">
        <v>15</v>
      </c>
      <c r="F95" s="284">
        <v>356535324694665</v>
      </c>
      <c r="G95" s="283"/>
      <c r="H95" s="285">
        <v>45809</v>
      </c>
      <c r="I95" s="286">
        <v>450</v>
      </c>
      <c r="J95" s="286"/>
      <c r="K95" s="285">
        <v>45886</v>
      </c>
      <c r="L95" s="287">
        <f>Таблица3[[#This Row],[OLINGAN NARXI $]]+Таблица3[[#This Row],[RASXOD]]</f>
        <v>250</v>
      </c>
      <c r="M95" s="286">
        <v>500</v>
      </c>
      <c r="N95" s="286">
        <v>50</v>
      </c>
      <c r="O95" s="282" t="s">
        <v>262</v>
      </c>
    </row>
    <row r="96" spans="1:15" s="288" customFormat="1" x14ac:dyDescent="0.3">
      <c r="A96" s="197">
        <v>95</v>
      </c>
      <c r="B96" s="281" t="s">
        <v>16</v>
      </c>
      <c r="C96" s="282" t="s">
        <v>1083</v>
      </c>
      <c r="D96" s="283" t="s">
        <v>35</v>
      </c>
      <c r="E96" s="283" t="s">
        <v>22</v>
      </c>
      <c r="F96" s="284">
        <v>351553265841117</v>
      </c>
      <c r="G96" s="283"/>
      <c r="H96" s="285">
        <v>45881</v>
      </c>
      <c r="I96" s="286">
        <v>550</v>
      </c>
      <c r="J96" s="286"/>
      <c r="K96" s="285">
        <v>45886</v>
      </c>
      <c r="L96" s="287">
        <f>Таблица3[[#This Row],[OLINGAN NARXI $]]+Таблица3[[#This Row],[RASXOD]]</f>
        <v>220</v>
      </c>
      <c r="M96" s="286">
        <v>620</v>
      </c>
      <c r="N96" s="286">
        <v>70</v>
      </c>
      <c r="O96" s="282">
        <v>998637666</v>
      </c>
    </row>
    <row r="97" spans="1:15" s="288" customFormat="1" x14ac:dyDescent="0.3">
      <c r="A97" s="197">
        <v>96</v>
      </c>
      <c r="B97" s="281" t="s">
        <v>16</v>
      </c>
      <c r="C97" s="282" t="s">
        <v>1083</v>
      </c>
      <c r="D97" s="283" t="s">
        <v>35</v>
      </c>
      <c r="E97" s="283" t="s">
        <v>15</v>
      </c>
      <c r="F97" s="284">
        <v>356903558280413</v>
      </c>
      <c r="G97" s="283" t="s">
        <v>1541</v>
      </c>
      <c r="H97" s="285">
        <v>45866</v>
      </c>
      <c r="I97" s="286">
        <v>550</v>
      </c>
      <c r="J97" s="286"/>
      <c r="K97" s="285">
        <v>45886</v>
      </c>
      <c r="L97" s="287">
        <f>Таблица3[[#This Row],[OLINGAN NARXI $]]+Таблица3[[#This Row],[RASXOD]]</f>
        <v>575</v>
      </c>
      <c r="M97" s="286">
        <v>610</v>
      </c>
      <c r="N97" s="286">
        <v>60</v>
      </c>
      <c r="O97" s="282" t="s">
        <v>1542</v>
      </c>
    </row>
    <row r="98" spans="1:15" s="288" customFormat="1" x14ac:dyDescent="0.3">
      <c r="A98" s="197">
        <v>97</v>
      </c>
      <c r="B98" s="281" t="s">
        <v>13</v>
      </c>
      <c r="C98" s="282" t="s">
        <v>502</v>
      </c>
      <c r="D98" s="283" t="s">
        <v>18</v>
      </c>
      <c r="E98" s="283" t="s">
        <v>15</v>
      </c>
      <c r="F98" s="284">
        <v>351747952109404</v>
      </c>
      <c r="G98" s="283"/>
      <c r="H98" s="285">
        <v>45872</v>
      </c>
      <c r="I98" s="286">
        <v>490</v>
      </c>
      <c r="J98" s="286"/>
      <c r="K98" s="285">
        <v>45886</v>
      </c>
      <c r="L98" s="287">
        <f>Таблица3[[#This Row],[OLINGAN NARXI $]]+Таблица3[[#This Row],[RASXOD]]</f>
        <v>600</v>
      </c>
      <c r="M98" s="286">
        <v>560</v>
      </c>
      <c r="N98" s="286">
        <v>70</v>
      </c>
      <c r="O98" s="282" t="s">
        <v>19</v>
      </c>
    </row>
    <row r="99" spans="1:15" s="304" customFormat="1" x14ac:dyDescent="0.3">
      <c r="A99" s="197">
        <v>98</v>
      </c>
      <c r="B99" s="197" t="s">
        <v>16</v>
      </c>
      <c r="C99" s="297" t="s">
        <v>25</v>
      </c>
      <c r="D99" s="197" t="s">
        <v>1602</v>
      </c>
      <c r="E99" s="298" t="s">
        <v>22</v>
      </c>
      <c r="F99" s="299">
        <v>359732436669316</v>
      </c>
      <c r="G99" s="298"/>
      <c r="H99" s="300">
        <v>45879</v>
      </c>
      <c r="I99" s="301">
        <v>850</v>
      </c>
      <c r="J99" s="301"/>
      <c r="K99" s="300">
        <v>45887</v>
      </c>
      <c r="L99" s="303">
        <v>850</v>
      </c>
      <c r="M99" s="301">
        <v>900</v>
      </c>
      <c r="N99" s="301">
        <v>25</v>
      </c>
      <c r="O99" s="297" t="s">
        <v>1603</v>
      </c>
    </row>
    <row r="100" spans="1:15" s="304" customFormat="1" x14ac:dyDescent="0.3">
      <c r="A100" s="197">
        <v>99</v>
      </c>
      <c r="B100" s="197" t="s">
        <v>16</v>
      </c>
      <c r="C100" s="297" t="s">
        <v>81</v>
      </c>
      <c r="D100" s="197" t="s">
        <v>21</v>
      </c>
      <c r="E100" s="298" t="s">
        <v>15</v>
      </c>
      <c r="F100" s="299">
        <v>359206402850176</v>
      </c>
      <c r="G100" s="197"/>
      <c r="H100" s="300">
        <v>45853</v>
      </c>
      <c r="I100" s="301">
        <v>420</v>
      </c>
      <c r="J100" s="301"/>
      <c r="K100" s="300">
        <v>45887</v>
      </c>
      <c r="L100" s="303">
        <v>420</v>
      </c>
      <c r="M100" s="301">
        <v>490</v>
      </c>
      <c r="N100" s="301">
        <v>35</v>
      </c>
      <c r="O100" s="297" t="s">
        <v>1470</v>
      </c>
    </row>
    <row r="101" spans="1:15" s="304" customFormat="1" x14ac:dyDescent="0.3">
      <c r="A101" s="197">
        <v>100</v>
      </c>
      <c r="B101" s="197" t="s">
        <v>16</v>
      </c>
      <c r="C101" s="297" t="s">
        <v>303</v>
      </c>
      <c r="D101" s="197" t="s">
        <v>1318</v>
      </c>
      <c r="E101" s="298" t="s">
        <v>22</v>
      </c>
      <c r="F101" s="299">
        <v>355041880172007</v>
      </c>
      <c r="G101" s="197"/>
      <c r="H101" s="300">
        <v>45851</v>
      </c>
      <c r="I101" s="301">
        <v>400</v>
      </c>
      <c r="J101" s="301"/>
      <c r="K101" s="300">
        <v>45887</v>
      </c>
      <c r="L101" s="303">
        <v>400</v>
      </c>
      <c r="M101" s="301">
        <v>460</v>
      </c>
      <c r="N101" s="301">
        <v>30</v>
      </c>
      <c r="O101" s="297" t="s">
        <v>1465</v>
      </c>
    </row>
    <row r="102" spans="1:15" s="304" customFormat="1" x14ac:dyDescent="0.3">
      <c r="A102" s="197">
        <v>101</v>
      </c>
      <c r="B102" s="197" t="s">
        <v>16</v>
      </c>
      <c r="C102" s="297" t="s">
        <v>132</v>
      </c>
      <c r="D102" s="197" t="s">
        <v>35</v>
      </c>
      <c r="E102" s="298" t="s">
        <v>22</v>
      </c>
      <c r="F102" s="299">
        <v>354696400119522</v>
      </c>
      <c r="G102" s="298"/>
      <c r="H102" s="300">
        <v>45874</v>
      </c>
      <c r="I102" s="301">
        <v>245</v>
      </c>
      <c r="J102" s="301"/>
      <c r="K102" s="300">
        <v>45887</v>
      </c>
      <c r="L102" s="303">
        <v>245</v>
      </c>
      <c r="M102" s="301">
        <v>280</v>
      </c>
      <c r="N102" s="301">
        <v>17.5</v>
      </c>
      <c r="O102" s="297" t="s">
        <v>1585</v>
      </c>
    </row>
    <row r="103" spans="1:15" s="288" customFormat="1" x14ac:dyDescent="0.3">
      <c r="A103" s="197">
        <v>102</v>
      </c>
      <c r="B103" s="281" t="s">
        <v>16</v>
      </c>
      <c r="C103" s="282" t="s">
        <v>30</v>
      </c>
      <c r="D103" s="283" t="s">
        <v>26</v>
      </c>
      <c r="E103" s="283" t="s">
        <v>22</v>
      </c>
      <c r="F103" s="284">
        <v>359824379041197</v>
      </c>
      <c r="G103" s="283"/>
      <c r="H103" s="285">
        <v>45868</v>
      </c>
      <c r="I103" s="286">
        <v>920</v>
      </c>
      <c r="J103" s="286"/>
      <c r="K103" s="285">
        <v>45887</v>
      </c>
      <c r="L103" s="287">
        <f>Таблица3[[#This Row],[OLINGAN NARXI $]]+Таблица3[[#This Row],[RASXOD]]</f>
        <v>130</v>
      </c>
      <c r="M103" s="286">
        <v>990</v>
      </c>
      <c r="N103" s="286">
        <v>70</v>
      </c>
      <c r="O103" s="282" t="s">
        <v>262</v>
      </c>
    </row>
    <row r="104" spans="1:15" s="253" customFormat="1" x14ac:dyDescent="0.3">
      <c r="A104" s="197">
        <v>103</v>
      </c>
      <c r="B104" s="245" t="s">
        <v>16</v>
      </c>
      <c r="C104" s="246" t="s">
        <v>312</v>
      </c>
      <c r="D104" s="247" t="s">
        <v>21</v>
      </c>
      <c r="E104" s="247" t="s">
        <v>15</v>
      </c>
      <c r="F104" s="248">
        <v>350167220088820</v>
      </c>
      <c r="G104" s="247"/>
      <c r="H104" s="250">
        <v>45852</v>
      </c>
      <c r="I104" s="251">
        <v>530</v>
      </c>
      <c r="J104" s="251"/>
      <c r="K104" s="250">
        <v>45887</v>
      </c>
      <c r="L104" s="252">
        <f>Таблица3[[#This Row],[OLINGAN NARXI $]]+Таблица3[[#This Row],[RASXOD]]</f>
        <v>650</v>
      </c>
      <c r="M104" s="251">
        <v>650</v>
      </c>
      <c r="N104" s="251">
        <v>120</v>
      </c>
      <c r="O104" s="246"/>
    </row>
    <row r="105" spans="1:15" s="296" customFormat="1" x14ac:dyDescent="0.3">
      <c r="A105" s="197">
        <v>104</v>
      </c>
      <c r="B105" s="289" t="s">
        <v>13</v>
      </c>
      <c r="C105" s="290" t="s">
        <v>502</v>
      </c>
      <c r="D105" s="291" t="s">
        <v>18</v>
      </c>
      <c r="E105" s="291" t="s">
        <v>15</v>
      </c>
      <c r="F105" s="292">
        <v>351747952111772</v>
      </c>
      <c r="G105" s="291"/>
      <c r="H105" s="293">
        <v>45764</v>
      </c>
      <c r="I105" s="294">
        <v>450</v>
      </c>
      <c r="J105" s="294"/>
      <c r="K105" s="293">
        <v>45887</v>
      </c>
      <c r="L105" s="295">
        <f>Таблица3[[#This Row],[OLINGAN NARXI $]]+Таблица3[[#This Row],[RASXOD]]</f>
        <v>600</v>
      </c>
      <c r="M105" s="294">
        <v>570</v>
      </c>
      <c r="N105" s="294">
        <v>120</v>
      </c>
      <c r="O105" s="290" t="s">
        <v>147</v>
      </c>
    </row>
    <row r="106" spans="1:15" s="296" customFormat="1" x14ac:dyDescent="0.3">
      <c r="A106" s="197">
        <v>105</v>
      </c>
      <c r="B106" s="289" t="s">
        <v>16</v>
      </c>
      <c r="C106" s="290" t="s">
        <v>74</v>
      </c>
      <c r="D106" s="291" t="s">
        <v>21</v>
      </c>
      <c r="E106" s="291" t="s">
        <v>15</v>
      </c>
      <c r="F106" s="292">
        <v>353730794162375</v>
      </c>
      <c r="G106" s="291" t="s">
        <v>181</v>
      </c>
      <c r="H106" s="293">
        <v>45868</v>
      </c>
      <c r="I106" s="294">
        <v>380</v>
      </c>
      <c r="J106" s="294"/>
      <c r="K106" s="293">
        <v>45887</v>
      </c>
      <c r="L106" s="295">
        <f>Таблица3[[#This Row],[OLINGAN NARXI $]]+Таблица3[[#This Row],[RASXOD]]</f>
        <v>410</v>
      </c>
      <c r="M106" s="294">
        <v>508</v>
      </c>
      <c r="N106" s="294">
        <v>128</v>
      </c>
      <c r="O106" s="290" t="s">
        <v>262</v>
      </c>
    </row>
    <row r="107" spans="1:15" s="296" customFormat="1" x14ac:dyDescent="0.3">
      <c r="A107" s="197">
        <v>106</v>
      </c>
      <c r="B107" s="289" t="s">
        <v>16</v>
      </c>
      <c r="C107" s="290" t="s">
        <v>1294</v>
      </c>
      <c r="D107" s="291" t="s">
        <v>21</v>
      </c>
      <c r="E107" s="291" t="s">
        <v>15</v>
      </c>
      <c r="F107" s="292">
        <v>356300793579719</v>
      </c>
      <c r="G107" s="291"/>
      <c r="H107" s="293">
        <v>45833</v>
      </c>
      <c r="I107" s="294">
        <v>480</v>
      </c>
      <c r="J107" s="294"/>
      <c r="K107" s="293">
        <v>45887</v>
      </c>
      <c r="L107" s="295">
        <f>Таблица3[[#This Row],[OLINGAN NARXI $]]+Таблица3[[#This Row],[RASXOD]]</f>
        <v>202.31</v>
      </c>
      <c r="M107" s="294">
        <v>480</v>
      </c>
      <c r="N107" s="294">
        <v>0</v>
      </c>
      <c r="O107" s="290" t="s">
        <v>262</v>
      </c>
    </row>
    <row r="108" spans="1:15" s="253" customFormat="1" x14ac:dyDescent="0.3">
      <c r="A108" s="197">
        <v>107</v>
      </c>
      <c r="B108" s="245" t="s">
        <v>207</v>
      </c>
      <c r="C108" s="246" t="s">
        <v>1360</v>
      </c>
      <c r="D108" s="247" t="s">
        <v>1070</v>
      </c>
      <c r="E108" s="247"/>
      <c r="F108" s="248"/>
      <c r="G108" s="247"/>
      <c r="H108" s="250">
        <v>45825</v>
      </c>
      <c r="I108" s="251">
        <v>110</v>
      </c>
      <c r="J108" s="251"/>
      <c r="K108" s="250">
        <v>45887</v>
      </c>
      <c r="L108" s="252">
        <f>Таблица3[[#This Row],[OLINGAN NARXI $]]+Таблица3[[#This Row],[RASXOD]]</f>
        <v>212.24</v>
      </c>
      <c r="M108" s="251">
        <v>180</v>
      </c>
      <c r="N108" s="251">
        <v>70</v>
      </c>
      <c r="O108" s="246"/>
    </row>
    <row r="109" spans="1:15" s="253" customFormat="1" x14ac:dyDescent="0.3">
      <c r="A109" s="197">
        <v>108</v>
      </c>
      <c r="B109" s="245" t="s">
        <v>16</v>
      </c>
      <c r="C109" s="246" t="s">
        <v>81</v>
      </c>
      <c r="D109" s="247" t="s">
        <v>18</v>
      </c>
      <c r="E109" s="247" t="s">
        <v>22</v>
      </c>
      <c r="F109" s="248">
        <v>355224382732805</v>
      </c>
      <c r="G109" s="247"/>
      <c r="H109" s="250">
        <v>45612</v>
      </c>
      <c r="I109" s="251">
        <v>480</v>
      </c>
      <c r="J109" s="251"/>
      <c r="K109" s="250">
        <v>45888</v>
      </c>
      <c r="L109" s="252">
        <f>Таблица3[[#This Row],[OLINGAN NARXI $]]+Таблица3[[#This Row],[RASXOD]]</f>
        <v>920</v>
      </c>
      <c r="M109" s="251">
        <v>520</v>
      </c>
      <c r="N109" s="251">
        <v>40</v>
      </c>
      <c r="O109" s="246"/>
    </row>
    <row r="110" spans="1:15" s="288" customFormat="1" x14ac:dyDescent="0.3">
      <c r="A110" s="197">
        <v>109</v>
      </c>
      <c r="B110" s="281" t="s">
        <v>1077</v>
      </c>
      <c r="C110" s="282" t="s">
        <v>1624</v>
      </c>
      <c r="D110" s="283" t="s">
        <v>21</v>
      </c>
      <c r="E110" s="283" t="s">
        <v>15</v>
      </c>
      <c r="F110" s="284">
        <v>861312045654834</v>
      </c>
      <c r="G110" s="283"/>
      <c r="H110" s="285">
        <v>45885</v>
      </c>
      <c r="I110" s="286">
        <v>31.5</v>
      </c>
      <c r="J110" s="286"/>
      <c r="K110" s="285">
        <v>45888</v>
      </c>
      <c r="L110" s="287">
        <f>Таблица3[[#This Row],[OLINGAN NARXI $]]+Таблица3[[#This Row],[RASXOD]]</f>
        <v>900</v>
      </c>
      <c r="M110" s="286">
        <v>59</v>
      </c>
      <c r="N110" s="286">
        <v>27.5</v>
      </c>
      <c r="O110" s="282" t="s">
        <v>1625</v>
      </c>
    </row>
    <row r="111" spans="1:15" s="288" customFormat="1" x14ac:dyDescent="0.3">
      <c r="A111" s="197">
        <v>110</v>
      </c>
      <c r="B111" s="281" t="s">
        <v>16</v>
      </c>
      <c r="C111" s="282" t="s">
        <v>74</v>
      </c>
      <c r="D111" s="283" t="s">
        <v>18</v>
      </c>
      <c r="E111" s="283" t="s">
        <v>15</v>
      </c>
      <c r="F111" s="284">
        <v>358267715160746</v>
      </c>
      <c r="G111" s="283"/>
      <c r="H111" s="285">
        <v>45575</v>
      </c>
      <c r="I111" s="286">
        <v>570</v>
      </c>
      <c r="J111" s="286">
        <v>9</v>
      </c>
      <c r="K111" s="285">
        <v>45888</v>
      </c>
      <c r="L111" s="287">
        <f>Таблица3[[#This Row],[OLINGAN NARXI $]]+Таблица3[[#This Row],[RASXOD]]</f>
        <v>850</v>
      </c>
      <c r="M111" s="286">
        <v>630</v>
      </c>
      <c r="N111" s="286">
        <v>51</v>
      </c>
      <c r="O111" s="282" t="s">
        <v>147</v>
      </c>
    </row>
    <row r="112" spans="1:15" s="288" customFormat="1" x14ac:dyDescent="0.3">
      <c r="A112" s="197">
        <v>111</v>
      </c>
      <c r="B112" s="281" t="s">
        <v>13</v>
      </c>
      <c r="C112" s="282" t="s">
        <v>1626</v>
      </c>
      <c r="D112" s="283" t="s">
        <v>21</v>
      </c>
      <c r="E112" s="283" t="s">
        <v>15</v>
      </c>
      <c r="F112" s="284">
        <v>358692300618156</v>
      </c>
      <c r="G112" s="283"/>
      <c r="H112" s="285">
        <v>45885</v>
      </c>
      <c r="I112" s="286">
        <v>400</v>
      </c>
      <c r="J112" s="286"/>
      <c r="K112" s="285">
        <v>45888</v>
      </c>
      <c r="L112" s="287">
        <f>Таблица3[[#This Row],[OLINGAN NARXI $]]+Таблица3[[#This Row],[RASXOD]]</f>
        <v>500</v>
      </c>
      <c r="M112" s="286">
        <v>440</v>
      </c>
      <c r="N112" s="286">
        <v>40</v>
      </c>
      <c r="O112" s="282" t="s">
        <v>1627</v>
      </c>
    </row>
    <row r="113" spans="1:15" s="288" customFormat="1" x14ac:dyDescent="0.3">
      <c r="A113" s="197">
        <v>112</v>
      </c>
      <c r="B113" s="281" t="s">
        <v>16</v>
      </c>
      <c r="C113" s="282" t="s">
        <v>148</v>
      </c>
      <c r="D113" s="283" t="s">
        <v>65</v>
      </c>
      <c r="E113" s="283" t="s">
        <v>15</v>
      </c>
      <c r="F113" s="284">
        <v>354049342518718</v>
      </c>
      <c r="G113" s="283"/>
      <c r="H113" s="285">
        <v>45576</v>
      </c>
      <c r="I113" s="286">
        <v>340</v>
      </c>
      <c r="J113" s="286">
        <v>9</v>
      </c>
      <c r="K113" s="285">
        <v>45888</v>
      </c>
      <c r="L113" s="287">
        <f>Таблица3[[#This Row],[OLINGAN NARXI $]]+Таблица3[[#This Row],[RASXOD]]</f>
        <v>660</v>
      </c>
      <c r="M113" s="286">
        <v>355</v>
      </c>
      <c r="N113" s="286">
        <v>6</v>
      </c>
      <c r="O113" s="282" t="s">
        <v>156</v>
      </c>
    </row>
    <row r="114" spans="1:15" s="296" customFormat="1" x14ac:dyDescent="0.3">
      <c r="A114" s="197">
        <v>113</v>
      </c>
      <c r="B114" s="289" t="s">
        <v>207</v>
      </c>
      <c r="C114" s="290" t="s">
        <v>1649</v>
      </c>
      <c r="D114" s="291" t="s">
        <v>21</v>
      </c>
      <c r="E114" s="291" t="s">
        <v>15</v>
      </c>
      <c r="F114" s="292"/>
      <c r="G114" s="291"/>
      <c r="H114" s="293">
        <v>45888</v>
      </c>
      <c r="I114" s="294">
        <v>27</v>
      </c>
      <c r="J114" s="294"/>
      <c r="K114" s="293">
        <v>45888</v>
      </c>
      <c r="L114" s="295">
        <f>Таблица3[[#This Row],[OLINGAN NARXI $]]+Таблица3[[#This Row],[RASXOD]]</f>
        <v>640</v>
      </c>
      <c r="M114" s="294">
        <v>31</v>
      </c>
      <c r="N114" s="294">
        <v>4</v>
      </c>
      <c r="O114" s="290">
        <v>200207722</v>
      </c>
    </row>
    <row r="115" spans="1:15" s="296" customFormat="1" x14ac:dyDescent="0.3">
      <c r="A115" s="197">
        <v>114</v>
      </c>
      <c r="B115" s="289" t="s">
        <v>16</v>
      </c>
      <c r="C115" s="290" t="s">
        <v>25</v>
      </c>
      <c r="D115" s="291" t="s">
        <v>26</v>
      </c>
      <c r="E115" s="291" t="s">
        <v>22</v>
      </c>
      <c r="F115" s="292">
        <v>350069703539214</v>
      </c>
      <c r="G115" s="291"/>
      <c r="H115" s="293">
        <v>45888</v>
      </c>
      <c r="I115" s="294">
        <v>955</v>
      </c>
      <c r="J115" s="294"/>
      <c r="K115" s="293">
        <v>45888</v>
      </c>
      <c r="L115" s="295">
        <f>Таблица3[[#This Row],[OLINGAN NARXI $]]+Таблица3[[#This Row],[RASXOD]]</f>
        <v>670</v>
      </c>
      <c r="M115" s="294">
        <v>1000</v>
      </c>
      <c r="N115" s="294">
        <v>45</v>
      </c>
      <c r="O115" s="290" t="s">
        <v>1647</v>
      </c>
    </row>
    <row r="116" spans="1:15" s="304" customFormat="1" x14ac:dyDescent="0.3">
      <c r="A116" s="197">
        <v>115</v>
      </c>
      <c r="B116" s="197" t="s">
        <v>16</v>
      </c>
      <c r="C116" s="297" t="s">
        <v>250</v>
      </c>
      <c r="D116" s="197" t="s">
        <v>18</v>
      </c>
      <c r="E116" s="298" t="s">
        <v>15</v>
      </c>
      <c r="F116" s="299">
        <v>353042096141358</v>
      </c>
      <c r="G116" s="298"/>
      <c r="H116" s="300">
        <v>45887</v>
      </c>
      <c r="I116" s="301">
        <v>130</v>
      </c>
      <c r="J116" s="301"/>
      <c r="K116" s="300">
        <v>45889</v>
      </c>
      <c r="L116" s="303">
        <v>130</v>
      </c>
      <c r="M116" s="301">
        <v>198.8</v>
      </c>
      <c r="N116" s="301">
        <v>34.4</v>
      </c>
      <c r="O116" s="297" t="s">
        <v>1636</v>
      </c>
    </row>
    <row r="117" spans="1:15" s="304" customFormat="1" x14ac:dyDescent="0.3">
      <c r="A117" s="197">
        <v>116</v>
      </c>
      <c r="B117" s="197" t="s">
        <v>16</v>
      </c>
      <c r="C117" s="297" t="s">
        <v>88</v>
      </c>
      <c r="D117" s="197" t="s">
        <v>21</v>
      </c>
      <c r="E117" s="298" t="s">
        <v>15</v>
      </c>
      <c r="F117" s="299">
        <v>351044639024861</v>
      </c>
      <c r="G117" s="298"/>
      <c r="H117" s="300">
        <v>45863</v>
      </c>
      <c r="I117" s="301">
        <v>330</v>
      </c>
      <c r="J117" s="301"/>
      <c r="K117" s="300">
        <v>45889</v>
      </c>
      <c r="L117" s="303">
        <v>330</v>
      </c>
      <c r="M117" s="301">
        <v>400</v>
      </c>
      <c r="N117" s="301">
        <v>35</v>
      </c>
      <c r="O117" s="297" t="s">
        <v>1523</v>
      </c>
    </row>
    <row r="118" spans="1:15" s="288" customFormat="1" x14ac:dyDescent="0.3">
      <c r="A118" s="197">
        <v>117</v>
      </c>
      <c r="B118" s="281" t="s">
        <v>13</v>
      </c>
      <c r="C118" s="282" t="s">
        <v>563</v>
      </c>
      <c r="D118" s="283" t="s">
        <v>21</v>
      </c>
      <c r="E118" s="283" t="s">
        <v>15</v>
      </c>
      <c r="F118" s="284">
        <v>351562314960232</v>
      </c>
      <c r="G118" s="283"/>
      <c r="H118" s="285">
        <v>45778</v>
      </c>
      <c r="I118" s="286">
        <v>355</v>
      </c>
      <c r="J118" s="286"/>
      <c r="K118" s="285">
        <v>45889</v>
      </c>
      <c r="L118" s="287">
        <f>Таблица3[[#This Row],[OLINGAN NARXI $]]+Таблица3[[#This Row],[RASXOD]]</f>
        <v>32</v>
      </c>
      <c r="M118" s="286">
        <v>440</v>
      </c>
      <c r="N118" s="286">
        <v>85</v>
      </c>
      <c r="O118" s="282" t="s">
        <v>19</v>
      </c>
    </row>
    <row r="119" spans="1:15" s="288" customFormat="1" x14ac:dyDescent="0.3">
      <c r="A119" s="197">
        <v>118</v>
      </c>
      <c r="B119" s="281" t="s">
        <v>13</v>
      </c>
      <c r="C119" s="282" t="s">
        <v>565</v>
      </c>
      <c r="D119" s="283" t="s">
        <v>97</v>
      </c>
      <c r="E119" s="283" t="s">
        <v>15</v>
      </c>
      <c r="F119" s="284">
        <v>353424470495347</v>
      </c>
      <c r="G119" s="283"/>
      <c r="H119" s="285">
        <v>45794</v>
      </c>
      <c r="I119" s="286">
        <v>345</v>
      </c>
      <c r="J119" s="286"/>
      <c r="K119" s="285">
        <v>45889</v>
      </c>
      <c r="L119" s="287">
        <f>Таблица3[[#This Row],[OLINGAN NARXI $]]+Таблица3[[#This Row],[RASXOD]]</f>
        <v>585</v>
      </c>
      <c r="M119" s="286">
        <v>466</v>
      </c>
      <c r="N119" s="286">
        <v>121</v>
      </c>
      <c r="O119" s="282" t="s">
        <v>147</v>
      </c>
    </row>
    <row r="120" spans="1:15" s="288" customFormat="1" x14ac:dyDescent="0.3">
      <c r="A120" s="197">
        <v>119</v>
      </c>
      <c r="B120" s="281" t="s">
        <v>16</v>
      </c>
      <c r="C120" s="282" t="s">
        <v>1000</v>
      </c>
      <c r="D120" s="283" t="s">
        <v>583</v>
      </c>
      <c r="E120" s="283" t="s">
        <v>22</v>
      </c>
      <c r="F120" s="284">
        <v>351486003161045</v>
      </c>
      <c r="G120" s="283"/>
      <c r="H120" s="285">
        <v>45862</v>
      </c>
      <c r="I120" s="286">
        <v>1230</v>
      </c>
      <c r="J120" s="286"/>
      <c r="K120" s="285">
        <v>45889</v>
      </c>
      <c r="L120" s="287">
        <f>Таблица3[[#This Row],[OLINGAN NARXI $]]+Таблица3[[#This Row],[RASXOD]]</f>
        <v>190</v>
      </c>
      <c r="M120" s="286">
        <v>1260</v>
      </c>
      <c r="N120" s="286">
        <v>30</v>
      </c>
      <c r="O120" s="282" t="s">
        <v>1516</v>
      </c>
    </row>
    <row r="121" spans="1:15" s="253" customFormat="1" x14ac:dyDescent="0.3">
      <c r="A121" s="197">
        <v>120</v>
      </c>
      <c r="B121" s="245" t="s">
        <v>13</v>
      </c>
      <c r="C121" s="246" t="s">
        <v>115</v>
      </c>
      <c r="D121" s="247" t="s">
        <v>35</v>
      </c>
      <c r="E121" s="247" t="s">
        <v>15</v>
      </c>
      <c r="F121" s="248">
        <v>354773801222443</v>
      </c>
      <c r="G121" s="247"/>
      <c r="H121" s="250">
        <v>45872</v>
      </c>
      <c r="I121" s="251">
        <v>210</v>
      </c>
      <c r="J121" s="251"/>
      <c r="K121" s="250">
        <v>45889</v>
      </c>
      <c r="L121" s="252">
        <f>Таблица3[[#This Row],[OLINGAN NARXI $]]+Таблица3[[#This Row],[RASXOD]]</f>
        <v>990</v>
      </c>
      <c r="M121" s="251">
        <v>244</v>
      </c>
      <c r="N121" s="251">
        <v>34</v>
      </c>
      <c r="O121" s="246" t="s">
        <v>19</v>
      </c>
    </row>
    <row r="122" spans="1:15" s="296" customFormat="1" x14ac:dyDescent="0.3">
      <c r="A122" s="197">
        <v>121</v>
      </c>
      <c r="B122" s="289" t="s">
        <v>16</v>
      </c>
      <c r="C122" s="290" t="s">
        <v>1000</v>
      </c>
      <c r="D122" s="291" t="s">
        <v>583</v>
      </c>
      <c r="E122" s="291" t="s">
        <v>22</v>
      </c>
      <c r="F122" s="292">
        <v>359476733764285</v>
      </c>
      <c r="G122" s="291"/>
      <c r="H122" s="293">
        <v>45859</v>
      </c>
      <c r="I122" s="294">
        <v>1240</v>
      </c>
      <c r="J122" s="294"/>
      <c r="K122" s="293">
        <v>45889</v>
      </c>
      <c r="L122" s="295">
        <f>Таблица3[[#This Row],[OLINGAN NARXI $]]+Таблица3[[#This Row],[RASXOD]]</f>
        <v>560</v>
      </c>
      <c r="M122" s="294">
        <v>1280</v>
      </c>
      <c r="N122" s="294">
        <v>40</v>
      </c>
      <c r="O122" s="290" t="s">
        <v>1505</v>
      </c>
    </row>
    <row r="123" spans="1:15" s="288" customFormat="1" x14ac:dyDescent="0.3">
      <c r="A123" s="197">
        <v>122</v>
      </c>
      <c r="B123" s="281" t="s">
        <v>16</v>
      </c>
      <c r="C123" s="282" t="s">
        <v>25</v>
      </c>
      <c r="D123" s="283" t="s">
        <v>26</v>
      </c>
      <c r="E123" s="283" t="s">
        <v>22</v>
      </c>
      <c r="F123" s="284">
        <v>351182297427321</v>
      </c>
      <c r="G123" s="283"/>
      <c r="H123" s="285">
        <v>45889</v>
      </c>
      <c r="I123" s="286">
        <v>835</v>
      </c>
      <c r="J123" s="286"/>
      <c r="K123" s="285">
        <v>45890</v>
      </c>
      <c r="L123" s="287">
        <f>Таблица3[[#This Row],[OLINGAN NARXI $]]+Таблица3[[#This Row],[RASXOD]]</f>
        <v>330</v>
      </c>
      <c r="M123" s="286">
        <v>950</v>
      </c>
      <c r="N123" s="286">
        <v>115</v>
      </c>
      <c r="O123" s="282" t="s">
        <v>1653</v>
      </c>
    </row>
    <row r="124" spans="1:15" s="288" customFormat="1" x14ac:dyDescent="0.3">
      <c r="A124" s="197">
        <v>123</v>
      </c>
      <c r="B124" s="281" t="s">
        <v>13</v>
      </c>
      <c r="C124" s="282" t="s">
        <v>563</v>
      </c>
      <c r="D124" s="283" t="s">
        <v>884</v>
      </c>
      <c r="E124" s="283" t="s">
        <v>15</v>
      </c>
      <c r="F124" s="284">
        <v>352019421335492</v>
      </c>
      <c r="G124" s="283" t="s">
        <v>556</v>
      </c>
      <c r="H124" s="285">
        <v>45887</v>
      </c>
      <c r="I124" s="286">
        <v>400</v>
      </c>
      <c r="J124" s="286"/>
      <c r="K124" s="285">
        <v>45890</v>
      </c>
      <c r="L124" s="287">
        <f>Таблица3[[#This Row],[OLINGAN NARXI $]]+Таблица3[[#This Row],[RASXOD]]</f>
        <v>520</v>
      </c>
      <c r="M124" s="286">
        <v>440</v>
      </c>
      <c r="N124" s="286">
        <v>440</v>
      </c>
      <c r="O124" s="282" t="s">
        <v>1639</v>
      </c>
    </row>
    <row r="125" spans="1:15" s="288" customFormat="1" x14ac:dyDescent="0.3">
      <c r="A125" s="197">
        <v>124</v>
      </c>
      <c r="B125" s="281" t="s">
        <v>13</v>
      </c>
      <c r="C125" s="282" t="s">
        <v>119</v>
      </c>
      <c r="D125" s="283" t="s">
        <v>89</v>
      </c>
      <c r="E125" s="283" t="s">
        <v>15</v>
      </c>
      <c r="F125" s="284">
        <v>350345220791441</v>
      </c>
      <c r="G125" s="283"/>
      <c r="H125" s="285">
        <v>45790</v>
      </c>
      <c r="I125" s="286">
        <v>250</v>
      </c>
      <c r="J125" s="286">
        <v>26</v>
      </c>
      <c r="K125" s="285">
        <v>45890</v>
      </c>
      <c r="L125" s="287">
        <f>Таблица3[[#This Row],[OLINGAN NARXI $]]+Таблица3[[#This Row],[RASXOD]]</f>
        <v>370</v>
      </c>
      <c r="M125" s="286">
        <v>345</v>
      </c>
      <c r="N125" s="286">
        <v>69</v>
      </c>
      <c r="O125" s="282" t="s">
        <v>147</v>
      </c>
    </row>
    <row r="126" spans="1:15" s="288" customFormat="1" x14ac:dyDescent="0.3">
      <c r="A126" s="197">
        <v>125</v>
      </c>
      <c r="B126" s="281" t="s">
        <v>16</v>
      </c>
      <c r="C126" s="282" t="s">
        <v>129</v>
      </c>
      <c r="D126" s="283" t="s">
        <v>65</v>
      </c>
      <c r="E126" s="283" t="s">
        <v>15</v>
      </c>
      <c r="F126" s="284">
        <v>355908669625894</v>
      </c>
      <c r="G126" s="283"/>
      <c r="H126" s="285">
        <v>45888</v>
      </c>
      <c r="I126" s="286">
        <v>550</v>
      </c>
      <c r="J126" s="286"/>
      <c r="K126" s="285">
        <v>45890</v>
      </c>
      <c r="L126" s="287">
        <f>Таблица3[[#This Row],[OLINGAN NARXI $]]+Таблица3[[#This Row],[RASXOD]]</f>
        <v>64</v>
      </c>
      <c r="M126" s="286">
        <v>620</v>
      </c>
      <c r="N126" s="286">
        <v>70</v>
      </c>
      <c r="O126" s="282" t="s">
        <v>1645</v>
      </c>
    </row>
    <row r="127" spans="1:15" s="288" customFormat="1" x14ac:dyDescent="0.3">
      <c r="A127" s="197">
        <v>126</v>
      </c>
      <c r="B127" s="281" t="s">
        <v>16</v>
      </c>
      <c r="C127" s="282" t="s">
        <v>312</v>
      </c>
      <c r="D127" s="283" t="s">
        <v>21</v>
      </c>
      <c r="E127" s="283" t="s">
        <v>15</v>
      </c>
      <c r="F127" s="284">
        <v>354356541934830</v>
      </c>
      <c r="G127" s="283"/>
      <c r="H127" s="285">
        <v>45861</v>
      </c>
      <c r="I127" s="286">
        <v>510</v>
      </c>
      <c r="J127" s="286"/>
      <c r="K127" s="285">
        <v>45890</v>
      </c>
      <c r="L127" s="287">
        <f>Таблица3[[#This Row],[OLINGAN NARXI $]]+Таблица3[[#This Row],[RASXOD]]</f>
        <v>0</v>
      </c>
      <c r="M127" s="286">
        <v>600</v>
      </c>
      <c r="N127" s="286">
        <v>90</v>
      </c>
      <c r="O127" s="282" t="s">
        <v>262</v>
      </c>
    </row>
    <row r="128" spans="1:15" s="288" customFormat="1" x14ac:dyDescent="0.3">
      <c r="A128" s="197">
        <v>127</v>
      </c>
      <c r="B128" s="281" t="s">
        <v>16</v>
      </c>
      <c r="C128" s="282" t="s">
        <v>1326</v>
      </c>
      <c r="D128" s="283" t="s">
        <v>45</v>
      </c>
      <c r="E128" s="283" t="s">
        <v>15</v>
      </c>
      <c r="F128" s="284">
        <v>4159</v>
      </c>
      <c r="G128" s="283" t="s">
        <v>1656</v>
      </c>
      <c r="H128" s="285">
        <v>45890</v>
      </c>
      <c r="I128" s="286">
        <v>170</v>
      </c>
      <c r="J128" s="286"/>
      <c r="K128" s="285">
        <v>45890</v>
      </c>
      <c r="L128" s="287">
        <f>Таблица3[[#This Row],[OLINGAN NARXI $]]+Таблица3[[#This Row],[RASXOD]]</f>
        <v>0</v>
      </c>
      <c r="M128" s="286">
        <v>225</v>
      </c>
      <c r="N128" s="286">
        <v>55</v>
      </c>
      <c r="O128" s="282" t="s">
        <v>1657</v>
      </c>
    </row>
    <row r="129" spans="1:15" s="288" customFormat="1" x14ac:dyDescent="0.3">
      <c r="A129" s="197">
        <v>128</v>
      </c>
      <c r="B129" s="281" t="s">
        <v>16</v>
      </c>
      <c r="C129" s="282" t="s">
        <v>106</v>
      </c>
      <c r="D129" s="283" t="s">
        <v>21</v>
      </c>
      <c r="E129" s="283" t="s">
        <v>15</v>
      </c>
      <c r="F129" s="284">
        <v>356574102376997</v>
      </c>
      <c r="G129" s="283" t="s">
        <v>1540</v>
      </c>
      <c r="H129" s="285">
        <v>45789</v>
      </c>
      <c r="I129" s="286">
        <v>175</v>
      </c>
      <c r="J129" s="286">
        <v>19</v>
      </c>
      <c r="K129" s="285">
        <v>45891</v>
      </c>
      <c r="L129" s="287">
        <f>Таблица3[[#This Row],[OLINGAN NARXI $]]+Таблица3[[#This Row],[RASXOD]]</f>
        <v>0</v>
      </c>
      <c r="M129" s="286">
        <v>230</v>
      </c>
      <c r="N129" s="286">
        <v>36</v>
      </c>
      <c r="O129" s="282" t="s">
        <v>262</v>
      </c>
    </row>
    <row r="130" spans="1:15" s="288" customFormat="1" x14ac:dyDescent="0.3">
      <c r="A130" s="197">
        <v>129</v>
      </c>
      <c r="B130" s="281" t="s">
        <v>16</v>
      </c>
      <c r="C130" s="282" t="s">
        <v>1000</v>
      </c>
      <c r="D130" s="283" t="s">
        <v>583</v>
      </c>
      <c r="E130" s="283" t="s">
        <v>22</v>
      </c>
      <c r="F130" s="284">
        <v>353397165759427</v>
      </c>
      <c r="G130" s="283"/>
      <c r="H130" s="285">
        <v>45886</v>
      </c>
      <c r="I130" s="286">
        <v>1175</v>
      </c>
      <c r="J130" s="286"/>
      <c r="K130" s="285">
        <v>45891</v>
      </c>
      <c r="L130" s="287">
        <f>Таблица3[[#This Row],[OLINGAN NARXI $]]+Таблица3[[#This Row],[RASXOD]]</f>
        <v>0</v>
      </c>
      <c r="M130" s="286">
        <v>1250</v>
      </c>
      <c r="N130" s="286">
        <v>75</v>
      </c>
      <c r="O130" s="282" t="s">
        <v>1631</v>
      </c>
    </row>
    <row r="131" spans="1:15" s="304" customFormat="1" x14ac:dyDescent="0.3">
      <c r="A131" s="197">
        <v>130</v>
      </c>
      <c r="B131" s="197" t="s">
        <v>16</v>
      </c>
      <c r="C131" s="297" t="s">
        <v>1000</v>
      </c>
      <c r="D131" s="197" t="s">
        <v>583</v>
      </c>
      <c r="E131" s="298" t="s">
        <v>22</v>
      </c>
      <c r="F131" s="299">
        <v>355506724698151</v>
      </c>
      <c r="G131" s="298"/>
      <c r="H131" s="300">
        <v>45889</v>
      </c>
      <c r="I131" s="301">
        <v>1200</v>
      </c>
      <c r="J131" s="301"/>
      <c r="K131" s="300">
        <v>45891</v>
      </c>
      <c r="L131" s="303">
        <v>1200</v>
      </c>
      <c r="M131" s="301">
        <v>1240</v>
      </c>
      <c r="N131" s="301">
        <v>20</v>
      </c>
      <c r="O131" s="297" t="s">
        <v>1659</v>
      </c>
    </row>
    <row r="132" spans="1:15" s="304" customFormat="1" x14ac:dyDescent="0.3">
      <c r="A132" s="197">
        <v>131</v>
      </c>
      <c r="B132" s="197" t="s">
        <v>16</v>
      </c>
      <c r="C132" s="297" t="s">
        <v>312</v>
      </c>
      <c r="D132" s="197" t="s">
        <v>45</v>
      </c>
      <c r="E132" s="298" t="s">
        <v>15</v>
      </c>
      <c r="F132" s="299">
        <v>5368</v>
      </c>
      <c r="G132" s="298"/>
      <c r="H132" s="300">
        <v>45890</v>
      </c>
      <c r="I132" s="301">
        <v>615</v>
      </c>
      <c r="J132" s="301"/>
      <c r="K132" s="300">
        <v>45891</v>
      </c>
      <c r="L132" s="303">
        <v>615</v>
      </c>
      <c r="M132" s="301">
        <v>675</v>
      </c>
      <c r="N132" s="301">
        <v>30</v>
      </c>
      <c r="O132" s="297" t="s">
        <v>1659</v>
      </c>
    </row>
    <row r="133" spans="1:15" s="304" customFormat="1" x14ac:dyDescent="0.3">
      <c r="A133" s="197">
        <v>132</v>
      </c>
      <c r="B133" s="197" t="s">
        <v>16</v>
      </c>
      <c r="C133" s="297" t="s">
        <v>312</v>
      </c>
      <c r="D133" s="197" t="s">
        <v>45</v>
      </c>
      <c r="E133" s="298" t="s">
        <v>22</v>
      </c>
      <c r="F133" s="299">
        <v>352996436702479</v>
      </c>
      <c r="G133" s="298"/>
      <c r="H133" s="300">
        <v>45863</v>
      </c>
      <c r="I133" s="301">
        <v>570</v>
      </c>
      <c r="J133" s="301"/>
      <c r="K133" s="300">
        <v>45891</v>
      </c>
      <c r="L133" s="303">
        <v>570</v>
      </c>
      <c r="M133" s="301">
        <v>620</v>
      </c>
      <c r="N133" s="301">
        <v>25</v>
      </c>
      <c r="O133" s="297" t="s">
        <v>1522</v>
      </c>
    </row>
    <row r="134" spans="1:15" s="296" customFormat="1" x14ac:dyDescent="0.3">
      <c r="A134" s="197">
        <v>133</v>
      </c>
      <c r="B134" s="289" t="s">
        <v>16</v>
      </c>
      <c r="C134" s="290" t="s">
        <v>148</v>
      </c>
      <c r="D134" s="291" t="s">
        <v>65</v>
      </c>
      <c r="E134" s="291" t="s">
        <v>15</v>
      </c>
      <c r="F134" s="292">
        <v>351880151758786</v>
      </c>
      <c r="G134" s="291"/>
      <c r="H134" s="293">
        <v>45880</v>
      </c>
      <c r="I134" s="294">
        <v>273</v>
      </c>
      <c r="J134" s="294"/>
      <c r="K134" s="293">
        <v>45891</v>
      </c>
      <c r="L134" s="295">
        <f>Таблица3[[#This Row],[OLINGAN NARXI $]]+Таблица3[[#This Row],[RASXOD]]</f>
        <v>0</v>
      </c>
      <c r="M134" s="294">
        <v>380</v>
      </c>
      <c r="N134" s="294">
        <v>107</v>
      </c>
      <c r="O134" s="290" t="s">
        <v>1605</v>
      </c>
    </row>
    <row r="135" spans="1:15" s="253" customFormat="1" x14ac:dyDescent="0.3">
      <c r="A135" s="197">
        <v>134</v>
      </c>
      <c r="B135" s="245" t="s">
        <v>13</v>
      </c>
      <c r="C135" s="246" t="s">
        <v>1115</v>
      </c>
      <c r="D135" s="247" t="s">
        <v>123</v>
      </c>
      <c r="E135" s="247" t="s">
        <v>15</v>
      </c>
      <c r="F135" s="248">
        <v>352649113652059</v>
      </c>
      <c r="G135" s="247"/>
      <c r="H135" s="250">
        <v>45778</v>
      </c>
      <c r="I135" s="251">
        <v>245</v>
      </c>
      <c r="J135" s="251"/>
      <c r="K135" s="250">
        <v>45891</v>
      </c>
      <c r="L135" s="252">
        <f>Таблица3[[#This Row],[OLINGAN NARXI $]]+Таблица3[[#This Row],[RASXOD]]</f>
        <v>0</v>
      </c>
      <c r="M135" s="251">
        <v>290</v>
      </c>
      <c r="N135" s="251">
        <v>45</v>
      </c>
      <c r="O135" s="246" t="s">
        <v>19</v>
      </c>
    </row>
    <row r="136" spans="1:15" s="288" customFormat="1" x14ac:dyDescent="0.3">
      <c r="A136" s="197">
        <v>135</v>
      </c>
      <c r="B136" s="281" t="s">
        <v>16</v>
      </c>
      <c r="C136" s="282" t="s">
        <v>88</v>
      </c>
      <c r="D136" s="283" t="s">
        <v>21</v>
      </c>
      <c r="E136" s="283" t="s">
        <v>22</v>
      </c>
      <c r="F136" s="284">
        <v>356586867045567</v>
      </c>
      <c r="G136" s="283"/>
      <c r="H136" s="285">
        <v>45797</v>
      </c>
      <c r="I136" s="286">
        <v>300</v>
      </c>
      <c r="J136" s="286"/>
      <c r="K136" s="285">
        <v>45892</v>
      </c>
      <c r="L136" s="287">
        <f>Таблица3[[#This Row],[OLINGAN NARXI $]]+Таблица3[[#This Row],[RASXOD]]</f>
        <v>0</v>
      </c>
      <c r="M136" s="286">
        <v>360</v>
      </c>
      <c r="N136" s="286">
        <v>60</v>
      </c>
      <c r="O136" s="282" t="s">
        <v>1235</v>
      </c>
    </row>
    <row r="137" spans="1:15" s="288" customFormat="1" x14ac:dyDescent="0.3">
      <c r="A137" s="197">
        <v>136</v>
      </c>
      <c r="B137" s="281" t="s">
        <v>13</v>
      </c>
      <c r="C137" s="282" t="s">
        <v>115</v>
      </c>
      <c r="D137" s="283" t="s">
        <v>21</v>
      </c>
      <c r="E137" s="283" t="s">
        <v>15</v>
      </c>
      <c r="F137" s="284">
        <v>351376414186600</v>
      </c>
      <c r="G137" s="283"/>
      <c r="H137" s="285">
        <v>45890</v>
      </c>
      <c r="I137" s="286">
        <v>210</v>
      </c>
      <c r="J137" s="286"/>
      <c r="K137" s="285">
        <v>45892</v>
      </c>
      <c r="L137" s="287">
        <f>Таблица3[[#This Row],[OLINGAN NARXI $]]+Таблица3[[#This Row],[RASXOD]]</f>
        <v>0</v>
      </c>
      <c r="M137" s="286">
        <v>240</v>
      </c>
      <c r="N137" s="286">
        <v>35</v>
      </c>
      <c r="O137" s="282" t="s">
        <v>19</v>
      </c>
    </row>
    <row r="138" spans="1:15" s="288" customFormat="1" x14ac:dyDescent="0.3">
      <c r="A138" s="197">
        <v>137</v>
      </c>
      <c r="B138" s="281" t="s">
        <v>13</v>
      </c>
      <c r="C138" s="282" t="s">
        <v>115</v>
      </c>
      <c r="D138" s="283" t="s">
        <v>18</v>
      </c>
      <c r="E138" s="283" t="s">
        <v>15</v>
      </c>
      <c r="F138" s="284">
        <v>354773803181407</v>
      </c>
      <c r="G138" s="283"/>
      <c r="H138" s="285">
        <v>45872</v>
      </c>
      <c r="I138" s="286">
        <v>210</v>
      </c>
      <c r="J138" s="286"/>
      <c r="K138" s="285">
        <v>45892</v>
      </c>
      <c r="L138" s="287">
        <f>Таблица3[[#This Row],[OLINGAN NARXI $]]+Таблица3[[#This Row],[RASXOD]]</f>
        <v>0</v>
      </c>
      <c r="M138" s="286">
        <v>245</v>
      </c>
      <c r="N138" s="286">
        <v>35</v>
      </c>
      <c r="O138" s="282" t="s">
        <v>19</v>
      </c>
    </row>
    <row r="139" spans="1:15" s="288" customFormat="1" x14ac:dyDescent="0.3">
      <c r="A139" s="197">
        <v>138</v>
      </c>
      <c r="B139" s="281" t="s">
        <v>16</v>
      </c>
      <c r="C139" s="282" t="s">
        <v>312</v>
      </c>
      <c r="D139" s="283" t="s">
        <v>21</v>
      </c>
      <c r="E139" s="283" t="s">
        <v>22</v>
      </c>
      <c r="F139" s="284">
        <v>354798781271268</v>
      </c>
      <c r="G139" s="283"/>
      <c r="H139" s="285">
        <v>45887</v>
      </c>
      <c r="I139" s="286">
        <v>580</v>
      </c>
      <c r="J139" s="286"/>
      <c r="K139" s="285">
        <v>45892</v>
      </c>
      <c r="L139" s="287">
        <f>Таблица3[[#This Row],[OLINGAN NARXI $]]+Таблица3[[#This Row],[RASXOD]]</f>
        <v>0</v>
      </c>
      <c r="M139" s="286">
        <v>643</v>
      </c>
      <c r="N139" s="286">
        <v>63</v>
      </c>
      <c r="O139" s="282" t="s">
        <v>1640</v>
      </c>
    </row>
    <row r="140" spans="1:15" s="288" customFormat="1" x14ac:dyDescent="0.3">
      <c r="A140" s="197">
        <v>139</v>
      </c>
      <c r="B140" s="281" t="s">
        <v>16</v>
      </c>
      <c r="C140" s="282" t="s">
        <v>1083</v>
      </c>
      <c r="D140" s="283" t="s">
        <v>35</v>
      </c>
      <c r="E140" s="283" t="s">
        <v>15</v>
      </c>
      <c r="F140" s="284">
        <v>358666974956621</v>
      </c>
      <c r="G140" s="283"/>
      <c r="H140" s="285">
        <v>45890</v>
      </c>
      <c r="I140" s="286">
        <v>600</v>
      </c>
      <c r="J140" s="286"/>
      <c r="K140" s="285">
        <v>45892</v>
      </c>
      <c r="L140" s="287">
        <f>Таблица3[[#This Row],[OLINGAN NARXI $]]+Таблица3[[#This Row],[RASXOD]]</f>
        <v>0</v>
      </c>
      <c r="M140" s="286">
        <v>660</v>
      </c>
      <c r="N140" s="286">
        <v>60</v>
      </c>
      <c r="O140" s="282">
        <v>330444545</v>
      </c>
    </row>
    <row r="141" spans="1:15" s="288" customFormat="1" x14ac:dyDescent="0.3">
      <c r="A141" s="197">
        <v>140</v>
      </c>
      <c r="B141" s="281" t="s">
        <v>13</v>
      </c>
      <c r="C141" s="282" t="s">
        <v>384</v>
      </c>
      <c r="D141" s="283" t="s">
        <v>21</v>
      </c>
      <c r="E141" s="283" t="s">
        <v>15</v>
      </c>
      <c r="F141" s="284">
        <v>353561334866625</v>
      </c>
      <c r="G141" s="283"/>
      <c r="H141" s="285">
        <v>45789</v>
      </c>
      <c r="I141" s="286">
        <v>205</v>
      </c>
      <c r="J141" s="286">
        <v>26</v>
      </c>
      <c r="K141" s="285">
        <v>45893</v>
      </c>
      <c r="L141" s="287">
        <f>Таблица3[[#This Row],[OLINGAN NARXI $]]+Таблица3[[#This Row],[RASXOD]]</f>
        <v>0</v>
      </c>
      <c r="M141" s="286">
        <v>280</v>
      </c>
      <c r="N141" s="286">
        <v>49</v>
      </c>
      <c r="O141" s="282" t="s">
        <v>147</v>
      </c>
    </row>
    <row r="142" spans="1:15" s="288" customFormat="1" x14ac:dyDescent="0.3">
      <c r="A142" s="197">
        <v>141</v>
      </c>
      <c r="B142" s="281" t="s">
        <v>13</v>
      </c>
      <c r="C142" s="282" t="s">
        <v>119</v>
      </c>
      <c r="D142" s="283" t="s">
        <v>65</v>
      </c>
      <c r="E142" s="283" t="s">
        <v>15</v>
      </c>
      <c r="F142" s="284">
        <v>350865892664485</v>
      </c>
      <c r="G142" s="283"/>
      <c r="H142" s="285">
        <v>45771</v>
      </c>
      <c r="I142" s="286">
        <v>260</v>
      </c>
      <c r="J142" s="286">
        <v>17</v>
      </c>
      <c r="K142" s="285">
        <v>45893</v>
      </c>
      <c r="L142" s="287">
        <f>Таблица3[[#This Row],[OLINGAN NARXI $]]+Таблица3[[#This Row],[RASXOD]]</f>
        <v>0</v>
      </c>
      <c r="M142" s="286">
        <v>340</v>
      </c>
      <c r="N142" s="286">
        <v>63</v>
      </c>
      <c r="O142" s="282" t="s">
        <v>147</v>
      </c>
    </row>
    <row r="143" spans="1:15" s="288" customFormat="1" x14ac:dyDescent="0.3">
      <c r="A143" s="197">
        <v>142</v>
      </c>
      <c r="B143" s="281" t="s">
        <v>13</v>
      </c>
      <c r="C143" s="282" t="s">
        <v>384</v>
      </c>
      <c r="D143" s="283" t="s">
        <v>21</v>
      </c>
      <c r="E143" s="283" t="s">
        <v>15</v>
      </c>
      <c r="F143" s="284">
        <v>353561330457379</v>
      </c>
      <c r="G143" s="283" t="s">
        <v>556</v>
      </c>
      <c r="H143" s="285">
        <v>45816</v>
      </c>
      <c r="I143" s="286">
        <v>185</v>
      </c>
      <c r="J143" s="286"/>
      <c r="K143" s="285">
        <v>45893</v>
      </c>
      <c r="L143" s="287">
        <f>Таблица3[[#This Row],[OLINGAN NARXI $]]+Таблица3[[#This Row],[RASXOD]]</f>
        <v>0</v>
      </c>
      <c r="M143" s="286">
        <v>250</v>
      </c>
      <c r="N143" s="286">
        <v>65</v>
      </c>
      <c r="O143" s="282" t="s">
        <v>1315</v>
      </c>
    </row>
    <row r="144" spans="1:15" s="288" customFormat="1" x14ac:dyDescent="0.3">
      <c r="A144" s="197">
        <v>143</v>
      </c>
      <c r="B144" s="281" t="s">
        <v>16</v>
      </c>
      <c r="C144" s="282" t="s">
        <v>148</v>
      </c>
      <c r="D144" s="283" t="s">
        <v>21</v>
      </c>
      <c r="E144" s="283" t="s">
        <v>15</v>
      </c>
      <c r="F144" s="284">
        <v>356683118656860</v>
      </c>
      <c r="G144" s="283"/>
      <c r="H144" s="285">
        <v>45891</v>
      </c>
      <c r="I144" s="286">
        <v>290</v>
      </c>
      <c r="J144" s="286"/>
      <c r="K144" s="285">
        <v>45893</v>
      </c>
      <c r="L144" s="287">
        <f>Таблица3[[#This Row],[OLINGAN NARXI $]]+Таблица3[[#This Row],[RASXOD]]</f>
        <v>200</v>
      </c>
      <c r="M144" s="286">
        <v>370</v>
      </c>
      <c r="N144" s="286">
        <v>80</v>
      </c>
      <c r="O144" s="282" t="s">
        <v>1661</v>
      </c>
    </row>
    <row r="145" spans="1:15" s="288" customFormat="1" x14ac:dyDescent="0.3">
      <c r="A145" s="197">
        <v>144</v>
      </c>
      <c r="B145" s="281" t="s">
        <v>16</v>
      </c>
      <c r="C145" s="282" t="s">
        <v>106</v>
      </c>
      <c r="D145" s="283" t="s">
        <v>35</v>
      </c>
      <c r="E145" s="283" t="s">
        <v>22</v>
      </c>
      <c r="F145" s="284">
        <v>356547108411133</v>
      </c>
      <c r="G145" s="283"/>
      <c r="H145" s="285">
        <v>45892</v>
      </c>
      <c r="I145" s="286">
        <v>200</v>
      </c>
      <c r="J145" s="286"/>
      <c r="K145" s="285">
        <v>45893</v>
      </c>
      <c r="L145" s="287">
        <f>Таблица3[[#This Row],[OLINGAN NARXI $]]+Таблица3[[#This Row],[RASXOD]]</f>
        <v>208</v>
      </c>
      <c r="M145" s="286">
        <v>240</v>
      </c>
      <c r="N145" s="286">
        <v>40</v>
      </c>
      <c r="O145" s="282">
        <v>935537780</v>
      </c>
    </row>
    <row r="146" spans="1:15" s="288" customFormat="1" x14ac:dyDescent="0.3">
      <c r="A146" s="197">
        <v>145</v>
      </c>
      <c r="B146" s="281" t="s">
        <v>16</v>
      </c>
      <c r="C146" s="282" t="s">
        <v>83</v>
      </c>
      <c r="D146" s="283" t="s">
        <v>18</v>
      </c>
      <c r="E146" s="283" t="s">
        <v>22</v>
      </c>
      <c r="F146" s="284">
        <v>354509710899982</v>
      </c>
      <c r="G146" s="283"/>
      <c r="H146" s="285">
        <v>45893</v>
      </c>
      <c r="I146" s="286">
        <v>470</v>
      </c>
      <c r="J146" s="286"/>
      <c r="K146" s="285">
        <v>45893</v>
      </c>
      <c r="L146" s="287">
        <f>Таблица3[[#This Row],[OLINGAN NARXI $]]+Таблица3[[#This Row],[RASXOD]]</f>
        <v>170</v>
      </c>
      <c r="M146" s="286">
        <v>560</v>
      </c>
      <c r="N146" s="286">
        <v>90</v>
      </c>
      <c r="O146" s="282" t="s">
        <v>1668</v>
      </c>
    </row>
    <row r="147" spans="1:15" s="288" customFormat="1" x14ac:dyDescent="0.3">
      <c r="A147" s="197">
        <v>146</v>
      </c>
      <c r="B147" s="281" t="s">
        <v>59</v>
      </c>
      <c r="C147" s="282" t="s">
        <v>1622</v>
      </c>
      <c r="D147" s="283" t="s">
        <v>18</v>
      </c>
      <c r="E147" s="283" t="s">
        <v>15</v>
      </c>
      <c r="F147" s="284">
        <v>869203073149460</v>
      </c>
      <c r="G147" s="283"/>
      <c r="H147" s="285">
        <v>45885</v>
      </c>
      <c r="I147" s="286">
        <v>400</v>
      </c>
      <c r="J147" s="286"/>
      <c r="K147" s="285">
        <v>45893</v>
      </c>
      <c r="L147" s="287">
        <f>Таблица3[[#This Row],[OLINGAN NARXI $]]+Таблица3[[#This Row],[RASXOD]]</f>
        <v>275</v>
      </c>
      <c r="M147" s="286">
        <v>570</v>
      </c>
      <c r="N147" s="286">
        <v>170</v>
      </c>
      <c r="O147" s="282" t="s">
        <v>1620</v>
      </c>
    </row>
    <row r="148" spans="1:15" s="288" customFormat="1" x14ac:dyDescent="0.3">
      <c r="A148" s="197">
        <v>147</v>
      </c>
      <c r="B148" s="281" t="s">
        <v>16</v>
      </c>
      <c r="C148" s="282" t="s">
        <v>81</v>
      </c>
      <c r="D148" s="283" t="s">
        <v>65</v>
      </c>
      <c r="E148" s="283" t="s">
        <v>22</v>
      </c>
      <c r="F148" s="284">
        <v>1531</v>
      </c>
      <c r="G148" s="283" t="s">
        <v>1369</v>
      </c>
      <c r="H148" s="285">
        <v>45871</v>
      </c>
      <c r="I148" s="286">
        <v>480</v>
      </c>
      <c r="J148" s="286"/>
      <c r="K148" s="285">
        <v>45894</v>
      </c>
      <c r="L148" s="287">
        <f>Таблица3[[#This Row],[OLINGAN NARXI $]]+Таблица3[[#This Row],[RASXOD]]</f>
        <v>250</v>
      </c>
      <c r="M148" s="286">
        <v>525</v>
      </c>
      <c r="N148" s="286">
        <v>45</v>
      </c>
      <c r="O148" s="282" t="s">
        <v>1234</v>
      </c>
    </row>
    <row r="149" spans="1:15" s="253" customFormat="1" x14ac:dyDescent="0.3">
      <c r="A149" s="197">
        <v>148</v>
      </c>
      <c r="B149" s="245" t="s">
        <v>16</v>
      </c>
      <c r="C149" s="246" t="s">
        <v>39</v>
      </c>
      <c r="D149" s="247" t="s">
        <v>35</v>
      </c>
      <c r="E149" s="247" t="s">
        <v>22</v>
      </c>
      <c r="F149" s="248">
        <v>355656665250734</v>
      </c>
      <c r="G149" s="247"/>
      <c r="H149" s="250">
        <v>45894</v>
      </c>
      <c r="I149" s="251">
        <v>710</v>
      </c>
      <c r="J149" s="251"/>
      <c r="K149" s="250">
        <v>45894</v>
      </c>
      <c r="L149" s="252">
        <f>Таблица3[[#This Row],[OLINGAN NARXI $]]+Таблица3[[#This Row],[RASXOD]]</f>
        <v>275</v>
      </c>
      <c r="M149" s="251">
        <v>765</v>
      </c>
      <c r="N149" s="251">
        <v>55</v>
      </c>
      <c r="O149" s="246" t="s">
        <v>19</v>
      </c>
    </row>
    <row r="150" spans="1:15" s="253" customFormat="1" x14ac:dyDescent="0.3">
      <c r="A150" s="197">
        <v>149</v>
      </c>
      <c r="B150" s="245" t="s">
        <v>13</v>
      </c>
      <c r="C150" s="246" t="s">
        <v>119</v>
      </c>
      <c r="D150" s="247" t="s">
        <v>1123</v>
      </c>
      <c r="E150" s="247" t="s">
        <v>15</v>
      </c>
      <c r="F150" s="248">
        <v>350865892820871</v>
      </c>
      <c r="G150" s="247"/>
      <c r="H150" s="250">
        <v>45776</v>
      </c>
      <c r="I150" s="251">
        <v>250</v>
      </c>
      <c r="J150" s="251">
        <v>26</v>
      </c>
      <c r="K150" s="250">
        <v>45894</v>
      </c>
      <c r="L150" s="252">
        <f>Таблица3[[#This Row],[OLINGAN NARXI $]]+Таблица3[[#This Row],[RASXOD]]</f>
        <v>275</v>
      </c>
      <c r="M150" s="251">
        <v>345</v>
      </c>
      <c r="N150" s="251">
        <v>69</v>
      </c>
      <c r="O150" s="246" t="s">
        <v>147</v>
      </c>
    </row>
    <row r="151" spans="1:15" s="253" customFormat="1" x14ac:dyDescent="0.3">
      <c r="A151" s="197">
        <v>150</v>
      </c>
      <c r="B151" s="245" t="s">
        <v>16</v>
      </c>
      <c r="C151" s="246" t="s">
        <v>81</v>
      </c>
      <c r="D151" s="247" t="s">
        <v>65</v>
      </c>
      <c r="E151" s="247" t="s">
        <v>15</v>
      </c>
      <c r="F151" s="248">
        <v>352725350361909</v>
      </c>
      <c r="G151" s="247" t="s">
        <v>181</v>
      </c>
      <c r="H151" s="250">
        <v>45889</v>
      </c>
      <c r="I151" s="251">
        <v>350</v>
      </c>
      <c r="J151" s="251"/>
      <c r="K151" s="250">
        <v>45894</v>
      </c>
      <c r="L151" s="252">
        <f>Таблица3[[#This Row],[OLINGAN NARXI $]]+Таблица3[[#This Row],[RASXOD]]</f>
        <v>35</v>
      </c>
      <c r="M151" s="251">
        <v>430</v>
      </c>
      <c r="N151" s="251">
        <v>80</v>
      </c>
      <c r="O151" s="246" t="s">
        <v>1652</v>
      </c>
    </row>
    <row r="152" spans="1:15" s="288" customFormat="1" x14ac:dyDescent="0.3">
      <c r="A152" s="197">
        <v>151</v>
      </c>
      <c r="B152" s="281" t="s">
        <v>13</v>
      </c>
      <c r="C152" s="282" t="s">
        <v>1643</v>
      </c>
      <c r="D152" s="283" t="s">
        <v>65</v>
      </c>
      <c r="E152" s="283" t="s">
        <v>15</v>
      </c>
      <c r="F152" s="284">
        <v>350186700655130</v>
      </c>
      <c r="G152" s="283" t="s">
        <v>556</v>
      </c>
      <c r="H152" s="285">
        <v>45887</v>
      </c>
      <c r="I152" s="286">
        <v>250</v>
      </c>
      <c r="J152" s="286">
        <v>12</v>
      </c>
      <c r="K152" s="285">
        <v>45894</v>
      </c>
      <c r="L152" s="287">
        <f>Таблица3[[#This Row],[OLINGAN NARXI $]]+Таблица3[[#This Row],[RASXOD]]</f>
        <v>252</v>
      </c>
      <c r="M152" s="286">
        <v>340</v>
      </c>
      <c r="N152" s="286">
        <v>78</v>
      </c>
      <c r="O152" s="282"/>
    </row>
    <row r="153" spans="1:15" s="253" customFormat="1" x14ac:dyDescent="0.3">
      <c r="A153" s="197">
        <v>152</v>
      </c>
      <c r="B153" s="245" t="s">
        <v>16</v>
      </c>
      <c r="C153" s="246" t="s">
        <v>109</v>
      </c>
      <c r="D153" s="247" t="s">
        <v>21</v>
      </c>
      <c r="E153" s="247" t="s">
        <v>22</v>
      </c>
      <c r="F153" s="248">
        <v>356175096153093</v>
      </c>
      <c r="G153" s="247"/>
      <c r="H153" s="250">
        <v>45892</v>
      </c>
      <c r="I153" s="251">
        <v>160</v>
      </c>
      <c r="J153" s="251"/>
      <c r="K153" s="250">
        <v>45894</v>
      </c>
      <c r="L153" s="252">
        <f>Таблица3[[#This Row],[OLINGAN NARXI $]]+Таблица3[[#This Row],[RASXOD]]</f>
        <v>154</v>
      </c>
      <c r="M153" s="251">
        <v>200</v>
      </c>
      <c r="N153" s="251">
        <v>40</v>
      </c>
      <c r="O153" s="246" t="s">
        <v>1662</v>
      </c>
    </row>
    <row r="154" spans="1:15" s="288" customFormat="1" x14ac:dyDescent="0.3">
      <c r="A154" s="197">
        <v>153</v>
      </c>
      <c r="B154" s="281" t="s">
        <v>16</v>
      </c>
      <c r="C154" s="282" t="s">
        <v>74</v>
      </c>
      <c r="D154" s="283" t="s">
        <v>35</v>
      </c>
      <c r="E154" s="283" t="s">
        <v>15</v>
      </c>
      <c r="F154" s="284">
        <v>351850727146832</v>
      </c>
      <c r="G154" s="283" t="s">
        <v>1606</v>
      </c>
      <c r="H154" s="285">
        <v>45891</v>
      </c>
      <c r="I154" s="286">
        <v>570</v>
      </c>
      <c r="J154" s="286"/>
      <c r="K154" s="285">
        <v>45895</v>
      </c>
      <c r="L154" s="287">
        <f>Таблица3[[#This Row],[OLINGAN NARXI $]]+Таблица3[[#This Row],[RASXOD]]</f>
        <v>252.6</v>
      </c>
      <c r="M154" s="286">
        <v>650</v>
      </c>
      <c r="N154" s="286">
        <v>80</v>
      </c>
      <c r="O154" s="282" t="s">
        <v>1535</v>
      </c>
    </row>
    <row r="155" spans="1:15" s="253" customFormat="1" x14ac:dyDescent="0.3">
      <c r="A155" s="197">
        <v>154</v>
      </c>
      <c r="B155" s="245" t="s">
        <v>16</v>
      </c>
      <c r="C155" s="246" t="s">
        <v>88</v>
      </c>
      <c r="D155" s="247" t="s">
        <v>187</v>
      </c>
      <c r="E155" s="247" t="s">
        <v>15</v>
      </c>
      <c r="F155" s="248">
        <v>356646226211084</v>
      </c>
      <c r="G155" s="247"/>
      <c r="H155" s="250">
        <v>45584</v>
      </c>
      <c r="I155" s="251">
        <v>350</v>
      </c>
      <c r="J155" s="251"/>
      <c r="K155" s="250">
        <v>45895</v>
      </c>
      <c r="L155" s="252">
        <f>Таблица3[[#This Row],[OLINGAN NARXI $]]+Таблица3[[#This Row],[RASXOD]]</f>
        <v>286</v>
      </c>
      <c r="M155" s="251">
        <v>360</v>
      </c>
      <c r="N155" s="251">
        <v>10</v>
      </c>
      <c r="O155" s="246" t="s">
        <v>147</v>
      </c>
    </row>
    <row r="156" spans="1:15" s="288" customFormat="1" x14ac:dyDescent="0.3">
      <c r="A156" s="197">
        <v>155</v>
      </c>
      <c r="B156" s="281" t="s">
        <v>16</v>
      </c>
      <c r="C156" s="282" t="s">
        <v>173</v>
      </c>
      <c r="D156" s="283" t="s">
        <v>21</v>
      </c>
      <c r="E156" s="283" t="s">
        <v>22</v>
      </c>
      <c r="F156" s="284">
        <v>354856096948184</v>
      </c>
      <c r="G156" s="283" t="s">
        <v>1669</v>
      </c>
      <c r="H156" s="285">
        <v>45893</v>
      </c>
      <c r="I156" s="286">
        <v>100</v>
      </c>
      <c r="J156" s="286"/>
      <c r="K156" s="285">
        <v>45895</v>
      </c>
      <c r="L156" s="287">
        <f>Таблица3[[#This Row],[OLINGAN NARXI $]]+Таблица3[[#This Row],[RASXOD]]</f>
        <v>250</v>
      </c>
      <c r="M156" s="286">
        <v>140</v>
      </c>
      <c r="N156" s="286">
        <v>40</v>
      </c>
      <c r="O156" s="282" t="s">
        <v>1670</v>
      </c>
    </row>
    <row r="157" spans="1:15" s="288" customFormat="1" x14ac:dyDescent="0.3">
      <c r="A157" s="197">
        <v>156</v>
      </c>
      <c r="B157" s="281" t="s">
        <v>16</v>
      </c>
      <c r="C157" s="282" t="s">
        <v>1680</v>
      </c>
      <c r="D157" s="283"/>
      <c r="E157" s="283"/>
      <c r="F157" s="284">
        <v>3710</v>
      </c>
      <c r="G157" s="283"/>
      <c r="H157" s="285">
        <v>45896</v>
      </c>
      <c r="I157" s="286">
        <v>700</v>
      </c>
      <c r="J157" s="286"/>
      <c r="K157" s="285">
        <v>45896</v>
      </c>
      <c r="L157" s="287">
        <f>Таблица3758910111415[[#This Row],[OLINGAN NARXI $]]+Таблица3758910111415[[#This Row],[RASXOD]]</f>
        <v>700</v>
      </c>
      <c r="M157" s="286">
        <v>735</v>
      </c>
      <c r="N157" s="286">
        <f>Таблица3758910111415[[#This Row],[SOTILGAN NARXI]]-Таблица3758910111415[[#This Row],[OLINGAN NARXI $]]-Таблица3758910111415[[#This Row],[RASXOD]]</f>
        <v>35</v>
      </c>
      <c r="O157" s="282" t="s">
        <v>262</v>
      </c>
    </row>
    <row r="158" spans="1:15" s="288" customFormat="1" x14ac:dyDescent="0.3">
      <c r="A158" s="197">
        <v>157</v>
      </c>
      <c r="B158" s="281" t="s">
        <v>207</v>
      </c>
      <c r="C158" s="282" t="s">
        <v>1577</v>
      </c>
      <c r="D158" s="283"/>
      <c r="E158" s="283"/>
      <c r="F158" s="284"/>
      <c r="G158" s="283"/>
      <c r="H158" s="285">
        <v>45873</v>
      </c>
      <c r="I158" s="286">
        <v>360</v>
      </c>
      <c r="J158" s="286"/>
      <c r="K158" s="285">
        <v>45896</v>
      </c>
      <c r="L158" s="287">
        <f>Таблица3[[#This Row],[OLINGAN NARXI $]]+Таблица3[[#This Row],[RASXOD]]</f>
        <v>645</v>
      </c>
      <c r="M158" s="286">
        <v>400</v>
      </c>
      <c r="N158" s="286">
        <v>40</v>
      </c>
      <c r="O158" s="282" t="s">
        <v>262</v>
      </c>
    </row>
    <row r="159" spans="1:15" s="288" customFormat="1" x14ac:dyDescent="0.3">
      <c r="A159" s="197">
        <v>158</v>
      </c>
      <c r="B159" s="281" t="s">
        <v>13</v>
      </c>
      <c r="C159" s="282" t="s">
        <v>563</v>
      </c>
      <c r="D159" s="283" t="s">
        <v>884</v>
      </c>
      <c r="E159" s="283" t="s">
        <v>15</v>
      </c>
      <c r="F159" s="284">
        <v>351562313673257</v>
      </c>
      <c r="G159" s="283"/>
      <c r="H159" s="285">
        <v>45717</v>
      </c>
      <c r="I159" s="286">
        <v>350</v>
      </c>
      <c r="J159" s="286">
        <v>27</v>
      </c>
      <c r="K159" s="285">
        <v>45896</v>
      </c>
      <c r="L159" s="287">
        <f>Таблица3[[#This Row],[OLINGAN NARXI $]]+Таблица3[[#This Row],[RASXOD]]</f>
        <v>180</v>
      </c>
      <c r="M159" s="286">
        <v>440</v>
      </c>
      <c r="N159" s="286">
        <v>63</v>
      </c>
      <c r="O159" s="282" t="s">
        <v>147</v>
      </c>
    </row>
    <row r="160" spans="1:15" s="288" customFormat="1" x14ac:dyDescent="0.3">
      <c r="A160" s="197">
        <v>159</v>
      </c>
      <c r="B160" s="281" t="s">
        <v>13</v>
      </c>
      <c r="C160" s="282" t="s">
        <v>502</v>
      </c>
      <c r="D160" s="283" t="s">
        <v>18</v>
      </c>
      <c r="E160" s="283" t="s">
        <v>15</v>
      </c>
      <c r="F160" s="284">
        <v>358088350509165</v>
      </c>
      <c r="G160" s="283"/>
      <c r="H160" s="285">
        <v>45713</v>
      </c>
      <c r="I160" s="286">
        <v>450</v>
      </c>
      <c r="J160" s="286"/>
      <c r="K160" s="285">
        <v>45896</v>
      </c>
      <c r="L160" s="287">
        <f>Таблица3[[#This Row],[OLINGAN NARXI $]]+Таблица3[[#This Row],[RASXOD]]</f>
        <v>245</v>
      </c>
      <c r="M160" s="286">
        <v>560</v>
      </c>
      <c r="N160" s="286">
        <v>110</v>
      </c>
      <c r="O160" s="282" t="s">
        <v>867</v>
      </c>
    </row>
    <row r="161" spans="1:15" s="253" customFormat="1" x14ac:dyDescent="0.3">
      <c r="A161" s="197">
        <v>160</v>
      </c>
      <c r="B161" s="245" t="s">
        <v>16</v>
      </c>
      <c r="C161" s="246" t="s">
        <v>1671</v>
      </c>
      <c r="D161" s="247" t="s">
        <v>21</v>
      </c>
      <c r="E161" s="247" t="s">
        <v>15</v>
      </c>
      <c r="F161" s="248">
        <v>358992757636762</v>
      </c>
      <c r="G161" s="247"/>
      <c r="H161" s="250">
        <v>45895</v>
      </c>
      <c r="I161" s="251">
        <v>600</v>
      </c>
      <c r="J161" s="251"/>
      <c r="K161" s="250">
        <v>45896</v>
      </c>
      <c r="L161" s="252">
        <f>Таблица3[[#This Row],[OLINGAN NARXI $]]+Таблица3[[#This Row],[RASXOD]]</f>
        <v>280</v>
      </c>
      <c r="M161" s="251">
        <v>660</v>
      </c>
      <c r="N161" s="251">
        <v>60</v>
      </c>
      <c r="O161" s="246" t="s">
        <v>1367</v>
      </c>
    </row>
    <row r="162" spans="1:15" s="288" customFormat="1" x14ac:dyDescent="0.3">
      <c r="A162" s="197">
        <v>161</v>
      </c>
      <c r="B162" s="281" t="s">
        <v>16</v>
      </c>
      <c r="C162" s="282" t="s">
        <v>101</v>
      </c>
      <c r="D162" s="283" t="s">
        <v>45</v>
      </c>
      <c r="E162" s="283" t="s">
        <v>15</v>
      </c>
      <c r="F162" s="284">
        <v>353907108903971</v>
      </c>
      <c r="G162" s="283" t="s">
        <v>1650</v>
      </c>
      <c r="H162" s="285">
        <v>45888</v>
      </c>
      <c r="I162" s="286">
        <v>210</v>
      </c>
      <c r="J162" s="286">
        <v>20</v>
      </c>
      <c r="K162" s="285">
        <v>45897</v>
      </c>
      <c r="L162" s="287">
        <f>Таблица3[[#This Row],[OLINGAN NARXI $]]+Таблица3[[#This Row],[RASXOD]]</f>
        <v>565</v>
      </c>
      <c r="M162" s="286">
        <v>280</v>
      </c>
      <c r="N162" s="286">
        <v>50</v>
      </c>
      <c r="O162" s="282" t="s">
        <v>262</v>
      </c>
    </row>
    <row r="163" spans="1:15" s="288" customFormat="1" x14ac:dyDescent="0.3">
      <c r="A163" s="197">
        <v>162</v>
      </c>
      <c r="B163" s="281" t="s">
        <v>16</v>
      </c>
      <c r="C163" s="282" t="s">
        <v>96</v>
      </c>
      <c r="D163" s="283" t="s">
        <v>21</v>
      </c>
      <c r="E163" s="283" t="s">
        <v>15</v>
      </c>
      <c r="F163" s="284">
        <v>353842103837892</v>
      </c>
      <c r="G163" s="283"/>
      <c r="H163" s="285">
        <v>45891</v>
      </c>
      <c r="I163" s="286">
        <v>180</v>
      </c>
      <c r="J163" s="286"/>
      <c r="K163" s="285">
        <v>45897</v>
      </c>
      <c r="L163" s="287">
        <f>Таблица3[[#This Row],[OLINGAN NARXI $]]+Таблица3[[#This Row],[RASXOD]]</f>
        <v>301</v>
      </c>
      <c r="M163" s="286">
        <v>250</v>
      </c>
      <c r="N163" s="286">
        <v>70</v>
      </c>
      <c r="O163" s="282" t="s">
        <v>1132</v>
      </c>
    </row>
    <row r="164" spans="1:15" s="288" customFormat="1" x14ac:dyDescent="0.3">
      <c r="A164" s="197">
        <v>163</v>
      </c>
      <c r="B164" s="281" t="s">
        <v>16</v>
      </c>
      <c r="C164" s="282" t="s">
        <v>148</v>
      </c>
      <c r="D164" s="283" t="s">
        <v>65</v>
      </c>
      <c r="E164" s="283" t="s">
        <v>22</v>
      </c>
      <c r="F164" s="284">
        <v>356685117177038</v>
      </c>
      <c r="G164" s="283" t="s">
        <v>1211</v>
      </c>
      <c r="H164" s="285">
        <v>45791</v>
      </c>
      <c r="I164" s="286">
        <v>245</v>
      </c>
      <c r="J164" s="286">
        <v>10</v>
      </c>
      <c r="K164" s="285">
        <v>45897</v>
      </c>
      <c r="L164" s="287">
        <f>Таблица3[[#This Row],[OLINGAN NARXI $]]+Таблица3[[#This Row],[RASXOD]]</f>
        <v>57</v>
      </c>
      <c r="M164" s="286">
        <v>340</v>
      </c>
      <c r="N164" s="286">
        <v>85</v>
      </c>
      <c r="O164" s="282" t="s">
        <v>1212</v>
      </c>
    </row>
    <row r="165" spans="1:15" s="288" customFormat="1" x14ac:dyDescent="0.3">
      <c r="A165" s="197">
        <v>164</v>
      </c>
      <c r="B165" s="281" t="s">
        <v>16</v>
      </c>
      <c r="C165" s="282" t="s">
        <v>372</v>
      </c>
      <c r="D165" s="283" t="s">
        <v>21</v>
      </c>
      <c r="E165" s="283" t="s">
        <v>15</v>
      </c>
      <c r="F165" s="284">
        <v>351732272984488</v>
      </c>
      <c r="G165" s="283" t="s">
        <v>61</v>
      </c>
      <c r="H165" s="285">
        <v>45875</v>
      </c>
      <c r="I165" s="286">
        <v>300</v>
      </c>
      <c r="J165" s="286">
        <v>23.5</v>
      </c>
      <c r="K165" s="285">
        <v>45897</v>
      </c>
      <c r="L165" s="287">
        <f>Таблица3[[#This Row],[OLINGAN NARXI $]]+Таблица3[[#This Row],[RASXOD]]</f>
        <v>150</v>
      </c>
      <c r="M165" s="286">
        <v>420</v>
      </c>
      <c r="N165" s="286">
        <v>96.5</v>
      </c>
      <c r="O165" s="282" t="s">
        <v>1588</v>
      </c>
    </row>
    <row r="166" spans="1:15" s="253" customFormat="1" x14ac:dyDescent="0.3">
      <c r="A166" s="197">
        <v>165</v>
      </c>
      <c r="B166" s="245" t="s">
        <v>13</v>
      </c>
      <c r="C166" s="246" t="s">
        <v>563</v>
      </c>
      <c r="D166" s="247" t="s">
        <v>21</v>
      </c>
      <c r="E166" s="247" t="s">
        <v>15</v>
      </c>
      <c r="F166" s="248">
        <v>351562312979531</v>
      </c>
      <c r="G166" s="247"/>
      <c r="H166" s="250">
        <v>45846</v>
      </c>
      <c r="I166" s="251">
        <v>400</v>
      </c>
      <c r="J166" s="251"/>
      <c r="K166" s="250">
        <v>45897</v>
      </c>
      <c r="L166" s="252">
        <f>Таблица3[[#This Row],[OLINGAN NARXI $]]+Таблица3[[#This Row],[RASXOD]]</f>
        <v>200</v>
      </c>
      <c r="M166" s="251">
        <v>440</v>
      </c>
      <c r="N166" s="251">
        <v>40</v>
      </c>
      <c r="O166" s="246" t="s">
        <v>262</v>
      </c>
    </row>
    <row r="167" spans="1:15" s="253" customFormat="1" x14ac:dyDescent="0.3">
      <c r="A167" s="197">
        <v>166</v>
      </c>
      <c r="B167" s="245" t="s">
        <v>13</v>
      </c>
      <c r="C167" s="246" t="s">
        <v>1055</v>
      </c>
      <c r="D167" s="247"/>
      <c r="E167" s="247" t="s">
        <v>15</v>
      </c>
      <c r="F167" s="248">
        <v>350309333258789</v>
      </c>
      <c r="G167" s="247"/>
      <c r="H167" s="250">
        <v>45813</v>
      </c>
      <c r="I167" s="251">
        <v>365</v>
      </c>
      <c r="J167" s="251"/>
      <c r="K167" s="250">
        <v>45897</v>
      </c>
      <c r="L167" s="252">
        <f>Таблица3[[#This Row],[OLINGAN NARXI $]]+Таблица3[[#This Row],[RASXOD]]</f>
        <v>160</v>
      </c>
      <c r="M167" s="251">
        <v>450</v>
      </c>
      <c r="N167" s="251">
        <v>85</v>
      </c>
      <c r="O167" s="246" t="s">
        <v>19</v>
      </c>
    </row>
    <row r="168" spans="1:15" s="296" customFormat="1" x14ac:dyDescent="0.3">
      <c r="A168" s="197">
        <v>167</v>
      </c>
      <c r="B168" s="289" t="s">
        <v>1077</v>
      </c>
      <c r="C168" s="290" t="s">
        <v>998</v>
      </c>
      <c r="D168" s="291" t="s">
        <v>21</v>
      </c>
      <c r="E168" s="291" t="s">
        <v>22</v>
      </c>
      <c r="F168" s="292">
        <v>860359065120886</v>
      </c>
      <c r="G168" s="291"/>
      <c r="H168" s="293">
        <v>45892</v>
      </c>
      <c r="I168" s="294">
        <v>60</v>
      </c>
      <c r="J168" s="294"/>
      <c r="K168" s="293">
        <v>45897</v>
      </c>
      <c r="L168" s="295">
        <f>Таблица3[[#This Row],[OLINGAN NARXI $]]+Таблица3[[#This Row],[RASXOD]]</f>
        <v>160</v>
      </c>
      <c r="M168" s="294">
        <v>80</v>
      </c>
      <c r="N168" s="294">
        <v>20</v>
      </c>
      <c r="O168" s="290" t="s">
        <v>1662</v>
      </c>
    </row>
    <row r="169" spans="1:15" s="253" customFormat="1" x14ac:dyDescent="0.3">
      <c r="A169" s="197">
        <v>168</v>
      </c>
      <c r="B169" s="245" t="s">
        <v>16</v>
      </c>
      <c r="C169" s="246" t="s">
        <v>1000</v>
      </c>
      <c r="D169" s="247" t="s">
        <v>583</v>
      </c>
      <c r="E169" s="247" t="s">
        <v>22</v>
      </c>
      <c r="F169" s="248">
        <v>350108726603902</v>
      </c>
      <c r="G169" s="247" t="s">
        <v>1606</v>
      </c>
      <c r="H169" s="250">
        <v>45890</v>
      </c>
      <c r="I169" s="251">
        <v>1110</v>
      </c>
      <c r="J169" s="251"/>
      <c r="K169" s="250">
        <v>45897</v>
      </c>
      <c r="L169" s="252">
        <f>Таблица3[[#This Row],[OLINGAN NARXI $]]+Таблица3[[#This Row],[RASXOD]]</f>
        <v>160</v>
      </c>
      <c r="M169" s="251">
        <v>1200</v>
      </c>
      <c r="N169" s="251">
        <v>90</v>
      </c>
      <c r="O169" s="246" t="s">
        <v>1654</v>
      </c>
    </row>
    <row r="170" spans="1:15" s="288" customFormat="1" x14ac:dyDescent="0.3">
      <c r="A170" s="197">
        <v>169</v>
      </c>
      <c r="B170" s="281" t="s">
        <v>16</v>
      </c>
      <c r="C170" s="282" t="s">
        <v>259</v>
      </c>
      <c r="D170" s="283" t="s">
        <v>21</v>
      </c>
      <c r="E170" s="283" t="s">
        <v>15</v>
      </c>
      <c r="F170" s="284">
        <v>353018112447284</v>
      </c>
      <c r="G170" s="283"/>
      <c r="H170" s="285">
        <v>45891</v>
      </c>
      <c r="I170" s="286">
        <v>180</v>
      </c>
      <c r="J170" s="286"/>
      <c r="K170" s="285">
        <v>45898</v>
      </c>
      <c r="L170" s="287">
        <f>Таблица3[[#This Row],[OLINGAN NARXI $]]+Таблица3[[#This Row],[RASXOD]]</f>
        <v>160</v>
      </c>
      <c r="M170" s="286">
        <v>230</v>
      </c>
      <c r="N170" s="286">
        <v>50</v>
      </c>
      <c r="O170" s="282">
        <v>991600036</v>
      </c>
    </row>
    <row r="171" spans="1:15" s="288" customFormat="1" x14ac:dyDescent="0.3">
      <c r="A171" s="197">
        <v>170</v>
      </c>
      <c r="B171" s="281" t="s">
        <v>16</v>
      </c>
      <c r="C171" s="282" t="s">
        <v>109</v>
      </c>
      <c r="D171" s="283" t="s">
        <v>21</v>
      </c>
      <c r="E171" s="283" t="s">
        <v>22</v>
      </c>
      <c r="F171" s="284">
        <v>356175096153093</v>
      </c>
      <c r="G171" s="283"/>
      <c r="H171" s="285">
        <v>45897</v>
      </c>
      <c r="I171" s="286">
        <v>200</v>
      </c>
      <c r="J171" s="286"/>
      <c r="K171" s="285">
        <v>45898</v>
      </c>
      <c r="L171" s="287">
        <f>Таблица3[[#This Row],[OLINGAN NARXI $]]+Таблица3[[#This Row],[RASXOD]]</f>
        <v>160</v>
      </c>
      <c r="M171" s="286">
        <v>216</v>
      </c>
      <c r="N171" s="286">
        <v>16</v>
      </c>
      <c r="O171" s="282" t="s">
        <v>262</v>
      </c>
    </row>
    <row r="172" spans="1:15" s="288" customFormat="1" x14ac:dyDescent="0.3">
      <c r="A172" s="197">
        <v>171</v>
      </c>
      <c r="B172" s="281" t="s">
        <v>16</v>
      </c>
      <c r="C172" s="282" t="s">
        <v>1567</v>
      </c>
      <c r="D172" s="283" t="s">
        <v>21</v>
      </c>
      <c r="E172" s="283" t="s">
        <v>15</v>
      </c>
      <c r="F172" s="284">
        <v>356460103376568</v>
      </c>
      <c r="G172" s="283"/>
      <c r="H172" s="285">
        <v>45898</v>
      </c>
      <c r="I172" s="286">
        <v>130</v>
      </c>
      <c r="J172" s="286"/>
      <c r="K172" s="285">
        <v>45898</v>
      </c>
      <c r="L172" s="287">
        <f>Таблица3[[#This Row],[OLINGAN NARXI $]]+Таблица3[[#This Row],[RASXOD]]</f>
        <v>550</v>
      </c>
      <c r="M172" s="286">
        <v>202</v>
      </c>
      <c r="N172" s="286">
        <v>72</v>
      </c>
      <c r="O172" s="282">
        <v>918707721</v>
      </c>
    </row>
    <row r="173" spans="1:15" s="253" customFormat="1" x14ac:dyDescent="0.3">
      <c r="A173" s="197">
        <v>172</v>
      </c>
      <c r="B173" s="245" t="s">
        <v>207</v>
      </c>
      <c r="C173" s="246" t="s">
        <v>437</v>
      </c>
      <c r="D173" s="247" t="s">
        <v>21</v>
      </c>
      <c r="E173" s="247" t="s">
        <v>22</v>
      </c>
      <c r="F173" s="248"/>
      <c r="G173" s="247"/>
      <c r="H173" s="250">
        <v>45877</v>
      </c>
      <c r="I173" s="251">
        <v>140</v>
      </c>
      <c r="J173" s="251"/>
      <c r="K173" s="250">
        <v>45898</v>
      </c>
      <c r="L173" s="252">
        <f>Таблица3[[#This Row],[OLINGAN NARXI $]]+Таблица3[[#This Row],[RASXOD]]</f>
        <v>421.2</v>
      </c>
      <c r="M173" s="251">
        <v>170</v>
      </c>
      <c r="N173" s="251">
        <v>30</v>
      </c>
      <c r="O173" s="246" t="s">
        <v>1596</v>
      </c>
    </row>
    <row r="174" spans="1:15" s="304" customFormat="1" x14ac:dyDescent="0.3">
      <c r="A174" s="197">
        <v>173</v>
      </c>
      <c r="B174" s="197" t="s">
        <v>16</v>
      </c>
      <c r="C174" s="297" t="s">
        <v>25</v>
      </c>
      <c r="D174" s="197" t="s">
        <v>26</v>
      </c>
      <c r="E174" s="298" t="s">
        <v>22</v>
      </c>
      <c r="F174" s="299">
        <v>355458124225492</v>
      </c>
      <c r="G174" s="298"/>
      <c r="H174" s="300">
        <v>45886</v>
      </c>
      <c r="I174" s="301">
        <v>940</v>
      </c>
      <c r="J174" s="301"/>
      <c r="K174" s="300">
        <v>45892</v>
      </c>
      <c r="L174" s="303">
        <v>940</v>
      </c>
      <c r="M174" s="301">
        <v>970</v>
      </c>
      <c r="N174" s="301">
        <v>15</v>
      </c>
      <c r="O174" s="297" t="s">
        <v>1641</v>
      </c>
    </row>
    <row r="175" spans="1:15" s="304" customFormat="1" x14ac:dyDescent="0.3">
      <c r="A175" s="197">
        <v>174</v>
      </c>
      <c r="B175" s="197" t="s">
        <v>16</v>
      </c>
      <c r="C175" s="297" t="s">
        <v>1368</v>
      </c>
      <c r="D175" s="197" t="s">
        <v>65</v>
      </c>
      <c r="E175" s="298" t="s">
        <v>15</v>
      </c>
      <c r="F175" s="299">
        <v>353076694810519</v>
      </c>
      <c r="G175" s="298"/>
      <c r="H175" s="300">
        <v>45863</v>
      </c>
      <c r="I175" s="301">
        <v>310</v>
      </c>
      <c r="J175" s="301"/>
      <c r="K175" s="300">
        <v>45892</v>
      </c>
      <c r="L175" s="303">
        <v>310</v>
      </c>
      <c r="M175" s="301">
        <v>370</v>
      </c>
      <c r="N175" s="301">
        <v>30</v>
      </c>
      <c r="O175" s="297" t="s">
        <v>1473</v>
      </c>
    </row>
    <row r="176" spans="1:15" s="304" customFormat="1" x14ac:dyDescent="0.3">
      <c r="A176" s="197">
        <v>175</v>
      </c>
      <c r="B176" s="197" t="s">
        <v>16</v>
      </c>
      <c r="C176" s="297" t="s">
        <v>132</v>
      </c>
      <c r="D176" s="197" t="s">
        <v>21</v>
      </c>
      <c r="E176" s="298" t="s">
        <v>15</v>
      </c>
      <c r="F176" s="299">
        <v>359458689927561</v>
      </c>
      <c r="G176" s="197" t="s">
        <v>1454</v>
      </c>
      <c r="H176" s="300">
        <v>45851</v>
      </c>
      <c r="I176" s="301">
        <v>160</v>
      </c>
      <c r="J176" s="301">
        <v>39</v>
      </c>
      <c r="K176" s="300" t="s">
        <v>973</v>
      </c>
      <c r="L176" s="303">
        <v>199</v>
      </c>
      <c r="M176" s="301">
        <v>250</v>
      </c>
      <c r="N176" s="301">
        <v>25</v>
      </c>
      <c r="O176" s="297">
        <v>950705729</v>
      </c>
    </row>
    <row r="177" spans="1:15" s="304" customFormat="1" x14ac:dyDescent="0.3">
      <c r="A177" s="197">
        <v>176</v>
      </c>
      <c r="B177" s="197" t="s">
        <v>16</v>
      </c>
      <c r="C177" s="297" t="s">
        <v>1368</v>
      </c>
      <c r="D177" s="197" t="s">
        <v>21</v>
      </c>
      <c r="E177" s="298" t="s">
        <v>15</v>
      </c>
      <c r="F177" s="299">
        <v>356688114608732</v>
      </c>
      <c r="G177" s="298"/>
      <c r="H177" s="300">
        <v>45863</v>
      </c>
      <c r="I177" s="301">
        <v>310</v>
      </c>
      <c r="J177" s="301"/>
      <c r="K177" s="300">
        <v>45897</v>
      </c>
      <c r="L177" s="303">
        <v>310</v>
      </c>
      <c r="M177" s="301">
        <v>360</v>
      </c>
      <c r="N177" s="301">
        <v>25</v>
      </c>
      <c r="O177" s="297" t="s">
        <v>1473</v>
      </c>
    </row>
    <row r="178" spans="1:15" s="288" customFormat="1" x14ac:dyDescent="0.3">
      <c r="A178" s="197">
        <v>177</v>
      </c>
      <c r="B178" s="281" t="s">
        <v>16</v>
      </c>
      <c r="C178" s="282" t="s">
        <v>1538</v>
      </c>
      <c r="D178" s="283" t="s">
        <v>26</v>
      </c>
      <c r="E178" s="283" t="s">
        <v>22</v>
      </c>
      <c r="F178" s="284">
        <v>358797330831818</v>
      </c>
      <c r="G178" s="283"/>
      <c r="H178" s="285">
        <v>45891</v>
      </c>
      <c r="I178" s="286">
        <v>930</v>
      </c>
      <c r="J178" s="286"/>
      <c r="K178" s="285">
        <v>45898</v>
      </c>
      <c r="L178" s="287">
        <f>Таблица3[[#This Row],[OLINGAN NARXI $]]+Таблица3[[#This Row],[RASXOD]]</f>
        <v>80</v>
      </c>
      <c r="M178" s="286">
        <v>1000</v>
      </c>
      <c r="N178" s="286">
        <v>70</v>
      </c>
      <c r="O178" s="282"/>
    </row>
    <row r="179" spans="1:15" s="288" customFormat="1" x14ac:dyDescent="0.3">
      <c r="A179" s="197">
        <v>178</v>
      </c>
      <c r="B179" s="281" t="s">
        <v>16</v>
      </c>
      <c r="C179" s="282" t="s">
        <v>1538</v>
      </c>
      <c r="D179" s="283"/>
      <c r="E179" s="283"/>
      <c r="F179" s="284"/>
      <c r="G179" s="283"/>
      <c r="H179" s="285">
        <v>45898</v>
      </c>
      <c r="I179" s="286"/>
      <c r="J179" s="286"/>
      <c r="K179" s="285">
        <v>45898</v>
      </c>
      <c r="L179" s="287">
        <v>20</v>
      </c>
      <c r="M179" s="286">
        <v>20</v>
      </c>
      <c r="N179" s="286">
        <f>Таблица3758910111415[[#This Row],[SOTILGAN NARXI]]-Таблица3758910111415[[#This Row],[OLINGAN NARXI $]]-Таблица3758910111415[[#This Row],[RASXOD]]</f>
        <v>20</v>
      </c>
      <c r="O179" s="282" t="s">
        <v>1707</v>
      </c>
    </row>
    <row r="180" spans="1:15" s="288" customFormat="1" x14ac:dyDescent="0.3">
      <c r="A180" s="197">
        <v>179</v>
      </c>
      <c r="B180" s="281" t="s">
        <v>1077</v>
      </c>
      <c r="C180" s="282" t="s">
        <v>1632</v>
      </c>
      <c r="D180" s="283" t="s">
        <v>21</v>
      </c>
      <c r="E180" s="283" t="s">
        <v>22</v>
      </c>
      <c r="F180" s="284">
        <v>868451063149187</v>
      </c>
      <c r="G180" s="283"/>
      <c r="H180" s="285">
        <v>45886</v>
      </c>
      <c r="I180" s="286">
        <v>158</v>
      </c>
      <c r="J180" s="286"/>
      <c r="K180" s="285">
        <v>45898</v>
      </c>
      <c r="L180" s="287">
        <f>Таблица3[[#This Row],[OLINGAN NARXI $]]+Таблица3[[#This Row],[RASXOD]]</f>
        <v>0</v>
      </c>
      <c r="M180" s="286">
        <v>240</v>
      </c>
      <c r="N180" s="286">
        <v>82</v>
      </c>
      <c r="O180" s="282" t="s">
        <v>1633</v>
      </c>
    </row>
    <row r="181" spans="1:15" s="288" customFormat="1" x14ac:dyDescent="0.3">
      <c r="A181" s="197">
        <v>180</v>
      </c>
      <c r="B181" s="281" t="s">
        <v>13</v>
      </c>
      <c r="C181" s="282" t="s">
        <v>115</v>
      </c>
      <c r="D181" s="283" t="s">
        <v>35</v>
      </c>
      <c r="E181" s="283" t="s">
        <v>15</v>
      </c>
      <c r="F181" s="284">
        <v>351376413233973</v>
      </c>
      <c r="G181" s="283"/>
      <c r="H181" s="285">
        <v>45872</v>
      </c>
      <c r="I181" s="286">
        <v>210</v>
      </c>
      <c r="J181" s="286"/>
      <c r="K181" s="285">
        <v>45898</v>
      </c>
      <c r="L181" s="287">
        <f>Таблица3[[#This Row],[OLINGAN NARXI $]]+Таблица3[[#This Row],[RASXOD]]</f>
        <v>0</v>
      </c>
      <c r="M181" s="286">
        <v>240</v>
      </c>
      <c r="N181" s="286">
        <v>30</v>
      </c>
      <c r="O181" s="282" t="s">
        <v>19</v>
      </c>
    </row>
    <row r="182" spans="1:15" s="288" customFormat="1" x14ac:dyDescent="0.3">
      <c r="A182" s="197">
        <v>181</v>
      </c>
      <c r="B182" s="281" t="s">
        <v>13</v>
      </c>
      <c r="C182" s="282" t="s">
        <v>115</v>
      </c>
      <c r="D182" s="283" t="s">
        <v>830</v>
      </c>
      <c r="E182" s="283" t="s">
        <v>15</v>
      </c>
      <c r="F182" s="284">
        <v>354773804187643</v>
      </c>
      <c r="G182" s="283"/>
      <c r="H182" s="285">
        <v>45876</v>
      </c>
      <c r="I182" s="286">
        <v>210</v>
      </c>
      <c r="J182" s="286"/>
      <c r="K182" s="285">
        <v>45898</v>
      </c>
      <c r="L182" s="287">
        <f>Таблица3[[#This Row],[OLINGAN NARXI $]]+Таблица3[[#This Row],[RASXOD]]</f>
        <v>0</v>
      </c>
      <c r="M182" s="286">
        <v>240</v>
      </c>
      <c r="N182" s="286">
        <v>30</v>
      </c>
      <c r="O182" s="282" t="s">
        <v>19</v>
      </c>
    </row>
    <row r="183" spans="1:15" s="253" customFormat="1" x14ac:dyDescent="0.3">
      <c r="A183" s="197">
        <v>182</v>
      </c>
      <c r="B183" s="245" t="s">
        <v>16</v>
      </c>
      <c r="C183" s="246" t="s">
        <v>34</v>
      </c>
      <c r="D183" s="247" t="s">
        <v>35</v>
      </c>
      <c r="E183" s="247" t="s">
        <v>22</v>
      </c>
      <c r="F183" s="248">
        <v>358165604913235</v>
      </c>
      <c r="G183" s="247"/>
      <c r="H183" s="250">
        <v>45896</v>
      </c>
      <c r="I183" s="251">
        <v>720</v>
      </c>
      <c r="J183" s="251"/>
      <c r="K183" s="250">
        <v>45899</v>
      </c>
      <c r="L183" s="252">
        <f>Таблица3[[#This Row],[OLINGAN NARXI $]]+Таблица3[[#This Row],[RASXOD]]</f>
        <v>0</v>
      </c>
      <c r="M183" s="251">
        <v>770</v>
      </c>
      <c r="N183" s="251">
        <v>50</v>
      </c>
      <c r="O183" s="246" t="s">
        <v>262</v>
      </c>
    </row>
    <row r="184" spans="1:15" s="253" customFormat="1" x14ac:dyDescent="0.3">
      <c r="A184" s="197">
        <v>183</v>
      </c>
      <c r="B184" s="245" t="s">
        <v>16</v>
      </c>
      <c r="C184" s="246" t="s">
        <v>148</v>
      </c>
      <c r="D184" s="247" t="s">
        <v>18</v>
      </c>
      <c r="E184" s="247" t="s">
        <v>22</v>
      </c>
      <c r="F184" s="248">
        <v>355513316880460</v>
      </c>
      <c r="G184" s="245" t="s">
        <v>1369</v>
      </c>
      <c r="H184" s="250">
        <v>45829</v>
      </c>
      <c r="I184" s="251">
        <v>250</v>
      </c>
      <c r="J184" s="251"/>
      <c r="K184" s="250">
        <v>45899</v>
      </c>
      <c r="L184" s="252">
        <f>Таблица3[[#This Row],[OLINGAN NARXI $]]+Таблица3[[#This Row],[RASXOD]]</f>
        <v>0</v>
      </c>
      <c r="M184" s="251">
        <v>330</v>
      </c>
      <c r="N184" s="251">
        <v>80</v>
      </c>
      <c r="O184" s="246">
        <v>949286761</v>
      </c>
    </row>
    <row r="185" spans="1:15" s="253" customFormat="1" x14ac:dyDescent="0.3">
      <c r="A185" s="197">
        <v>184</v>
      </c>
      <c r="B185" s="245" t="s">
        <v>1077</v>
      </c>
      <c r="C185" s="246" t="s">
        <v>1658</v>
      </c>
      <c r="D185" s="247" t="s">
        <v>21</v>
      </c>
      <c r="E185" s="247" t="s">
        <v>15</v>
      </c>
      <c r="F185" s="248">
        <v>862938067762789</v>
      </c>
      <c r="G185" s="247"/>
      <c r="H185" s="250">
        <v>45891</v>
      </c>
      <c r="I185" s="251">
        <v>51</v>
      </c>
      <c r="J185" s="251"/>
      <c r="K185" s="250">
        <v>45899</v>
      </c>
      <c r="L185" s="252">
        <f>Таблица3[[#This Row],[OLINGAN NARXI $]]+Таблица3[[#This Row],[RASXOD]]</f>
        <v>0</v>
      </c>
      <c r="M185" s="251">
        <v>96</v>
      </c>
      <c r="N185" s="251">
        <v>45</v>
      </c>
      <c r="O185" s="246">
        <v>777927575</v>
      </c>
    </row>
    <row r="186" spans="1:15" s="253" customFormat="1" x14ac:dyDescent="0.3">
      <c r="A186" s="197">
        <v>185</v>
      </c>
      <c r="B186" s="245" t="s">
        <v>16</v>
      </c>
      <c r="C186" s="246" t="s">
        <v>81</v>
      </c>
      <c r="D186" s="247" t="s">
        <v>97</v>
      </c>
      <c r="E186" s="247" t="s">
        <v>15</v>
      </c>
      <c r="F186" s="248">
        <v>355600722850847</v>
      </c>
      <c r="G186" s="247"/>
      <c r="H186" s="250">
        <v>45892</v>
      </c>
      <c r="I186" s="251">
        <v>480</v>
      </c>
      <c r="J186" s="251"/>
      <c r="K186" s="250">
        <v>45899</v>
      </c>
      <c r="L186" s="252">
        <f>Таблица3[[#This Row],[OLINGAN NARXI $]]+Таблица3[[#This Row],[RASXOD]]</f>
        <v>0</v>
      </c>
      <c r="M186" s="251">
        <v>550</v>
      </c>
      <c r="N186" s="251">
        <v>70</v>
      </c>
      <c r="O186" s="246" t="s">
        <v>1664</v>
      </c>
    </row>
    <row r="187" spans="1:15" s="253" customFormat="1" x14ac:dyDescent="0.3">
      <c r="A187" s="197">
        <v>186</v>
      </c>
      <c r="B187" s="245" t="s">
        <v>13</v>
      </c>
      <c r="C187" s="246" t="s">
        <v>117</v>
      </c>
      <c r="D187" s="247" t="s">
        <v>89</v>
      </c>
      <c r="E187" s="247" t="s">
        <v>15</v>
      </c>
      <c r="F187" s="248">
        <v>352854660790159</v>
      </c>
      <c r="G187" s="247"/>
      <c r="H187" s="250">
        <v>45615</v>
      </c>
      <c r="I187" s="251">
        <v>244</v>
      </c>
      <c r="J187" s="251">
        <v>12</v>
      </c>
      <c r="K187" s="250">
        <v>45899</v>
      </c>
      <c r="L187" s="252">
        <f>Таблица3[[#This Row],[OLINGAN NARXI $]]+Таблица3[[#This Row],[RASXOD]]</f>
        <v>0</v>
      </c>
      <c r="M187" s="251">
        <v>260</v>
      </c>
      <c r="N187" s="251">
        <v>4</v>
      </c>
      <c r="O187" s="246" t="s">
        <v>147</v>
      </c>
    </row>
    <row r="188" spans="1:15" s="253" customFormat="1" x14ac:dyDescent="0.3">
      <c r="A188" s="197">
        <v>187</v>
      </c>
      <c r="B188" s="245" t="s">
        <v>13</v>
      </c>
      <c r="C188" s="246" t="s">
        <v>1082</v>
      </c>
      <c r="D188" s="247" t="s">
        <v>21</v>
      </c>
      <c r="E188" s="247" t="s">
        <v>15</v>
      </c>
      <c r="F188" s="248">
        <v>869632038139911</v>
      </c>
      <c r="G188" s="247" t="s">
        <v>282</v>
      </c>
      <c r="H188" s="250">
        <v>45873</v>
      </c>
      <c r="I188" s="251">
        <v>160</v>
      </c>
      <c r="J188" s="251">
        <v>4.7</v>
      </c>
      <c r="K188" s="250">
        <v>45899</v>
      </c>
      <c r="L188" s="252">
        <f>Таблица3[[#This Row],[OLINGAN NARXI $]]+Таблица3[[#This Row],[RASXOD]]</f>
        <v>0</v>
      </c>
      <c r="M188" s="251">
        <v>200</v>
      </c>
      <c r="N188" s="251">
        <v>35.299999999999997</v>
      </c>
      <c r="O188" s="246" t="s">
        <v>1367</v>
      </c>
    </row>
    <row r="189" spans="1:15" s="253" customFormat="1" x14ac:dyDescent="0.3">
      <c r="A189" s="197">
        <v>188</v>
      </c>
      <c r="B189" s="245" t="s">
        <v>16</v>
      </c>
      <c r="C189" s="246" t="s">
        <v>312</v>
      </c>
      <c r="D189" s="247" t="s">
        <v>65</v>
      </c>
      <c r="E189" s="247" t="s">
        <v>15</v>
      </c>
      <c r="F189" s="248">
        <v>351624699263378</v>
      </c>
      <c r="G189" s="247" t="s">
        <v>66</v>
      </c>
      <c r="H189" s="250">
        <v>45899</v>
      </c>
      <c r="I189" s="251">
        <v>400</v>
      </c>
      <c r="J189" s="251"/>
      <c r="K189" s="250">
        <v>45899</v>
      </c>
      <c r="L189" s="252">
        <f>Таблица3[[#This Row],[OLINGAN NARXI $]]+Таблица3[[#This Row],[RASXOD]]</f>
        <v>0</v>
      </c>
      <c r="M189" s="251">
        <v>520</v>
      </c>
      <c r="N189" s="251">
        <v>120</v>
      </c>
      <c r="O189" s="246" t="s">
        <v>1712</v>
      </c>
    </row>
    <row r="190" spans="1:15" s="288" customFormat="1" x14ac:dyDescent="0.3">
      <c r="A190" s="197">
        <v>189</v>
      </c>
      <c r="B190" s="281" t="s">
        <v>16</v>
      </c>
      <c r="C190" s="282" t="s">
        <v>96</v>
      </c>
      <c r="D190" s="283" t="s">
        <v>18</v>
      </c>
      <c r="E190" s="283" t="s">
        <v>15</v>
      </c>
      <c r="F190" s="284">
        <v>353844105104313</v>
      </c>
      <c r="G190" s="283"/>
      <c r="H190" s="285">
        <v>45895</v>
      </c>
      <c r="I190" s="286">
        <v>150</v>
      </c>
      <c r="J190" s="286"/>
      <c r="K190" s="285">
        <v>45900</v>
      </c>
      <c r="L190" s="287">
        <f>Таблица3[[#This Row],[OLINGAN NARXI $]]+Таблица3[[#This Row],[RASXOD]]</f>
        <v>0</v>
      </c>
      <c r="M190" s="286">
        <v>230</v>
      </c>
      <c r="N190" s="286">
        <v>80</v>
      </c>
      <c r="O190" s="282" t="s">
        <v>1676</v>
      </c>
    </row>
    <row r="191" spans="1:15" s="326" customFormat="1" x14ac:dyDescent="0.3">
      <c r="A191" s="197">
        <v>190</v>
      </c>
      <c r="B191" s="319" t="s">
        <v>13</v>
      </c>
      <c r="C191" s="320" t="s">
        <v>1115</v>
      </c>
      <c r="D191" s="321" t="s">
        <v>123</v>
      </c>
      <c r="E191" s="321" t="s">
        <v>15</v>
      </c>
      <c r="F191" s="322">
        <v>352649114464314</v>
      </c>
      <c r="G191" s="321" t="s">
        <v>98</v>
      </c>
      <c r="H191" s="323">
        <v>45778</v>
      </c>
      <c r="I191" s="324">
        <v>245</v>
      </c>
      <c r="J191" s="324"/>
      <c r="K191" s="323">
        <v>45900</v>
      </c>
      <c r="L191" s="325">
        <f>Таблица3[[#This Row],[OLINGAN NARXI $]]+Таблица3[[#This Row],[RASXOD]]</f>
        <v>120</v>
      </c>
      <c r="M191" s="324">
        <v>292</v>
      </c>
      <c r="N191" s="324">
        <v>47</v>
      </c>
      <c r="O191" s="320" t="s">
        <v>19</v>
      </c>
    </row>
    <row r="192" spans="1:15" s="288" customFormat="1" x14ac:dyDescent="0.3">
      <c r="A192" s="197">
        <v>191</v>
      </c>
      <c r="B192" s="281" t="s">
        <v>16</v>
      </c>
      <c r="C192" s="282" t="s">
        <v>104</v>
      </c>
      <c r="D192" s="283" t="s">
        <v>18</v>
      </c>
      <c r="E192" s="283" t="s">
        <v>15</v>
      </c>
      <c r="F192" s="284">
        <v>356725116798077</v>
      </c>
      <c r="G192" s="283"/>
      <c r="H192" s="285">
        <v>45876</v>
      </c>
      <c r="I192" s="286">
        <v>390</v>
      </c>
      <c r="J192" s="286"/>
      <c r="K192" s="285">
        <v>45900</v>
      </c>
      <c r="L192" s="287">
        <f>Таблица3[[#This Row],[OLINGAN NARXI $]]+Таблица3[[#This Row],[RASXOD]]</f>
        <v>30</v>
      </c>
      <c r="M192" s="286">
        <v>445</v>
      </c>
      <c r="N192" s="286">
        <v>55</v>
      </c>
      <c r="O192" s="282" t="s">
        <v>19</v>
      </c>
    </row>
    <row r="193" spans="1:15" s="288" customFormat="1" x14ac:dyDescent="0.3">
      <c r="A193" s="197">
        <v>192</v>
      </c>
      <c r="B193" s="281" t="s">
        <v>16</v>
      </c>
      <c r="C193" s="282" t="s">
        <v>1326</v>
      </c>
      <c r="D193" s="283" t="s">
        <v>21</v>
      </c>
      <c r="E193" s="283" t="s">
        <v>15</v>
      </c>
      <c r="F193" s="284">
        <v>357268095937662</v>
      </c>
      <c r="G193" s="283" t="s">
        <v>1711</v>
      </c>
      <c r="H193" s="285">
        <v>45899</v>
      </c>
      <c r="I193" s="286">
        <v>160</v>
      </c>
      <c r="J193" s="286"/>
      <c r="K193" s="285">
        <v>45900</v>
      </c>
      <c r="L193" s="287">
        <f>Таблица3[[#This Row],[OLINGAN NARXI $]]+Таблица3[[#This Row],[RASXOD]]</f>
        <v>48</v>
      </c>
      <c r="M193" s="286">
        <v>200</v>
      </c>
      <c r="N193" s="286">
        <v>40</v>
      </c>
      <c r="O193" s="282" t="s">
        <v>262</v>
      </c>
    </row>
    <row r="194" spans="1:15" s="326" customFormat="1" x14ac:dyDescent="0.3">
      <c r="A194" s="197">
        <v>193</v>
      </c>
      <c r="B194" s="319" t="s">
        <v>1077</v>
      </c>
      <c r="C194" s="320" t="s">
        <v>1678</v>
      </c>
      <c r="D194" s="321" t="s">
        <v>21</v>
      </c>
      <c r="E194" s="321" t="s">
        <v>15</v>
      </c>
      <c r="F194" s="322">
        <v>868256060408845</v>
      </c>
      <c r="G194" s="321" t="s">
        <v>1369</v>
      </c>
      <c r="H194" s="323">
        <v>45897</v>
      </c>
      <c r="I194" s="324">
        <v>40</v>
      </c>
      <c r="J194" s="324"/>
      <c r="K194" s="323">
        <v>45900</v>
      </c>
      <c r="L194" s="325">
        <f>Таблица3[[#This Row],[OLINGAN NARXI $]]+Таблица3[[#This Row],[RASXOD]]</f>
        <v>440</v>
      </c>
      <c r="M194" s="324">
        <v>80</v>
      </c>
      <c r="N194" s="324">
        <v>40</v>
      </c>
      <c r="O194" s="320" t="s">
        <v>1679</v>
      </c>
    </row>
    <row r="195" spans="1:15" s="326" customFormat="1" x14ac:dyDescent="0.3">
      <c r="A195" s="197">
        <v>194</v>
      </c>
      <c r="B195" s="319" t="s">
        <v>16</v>
      </c>
      <c r="C195" s="320" t="s">
        <v>17</v>
      </c>
      <c r="D195" s="321" t="s">
        <v>97</v>
      </c>
      <c r="E195" s="321" t="s">
        <v>15</v>
      </c>
      <c r="F195" s="322">
        <v>352837110601126</v>
      </c>
      <c r="G195" s="321" t="s">
        <v>1644</v>
      </c>
      <c r="H195" s="323">
        <v>45874</v>
      </c>
      <c r="I195" s="324">
        <v>225</v>
      </c>
      <c r="J195" s="324"/>
      <c r="K195" s="323">
        <v>45900</v>
      </c>
      <c r="L195" s="325">
        <f>Таблица3[[#This Row],[OLINGAN NARXI $]]+Таблица3[[#This Row],[RASXOD]]</f>
        <v>490</v>
      </c>
      <c r="M195" s="324">
        <v>280</v>
      </c>
      <c r="N195" s="324">
        <v>55</v>
      </c>
      <c r="O195" s="320" t="s">
        <v>1563</v>
      </c>
    </row>
    <row r="196" spans="1:15" s="288" customFormat="1" x14ac:dyDescent="0.3">
      <c r="A196" s="197">
        <v>195</v>
      </c>
      <c r="B196" s="281" t="s">
        <v>13</v>
      </c>
      <c r="C196" s="282" t="s">
        <v>117</v>
      </c>
      <c r="D196" s="283" t="s">
        <v>89</v>
      </c>
      <c r="E196" s="283" t="s">
        <v>15</v>
      </c>
      <c r="F196" s="284">
        <v>352854660938642</v>
      </c>
      <c r="G196" s="283"/>
      <c r="H196" s="285">
        <v>45799</v>
      </c>
      <c r="I196" s="286">
        <v>210</v>
      </c>
      <c r="J196" s="286">
        <v>19.2</v>
      </c>
      <c r="K196" s="285">
        <v>45900</v>
      </c>
      <c r="L196" s="287">
        <f>Таблица3[[#This Row],[OLINGAN NARXI $]]+Таблица3[[#This Row],[RASXOD]]</f>
        <v>0</v>
      </c>
      <c r="M196" s="286">
        <v>290</v>
      </c>
      <c r="N196" s="286">
        <v>60.8</v>
      </c>
      <c r="O196" s="282" t="s">
        <v>147</v>
      </c>
    </row>
    <row r="197" spans="1:15" s="288" customFormat="1" x14ac:dyDescent="0.3">
      <c r="A197" s="197">
        <v>196</v>
      </c>
      <c r="B197" s="281" t="s">
        <v>16</v>
      </c>
      <c r="C197" s="282" t="s">
        <v>1718</v>
      </c>
      <c r="D197" s="283"/>
      <c r="E197" s="283"/>
      <c r="F197" s="284">
        <v>988</v>
      </c>
      <c r="G197" s="283"/>
      <c r="H197" s="285">
        <v>45900</v>
      </c>
      <c r="I197" s="286">
        <v>30</v>
      </c>
      <c r="J197" s="286"/>
      <c r="K197" s="285">
        <v>45900</v>
      </c>
      <c r="L197" s="287">
        <f>Таблица3758910111415[[#This Row],[OLINGAN NARXI $]]+Таблица3758910111415[[#This Row],[RASXOD]]</f>
        <v>30</v>
      </c>
      <c r="M197" s="286">
        <v>30</v>
      </c>
      <c r="N197" s="286">
        <v>30</v>
      </c>
      <c r="O197" s="282" t="s">
        <v>1719</v>
      </c>
    </row>
    <row r="198" spans="1:15" s="326" customFormat="1" x14ac:dyDescent="0.3">
      <c r="A198" s="197">
        <v>197</v>
      </c>
      <c r="B198" s="319" t="s">
        <v>13</v>
      </c>
      <c r="C198" s="320" t="s">
        <v>563</v>
      </c>
      <c r="D198" s="321" t="s">
        <v>21</v>
      </c>
      <c r="E198" s="321" t="s">
        <v>15</v>
      </c>
      <c r="F198" s="322">
        <v>352019422358188</v>
      </c>
      <c r="G198" s="321"/>
      <c r="H198" s="323">
        <v>45717</v>
      </c>
      <c r="I198" s="324">
        <v>400</v>
      </c>
      <c r="J198" s="324"/>
      <c r="K198" s="323">
        <v>45900</v>
      </c>
      <c r="L198" s="325">
        <f>Таблица3[[#This Row],[OLINGAN NARXI $]]+Таблица3[[#This Row],[RASXOD]]</f>
        <v>0</v>
      </c>
      <c r="M198" s="324">
        <v>454</v>
      </c>
      <c r="N198" s="324">
        <v>54</v>
      </c>
      <c r="O198" s="320" t="s">
        <v>262</v>
      </c>
    </row>
    <row r="199" spans="1:15" s="205" customFormat="1" x14ac:dyDescent="0.3">
      <c r="A199" s="197">
        <v>198</v>
      </c>
      <c r="B199" s="198" t="s">
        <v>16</v>
      </c>
      <c r="C199" s="199" t="s">
        <v>1000</v>
      </c>
      <c r="D199" s="200" t="s">
        <v>583</v>
      </c>
      <c r="E199" s="200" t="s">
        <v>22</v>
      </c>
      <c r="F199" s="201">
        <v>355506722744767</v>
      </c>
      <c r="G199" s="200"/>
      <c r="H199" s="202">
        <v>45884</v>
      </c>
      <c r="I199" s="203">
        <v>1150</v>
      </c>
      <c r="J199" s="203"/>
      <c r="K199" s="202">
        <v>45900</v>
      </c>
      <c r="L199" s="204">
        <f>Таблица3[[#This Row],[OLINGAN NARXI $]]+Таблица3[[#This Row],[RASXOD]]</f>
        <v>0</v>
      </c>
      <c r="M199" s="203">
        <v>1150</v>
      </c>
      <c r="N199" s="203">
        <v>0</v>
      </c>
      <c r="O199" s="199" t="s">
        <v>1612</v>
      </c>
    </row>
    <row r="200" spans="1:15" s="288" customFormat="1" x14ac:dyDescent="0.3">
      <c r="A200" s="197">
        <v>199</v>
      </c>
      <c r="B200" s="281" t="s">
        <v>13</v>
      </c>
      <c r="C200" s="282" t="s">
        <v>119</v>
      </c>
      <c r="D200" s="283" t="s">
        <v>21</v>
      </c>
      <c r="E200" s="283" t="s">
        <v>15</v>
      </c>
      <c r="F200" s="284">
        <v>350345220398114</v>
      </c>
      <c r="G200" s="283"/>
      <c r="H200" s="285">
        <v>45866</v>
      </c>
      <c r="I200" s="286">
        <v>280</v>
      </c>
      <c r="J200" s="286"/>
      <c r="K200" s="285">
        <v>45900</v>
      </c>
      <c r="L200" s="287">
        <f>Таблица3[[#This Row],[OLINGAN NARXI $]]+Таблица3[[#This Row],[RASXOD]]</f>
        <v>78.400000000000006</v>
      </c>
      <c r="M200" s="286">
        <v>370</v>
      </c>
      <c r="N200" s="286">
        <v>90</v>
      </c>
      <c r="O200" s="282" t="s">
        <v>19</v>
      </c>
    </row>
    <row r="201" spans="1:15" s="288" customFormat="1" x14ac:dyDescent="0.3">
      <c r="A201" s="197">
        <v>200</v>
      </c>
      <c r="B201" s="281" t="s">
        <v>16</v>
      </c>
      <c r="C201" s="282" t="s">
        <v>148</v>
      </c>
      <c r="D201" s="283" t="s">
        <v>65</v>
      </c>
      <c r="E201" s="283" t="s">
        <v>15</v>
      </c>
      <c r="F201" s="284">
        <v>357850271851294</v>
      </c>
      <c r="G201" s="283"/>
      <c r="H201" s="285">
        <v>45868</v>
      </c>
      <c r="I201" s="286">
        <v>300</v>
      </c>
      <c r="J201" s="286"/>
      <c r="K201" s="285">
        <v>45900</v>
      </c>
      <c r="L201" s="287">
        <f>Таблица3[[#This Row],[OLINGAN NARXI $]]+Таблица3[[#This Row],[RASXOD]]</f>
        <v>140</v>
      </c>
      <c r="M201" s="286">
        <v>400</v>
      </c>
      <c r="N201" s="286">
        <v>100</v>
      </c>
      <c r="O201" s="282">
        <v>950000216</v>
      </c>
    </row>
    <row r="202" spans="1:15" s="205" customFormat="1" x14ac:dyDescent="0.3">
      <c r="A202" s="197">
        <v>201</v>
      </c>
      <c r="B202" s="198"/>
      <c r="C202" s="199"/>
      <c r="D202" s="200"/>
      <c r="E202" s="200"/>
      <c r="F202" s="201"/>
      <c r="G202" s="200"/>
      <c r="H202" s="202"/>
      <c r="I202" s="203"/>
      <c r="J202" s="203"/>
      <c r="K202" s="202"/>
      <c r="L202" s="204">
        <f>Таблица3758910111415[[#This Row],[OLINGAN NARXI $]]+Таблица3758910111415[[#This Row],[RASXOD]]</f>
        <v>0</v>
      </c>
      <c r="M202" s="203"/>
      <c r="N202" s="203">
        <f>Таблица3758910111415[[#This Row],[SOTILGAN NARXI]]-Таблица3758910111415[[#This Row],[OLINGAN NARXI $]]-Таблица3758910111415[[#This Row],[RASXOD]]</f>
        <v>0</v>
      </c>
      <c r="O202" s="199"/>
    </row>
    <row r="203" spans="1:15" s="205" customFormat="1" x14ac:dyDescent="0.3">
      <c r="A203" s="197">
        <v>202</v>
      </c>
      <c r="B203" s="198"/>
      <c r="C203" s="199"/>
      <c r="D203" s="200"/>
      <c r="E203" s="200"/>
      <c r="F203" s="201"/>
      <c r="G203" s="200"/>
      <c r="H203" s="202"/>
      <c r="I203" s="203"/>
      <c r="J203" s="203"/>
      <c r="K203" s="202"/>
      <c r="L203" s="204">
        <f>Таблица3758910111415[[#This Row],[OLINGAN NARXI $]]+Таблица3758910111415[[#This Row],[RASXOD]]</f>
        <v>0</v>
      </c>
      <c r="M203" s="203"/>
      <c r="N203" s="203">
        <f>Таблица3758910111415[[#This Row],[SOTILGAN NARXI]]-Таблица3758910111415[[#This Row],[OLINGAN NARXI $]]-Таблица3758910111415[[#This Row],[RASXOD]]</f>
        <v>0</v>
      </c>
      <c r="O203" s="199"/>
    </row>
    <row r="204" spans="1:15" x14ac:dyDescent="0.3">
      <c r="A204" s="112"/>
      <c r="B204" s="23"/>
      <c r="C204" s="91" t="s">
        <v>1130</v>
      </c>
      <c r="D204" s="24" t="s">
        <v>1131</v>
      </c>
      <c r="E204" s="1"/>
      <c r="F204" s="270" t="s">
        <v>237</v>
      </c>
      <c r="G204" s="271" t="s">
        <v>238</v>
      </c>
      <c r="H204" s="43"/>
      <c r="I204" s="1"/>
      <c r="J204" s="4"/>
      <c r="K204" s="28"/>
      <c r="L204" s="58">
        <f>Таблица3758910111415[[#This Row],[OLINGAN NARXI $]]+Таблица3758910111415[[#This Row],[RASXOD]]</f>
        <v>0</v>
      </c>
      <c r="M204" s="1"/>
      <c r="N204" s="4">
        <f>Таблица3758910111415[[#This Row],[SOTILGAN NARXI]]-Таблица3758910111415[[#This Row],[OLINGAN NARXI $]]-Таблица3758910111415[[#This Row],[RASXOD]]</f>
        <v>0</v>
      </c>
      <c r="O204" s="6"/>
    </row>
    <row r="205" spans="1:15" x14ac:dyDescent="0.3">
      <c r="A205" s="112"/>
      <c r="B205" s="23"/>
      <c r="C205" s="89" t="s">
        <v>226</v>
      </c>
      <c r="D205" s="90">
        <v>22</v>
      </c>
      <c r="E205" s="1"/>
      <c r="F205" s="272" t="s">
        <v>1134</v>
      </c>
      <c r="G205" s="273">
        <v>122</v>
      </c>
      <c r="H205" s="2"/>
      <c r="I205" s="1"/>
      <c r="J205" s="4"/>
      <c r="K205" s="28"/>
      <c r="L205" s="58">
        <f>Таблица3758910111415[[#This Row],[OLINGAN NARXI $]]+Таблица3758910111415[[#This Row],[RASXOD]]</f>
        <v>0</v>
      </c>
      <c r="M205" s="1"/>
      <c r="N205" s="4">
        <f>Таблица3758910111415[[#This Row],[SOTILGAN NARXI]]-Таблица3758910111415[[#This Row],[OLINGAN NARXI $]]-Таблица3758910111415[[#This Row],[RASXOD]]</f>
        <v>0</v>
      </c>
      <c r="O205" s="6"/>
    </row>
    <row r="206" spans="1:15" x14ac:dyDescent="0.3">
      <c r="A206" s="113"/>
      <c r="B206" s="23"/>
      <c r="C206" s="86" t="s">
        <v>1132</v>
      </c>
      <c r="D206" s="87">
        <v>34</v>
      </c>
      <c r="E206" s="1"/>
      <c r="F206" s="272" t="s">
        <v>1299</v>
      </c>
      <c r="G206" s="273">
        <v>555</v>
      </c>
      <c r="H206" s="2"/>
      <c r="I206" s="1"/>
      <c r="J206" s="4"/>
      <c r="K206" s="5"/>
      <c r="L206" s="58">
        <f>Таблица3758910111415[[#This Row],[OLINGAN NARXI $]]+Таблица3758910111415[[#This Row],[RASXOD]]</f>
        <v>0</v>
      </c>
      <c r="M206" s="1"/>
      <c r="N206" s="4">
        <f>Таблица3758910111415[[#This Row],[SOTILGAN NARXI]]-Таблица3758910111415[[#This Row],[OLINGAN NARXI $]]-Таблица3758910111415[[#This Row],[RASXOD]]</f>
        <v>0</v>
      </c>
      <c r="O206" s="6"/>
    </row>
    <row r="207" spans="1:15" x14ac:dyDescent="0.3">
      <c r="A207" s="113"/>
      <c r="B207" s="23"/>
      <c r="C207" s="88" t="s">
        <v>1133</v>
      </c>
      <c r="D207" s="15">
        <v>111</v>
      </c>
      <c r="E207" s="1"/>
      <c r="F207" s="274" t="s">
        <v>1564</v>
      </c>
      <c r="G207" s="275">
        <v>22</v>
      </c>
      <c r="H207" s="2"/>
      <c r="I207" s="1"/>
      <c r="J207" s="4"/>
      <c r="K207" s="5"/>
      <c r="L207" s="58">
        <f>Таблица3758910111415[[#This Row],[OLINGAN NARXI $]]+Таблица3758910111415[[#This Row],[RASXOD]]</f>
        <v>0</v>
      </c>
      <c r="M207" s="1"/>
      <c r="N207" s="4">
        <f>Таблица3758910111415[[#This Row],[SOTILGAN NARXI]]-Таблица3758910111415[[#This Row],[OLINGAN NARXI $]]-Таблица3758910111415[[#This Row],[RASXOD]]</f>
        <v>0</v>
      </c>
      <c r="O207" s="6"/>
    </row>
    <row r="208" spans="1:15" x14ac:dyDescent="0.3">
      <c r="A208" s="113"/>
      <c r="B208" s="23"/>
      <c r="C208" s="137" t="s">
        <v>1378</v>
      </c>
      <c r="D208" s="138">
        <v>28</v>
      </c>
      <c r="E208" s="1"/>
      <c r="F208" s="276" t="s">
        <v>1571</v>
      </c>
      <c r="G208" s="273">
        <v>7</v>
      </c>
      <c r="H208" s="2"/>
      <c r="I208" s="1"/>
      <c r="J208" s="4"/>
      <c r="K208" s="5"/>
      <c r="L208" s="58">
        <f>Таблица3758910111415[[#This Row],[OLINGAN NARXI $]]+Таблица3758910111415[[#This Row],[RASXOD]]</f>
        <v>0</v>
      </c>
      <c r="M208" s="1"/>
      <c r="N208" s="4">
        <f>Таблица3758910111415[[#This Row],[SOTILGAN NARXI]]-Таблица3758910111415[[#This Row],[OLINGAN NARXI $]]-Таблица3758910111415[[#This Row],[RASXOD]]</f>
        <v>0</v>
      </c>
      <c r="O208" s="6"/>
    </row>
    <row r="209" spans="1:15" x14ac:dyDescent="0.3">
      <c r="A209" s="113"/>
      <c r="B209" s="23"/>
      <c r="C209" s="17" t="s">
        <v>1450</v>
      </c>
      <c r="D209" s="18">
        <v>1</v>
      </c>
      <c r="E209" s="1"/>
      <c r="F209" s="274" t="s">
        <v>1572</v>
      </c>
      <c r="G209" s="275">
        <v>122.81</v>
      </c>
      <c r="H209" s="2"/>
      <c r="I209" s="1"/>
      <c r="J209" s="4"/>
      <c r="K209" s="5"/>
      <c r="L209" s="58">
        <f>Таблица3758910111415[[#This Row],[OLINGAN NARXI $]]+Таблица3758910111415[[#This Row],[RASXOD]]</f>
        <v>0</v>
      </c>
      <c r="M209" s="1"/>
      <c r="N209" s="4">
        <f>Таблица3758910111415[[#This Row],[SOTILGAN NARXI]]-Таблица3758910111415[[#This Row],[OLINGAN NARXI $]]-Таблица3758910111415[[#This Row],[RASXOD]]</f>
        <v>0</v>
      </c>
      <c r="O209" s="6"/>
    </row>
    <row r="210" spans="1:15" x14ac:dyDescent="0.3">
      <c r="A210" s="113"/>
      <c r="B210" s="23"/>
      <c r="C210" s="12" t="s">
        <v>1600</v>
      </c>
      <c r="D210" s="11"/>
      <c r="E210" s="1"/>
      <c r="F210" s="276" t="s">
        <v>1634</v>
      </c>
      <c r="G210" s="273">
        <v>100</v>
      </c>
      <c r="H210" s="2"/>
      <c r="I210" s="1"/>
      <c r="J210" s="4"/>
      <c r="K210" s="5"/>
      <c r="L210" s="58">
        <f>Таблица3758910111415[[#This Row],[OLINGAN NARXI $]]+Таблица3758910111415[[#This Row],[RASXOD]]</f>
        <v>0</v>
      </c>
      <c r="M210" s="1"/>
      <c r="N210" s="4">
        <f>Таблица3758910111415[[#This Row],[SOTILGAN NARXI]]-Таблица3758910111415[[#This Row],[OLINGAN NARXI $]]-Таблица3758910111415[[#This Row],[RASXOD]]</f>
        <v>0</v>
      </c>
      <c r="O210" s="6"/>
    </row>
    <row r="211" spans="1:15" x14ac:dyDescent="0.3">
      <c r="A211" s="113"/>
      <c r="B211" s="23"/>
      <c r="C211" s="71" t="s">
        <v>1573</v>
      </c>
      <c r="D211" s="140">
        <f>D209+D208+D207+D206+D205-D210</f>
        <v>196</v>
      </c>
      <c r="E211" s="1"/>
      <c r="F211" s="276" t="s">
        <v>1589</v>
      </c>
      <c r="G211" s="275">
        <v>80</v>
      </c>
      <c r="H211" s="2"/>
      <c r="I211" s="1"/>
      <c r="J211" s="4"/>
      <c r="K211" s="5"/>
      <c r="L211" s="58">
        <f>Таблица3758910111415[[#This Row],[OLINGAN NARXI $]]+Таблица3758910111415[[#This Row],[RASXOD]]</f>
        <v>0</v>
      </c>
      <c r="M211" s="1"/>
      <c r="N211" s="4">
        <f>Таблица3758910111415[[#This Row],[SOTILGAN NARXI]]-Таблица3758910111415[[#This Row],[OLINGAN NARXI $]]-Таблица3758910111415[[#This Row],[RASXOD]]</f>
        <v>0</v>
      </c>
      <c r="O211" s="6"/>
    </row>
    <row r="212" spans="1:15" x14ac:dyDescent="0.3">
      <c r="A212" s="113"/>
      <c r="B212" s="23"/>
      <c r="C212" s="6"/>
      <c r="D212" s="23"/>
      <c r="E212" s="1"/>
      <c r="F212" s="276" t="s">
        <v>1599</v>
      </c>
      <c r="G212" s="275">
        <v>20</v>
      </c>
      <c r="H212" s="2"/>
      <c r="I212" s="1"/>
      <c r="J212" s="4"/>
      <c r="K212" s="5"/>
      <c r="L212" s="58">
        <f>Таблица3758910111415[[#This Row],[OLINGAN NARXI $]]+Таблица3758910111415[[#This Row],[RASXOD]]</f>
        <v>0</v>
      </c>
      <c r="M212" s="1"/>
      <c r="N212" s="4">
        <f>Таблица3758910111415[[#This Row],[SOTILGAN NARXI]]-Таблица3758910111415[[#This Row],[OLINGAN NARXI $]]-Таблица3758910111415[[#This Row],[RASXOD]]</f>
        <v>0</v>
      </c>
      <c r="O212" s="6"/>
    </row>
    <row r="213" spans="1:15" x14ac:dyDescent="0.3">
      <c r="A213" s="113"/>
      <c r="B213" s="23"/>
      <c r="C213" s="6"/>
      <c r="D213" s="23"/>
      <c r="E213" s="1"/>
      <c r="F213" s="276" t="s">
        <v>1442</v>
      </c>
      <c r="G213" s="275">
        <v>59</v>
      </c>
      <c r="H213" s="2"/>
      <c r="I213" s="1"/>
      <c r="J213" s="4"/>
      <c r="K213" s="5"/>
      <c r="L213" s="58">
        <f>Таблица3758910111415[[#This Row],[OLINGAN NARXI $]]+Таблица3758910111415[[#This Row],[RASXOD]]</f>
        <v>0</v>
      </c>
      <c r="M213" s="1"/>
      <c r="N213" s="4">
        <f>Таблица3758910111415[[#This Row],[SOTILGAN NARXI]]-Таблица3758910111415[[#This Row],[OLINGAN NARXI $]]-Таблица3758910111415[[#This Row],[RASXOD]]</f>
        <v>0</v>
      </c>
      <c r="O213" s="6"/>
    </row>
    <row r="214" spans="1:15" x14ac:dyDescent="0.3">
      <c r="A214" s="113"/>
      <c r="B214" s="23"/>
      <c r="C214" s="6"/>
      <c r="D214" s="23"/>
      <c r="E214" s="1"/>
      <c r="F214" s="276" t="s">
        <v>1672</v>
      </c>
      <c r="G214" s="275">
        <v>40.299999999999997</v>
      </c>
      <c r="H214" s="2"/>
      <c r="I214" s="1"/>
      <c r="J214" s="4"/>
      <c r="K214" s="5"/>
      <c r="L214" s="58">
        <f>Таблица3758910111415[[#This Row],[OLINGAN NARXI $]]+Таблица3758910111415[[#This Row],[RASXOD]]</f>
        <v>0</v>
      </c>
      <c r="M214" s="1"/>
      <c r="N214" s="4">
        <f>Таблица3758910111415[[#This Row],[SOTILGAN NARXI]]-Таблица3758910111415[[#This Row],[OLINGAN NARXI $]]-Таблица3758910111415[[#This Row],[RASXOD]]</f>
        <v>0</v>
      </c>
      <c r="O214" s="6"/>
    </row>
    <row r="215" spans="1:15" x14ac:dyDescent="0.3">
      <c r="A215" s="113"/>
      <c r="B215" s="23"/>
      <c r="C215" s="6"/>
      <c r="D215" s="23"/>
      <c r="E215" s="1"/>
      <c r="F215" s="276" t="s">
        <v>1706</v>
      </c>
      <c r="G215" s="275">
        <v>75</v>
      </c>
      <c r="H215" s="2"/>
      <c r="I215" s="1"/>
      <c r="J215" s="4"/>
      <c r="K215" s="5"/>
      <c r="L215" s="58">
        <f>Таблица3758910111415[[#This Row],[OLINGAN NARXI $]]+Таблица3758910111415[[#This Row],[RASXOD]]</f>
        <v>0</v>
      </c>
      <c r="M215" s="1"/>
      <c r="N215" s="4">
        <f>Таблица3758910111415[[#This Row],[SOTILGAN NARXI]]-Таблица3758910111415[[#This Row],[OLINGAN NARXI $]]-Таблица3758910111415[[#This Row],[RASXOD]]</f>
        <v>0</v>
      </c>
      <c r="O215" s="6"/>
    </row>
    <row r="216" spans="1:15" x14ac:dyDescent="0.3">
      <c r="A216" s="113"/>
      <c r="B216" s="23"/>
      <c r="C216" s="6"/>
      <c r="D216" s="1"/>
      <c r="E216" s="1"/>
      <c r="F216" s="274" t="s">
        <v>1720</v>
      </c>
      <c r="G216" s="275">
        <v>15</v>
      </c>
      <c r="H216" s="2"/>
      <c r="I216" s="1"/>
      <c r="J216" s="4"/>
      <c r="K216" s="5"/>
      <c r="L216" s="58">
        <f>Таблица3758910111415[[#This Row],[OLINGAN NARXI $]]+Таблица3758910111415[[#This Row],[RASXOD]]</f>
        <v>0</v>
      </c>
      <c r="M216" s="1"/>
      <c r="N216" s="4">
        <f>Таблица3758910111415[[#This Row],[SOTILGAN NARXI]]-Таблица3758910111415[[#This Row],[OLINGAN NARXI $]]-Таблица3758910111415[[#This Row],[RASXOD]]</f>
        <v>0</v>
      </c>
      <c r="O216" s="6"/>
    </row>
    <row r="217" spans="1:15" x14ac:dyDescent="0.3">
      <c r="A217" s="113"/>
      <c r="B217" s="23"/>
      <c r="C217" s="6"/>
      <c r="D217" s="1"/>
      <c r="E217" s="1"/>
      <c r="F217" s="276" t="s">
        <v>1721</v>
      </c>
      <c r="G217" s="275">
        <v>4.8</v>
      </c>
      <c r="H217" s="2"/>
      <c r="I217" s="1"/>
      <c r="J217" s="4"/>
      <c r="K217" s="28"/>
      <c r="L217" s="58">
        <f>Таблица3758910111415[[#This Row],[OLINGAN NARXI $]]+Таблица3758910111415[[#This Row],[RASXOD]]</f>
        <v>0</v>
      </c>
      <c r="M217" s="1"/>
      <c r="N217" s="4">
        <f>Таблица3758910111415[[#This Row],[SOTILGAN NARXI]]-Таблица3758910111415[[#This Row],[OLINGAN NARXI $]]-Таблица3758910111415[[#This Row],[RASXOD]]</f>
        <v>0</v>
      </c>
      <c r="O217" s="6"/>
    </row>
    <row r="218" spans="1:15" x14ac:dyDescent="0.3">
      <c r="A218" s="113"/>
      <c r="B218" s="23"/>
      <c r="C218" s="6"/>
      <c r="D218" s="1"/>
      <c r="E218" s="1"/>
      <c r="F218" s="276" t="s">
        <v>1551</v>
      </c>
      <c r="G218" s="273">
        <v>1000</v>
      </c>
      <c r="H218" s="2"/>
      <c r="I218" s="1"/>
      <c r="J218" s="4"/>
      <c r="K218" s="28"/>
      <c r="L218" s="58">
        <f>Таблица3758910111415[[#This Row],[OLINGAN NARXI $]]+Таблица3758910111415[[#This Row],[RASXOD]]</f>
        <v>0</v>
      </c>
      <c r="M218" s="1"/>
      <c r="N218" s="4">
        <f>Таблица3758910111415[[#This Row],[SOTILGAN NARXI]]-Таблица3758910111415[[#This Row],[OLINGAN NARXI $]]-Таблица3758910111415[[#This Row],[RASXOD]]</f>
        <v>0</v>
      </c>
      <c r="O218" s="6"/>
    </row>
    <row r="219" spans="1:15" x14ac:dyDescent="0.3">
      <c r="A219" s="113"/>
      <c r="B219" s="23"/>
      <c r="C219" s="6"/>
      <c r="D219" s="1"/>
      <c r="E219" s="1"/>
      <c r="F219" s="276" t="s">
        <v>1553</v>
      </c>
      <c r="G219" s="273">
        <v>100</v>
      </c>
      <c r="H219" s="2"/>
      <c r="I219" s="1"/>
      <c r="J219" s="4"/>
      <c r="K219" s="5"/>
      <c r="L219" s="58">
        <f>Таблица3758910111415[[#This Row],[OLINGAN NARXI $]]+Таблица3758910111415[[#This Row],[RASXOD]]</f>
        <v>0</v>
      </c>
      <c r="M219" s="1"/>
      <c r="N219" s="4">
        <f>Таблица3758910111415[[#This Row],[SOTILGAN NARXI]]-Таблица3758910111415[[#This Row],[OLINGAN NARXI $]]-Таблица3758910111415[[#This Row],[RASXOD]]</f>
        <v>0</v>
      </c>
      <c r="O219" s="6"/>
    </row>
    <row r="220" spans="1:15" x14ac:dyDescent="0.3">
      <c r="A220" s="113"/>
      <c r="B220" s="23"/>
      <c r="C220" s="6"/>
      <c r="D220" s="1"/>
      <c r="E220" s="1"/>
      <c r="F220" s="276"/>
      <c r="G220" s="273"/>
      <c r="H220" s="2"/>
      <c r="I220" s="1"/>
      <c r="J220" s="4"/>
      <c r="K220" s="5"/>
      <c r="L220" s="58">
        <f>Таблица3758910111415[[#This Row],[OLINGAN NARXI $]]+Таблица3758910111415[[#This Row],[RASXOD]]</f>
        <v>0</v>
      </c>
      <c r="M220" s="1"/>
      <c r="N220" s="4">
        <f>Таблица3758910111415[[#This Row],[SOTILGAN NARXI]]-Таблица3758910111415[[#This Row],[OLINGAN NARXI $]]-Таблица3758910111415[[#This Row],[RASXOD]]</f>
        <v>0</v>
      </c>
      <c r="O220" s="6"/>
    </row>
    <row r="221" spans="1:15" x14ac:dyDescent="0.3">
      <c r="A221" s="113"/>
      <c r="B221" s="23"/>
      <c r="C221" s="6"/>
      <c r="D221" s="1"/>
      <c r="E221" s="1"/>
      <c r="F221" s="276" t="s">
        <v>1132</v>
      </c>
      <c r="G221" s="273"/>
      <c r="H221" s="2"/>
      <c r="I221" s="1"/>
      <c r="J221" s="4"/>
      <c r="K221" s="28"/>
      <c r="L221" s="58">
        <f>Таблица3758910111415[[#This Row],[OLINGAN NARXI $]]+Таблица3758910111415[[#This Row],[RASXOD]]</f>
        <v>0</v>
      </c>
      <c r="M221" s="1"/>
      <c r="N221" s="4">
        <f>Таблица3758910111415[[#This Row],[SOTILGAN NARXI]]-Таблица3758910111415[[#This Row],[OLINGAN NARXI $]]-Таблица3758910111415[[#This Row],[RASXOD]]</f>
        <v>0</v>
      </c>
      <c r="O221" s="6"/>
    </row>
    <row r="222" spans="1:15" x14ac:dyDescent="0.3">
      <c r="A222" s="113"/>
      <c r="B222" s="23"/>
      <c r="C222" s="6"/>
      <c r="D222" s="1"/>
      <c r="E222" s="1"/>
      <c r="F222" s="276" t="s">
        <v>226</v>
      </c>
      <c r="G222" s="273"/>
      <c r="H222" s="2"/>
      <c r="I222" s="1"/>
      <c r="J222" s="4"/>
      <c r="K222" s="28"/>
      <c r="L222" s="58">
        <f>Таблица3758910111415[[#This Row],[OLINGAN NARXI $]]+Таблица3758910111415[[#This Row],[RASXOD]]</f>
        <v>0</v>
      </c>
      <c r="M222" s="1"/>
      <c r="N222" s="4">
        <f>Таблица3758910111415[[#This Row],[SOTILGAN NARXI]]-Таблица3758910111415[[#This Row],[OLINGAN NARXI $]]-Таблица3758910111415[[#This Row],[RASXOD]]</f>
        <v>0</v>
      </c>
      <c r="O222" s="6"/>
    </row>
    <row r="223" spans="1:15" x14ac:dyDescent="0.3">
      <c r="A223" s="113"/>
      <c r="B223" s="23"/>
      <c r="C223" s="6"/>
      <c r="D223" s="1"/>
      <c r="E223" s="1"/>
      <c r="F223" s="277"/>
      <c r="G223" s="278"/>
      <c r="H223" s="2"/>
      <c r="I223" s="1"/>
      <c r="J223" s="4"/>
      <c r="K223" s="5"/>
      <c r="L223" s="58">
        <f>Таблица3758910111415[[#This Row],[OLINGAN NARXI $]]+Таблица3758910111415[[#This Row],[RASXOD]]</f>
        <v>0</v>
      </c>
      <c r="M223" s="1"/>
      <c r="N223" s="4">
        <f>Таблица3758910111415[[#This Row],[SOTILGAN NARXI]]-Таблица3758910111415[[#This Row],[OLINGAN NARXI $]]-Таблица3758910111415[[#This Row],[RASXOD]]</f>
        <v>0</v>
      </c>
      <c r="O223" s="6"/>
    </row>
    <row r="224" spans="1:15" x14ac:dyDescent="0.3">
      <c r="A224" s="113"/>
      <c r="B224" s="23"/>
      <c r="C224" s="6"/>
      <c r="D224" s="1"/>
      <c r="E224" s="1"/>
      <c r="F224" s="279" t="s">
        <v>981</v>
      </c>
      <c r="G224" s="280">
        <f>SUM(G205:G222)</f>
        <v>2322.91</v>
      </c>
      <c r="H224" s="2"/>
      <c r="I224" s="1"/>
      <c r="J224" s="4"/>
      <c r="K224" s="28"/>
      <c r="L224" s="58">
        <f>Таблица3758910111415[[#This Row],[OLINGAN NARXI $]]+Таблица3758910111415[[#This Row],[RASXOD]]</f>
        <v>0</v>
      </c>
      <c r="M224" s="1"/>
      <c r="N224" s="4">
        <f>Таблица3758910111415[[#This Row],[SOTILGAN NARXI]]-Таблица3758910111415[[#This Row],[OLINGAN NARXI $]]-Таблица3758910111415[[#This Row],[RASXOD]]</f>
        <v>0</v>
      </c>
      <c r="O224" s="6"/>
    </row>
    <row r="225" spans="1:15" x14ac:dyDescent="0.3">
      <c r="A225" s="113"/>
      <c r="B225" s="111"/>
      <c r="C225" s="12"/>
      <c r="D225" s="11"/>
      <c r="E225" s="46"/>
      <c r="F225" s="47"/>
      <c r="G225" s="48"/>
      <c r="H225" s="49"/>
      <c r="I225" s="14"/>
      <c r="J225" s="14">
        <f>SUBTOTAL(109,J204:J204)</f>
        <v>0</v>
      </c>
      <c r="K225" s="13"/>
      <c r="L225" s="59">
        <f>SUM(L204:L224)</f>
        <v>0</v>
      </c>
      <c r="M225" s="14">
        <f>SUM(M204:M224)</f>
        <v>0</v>
      </c>
      <c r="N225" s="14">
        <f>SUBTOTAL(109,N2:N224)</f>
        <v>10974.8</v>
      </c>
      <c r="O225" s="12"/>
    </row>
    <row r="226" spans="1:15" x14ac:dyDescent="0.3">
      <c r="B226" s="23"/>
      <c r="C226" s="6"/>
      <c r="D226" s="1"/>
      <c r="E226" s="1"/>
      <c r="F226" s="23"/>
      <c r="G226" s="4"/>
      <c r="H226" s="5"/>
      <c r="I226" s="4"/>
      <c r="J226" s="4"/>
      <c r="K226" s="5"/>
      <c r="L226" s="58"/>
      <c r="M226" s="4"/>
      <c r="N226" s="4">
        <f>Таблица3758910111415[[#This Row],[SOTILGAN NARXI]]-Таблица3758910111415[[#This Row],[OLINGAN NARXI $]]-Таблица3758910111415[[#This Row],[RASXOD]]</f>
        <v>0</v>
      </c>
      <c r="O226" s="6"/>
    </row>
    <row r="227" spans="1:15" x14ac:dyDescent="0.3">
      <c r="B227" s="23"/>
      <c r="C227" s="6"/>
      <c r="D227" s="1"/>
      <c r="E227" s="1"/>
      <c r="F227" s="23"/>
      <c r="G227" s="4"/>
      <c r="H227" s="5"/>
      <c r="I227" s="4"/>
      <c r="J227" s="4"/>
      <c r="K227" s="5"/>
      <c r="L227" s="58"/>
      <c r="M227" s="4"/>
      <c r="N227" s="4"/>
      <c r="O227" s="6"/>
    </row>
    <row r="228" spans="1:15" x14ac:dyDescent="0.3">
      <c r="B228" s="23"/>
      <c r="C228" s="6"/>
      <c r="D228" s="1"/>
      <c r="E228" s="1"/>
      <c r="F228" s="23"/>
      <c r="G228" s="4"/>
      <c r="H228" s="5"/>
      <c r="I228" s="4"/>
      <c r="J228" s="4"/>
      <c r="K228" s="5"/>
      <c r="L228" s="58"/>
      <c r="M228" s="4"/>
      <c r="N228" s="4">
        <f>Таблица3758910111415[[#This Row],[SOTILGAN NARXI]]-Таблица3758910111415[[#This Row],[OLINGAN NARXI $]]-Таблица3758910111415[[#This Row],[RASXOD]]</f>
        <v>0</v>
      </c>
      <c r="O228" s="6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18B25-1D06-46C5-BE3A-FE6C80A5A6F8}">
  <sheetPr codeName="Лист5"/>
  <dimension ref="A1:O221"/>
  <sheetViews>
    <sheetView topLeftCell="A185" zoomScale="70" zoomScaleNormal="70" workbookViewId="0">
      <selection activeCell="G223" sqref="G223"/>
    </sheetView>
  </sheetViews>
  <sheetFormatPr defaultRowHeight="14.4" x14ac:dyDescent="0.3"/>
  <cols>
    <col min="1" max="1" width="4.44140625" style="114" bestFit="1" customWidth="1"/>
    <col min="2" max="2" width="11.5546875" bestFit="1" customWidth="1"/>
    <col min="3" max="3" width="15.6640625" customWidth="1"/>
    <col min="4" max="4" width="18.88671875" bestFit="1" customWidth="1"/>
    <col min="5" max="5" width="14.109375" bestFit="1" customWidth="1"/>
    <col min="6" max="6" width="28.88671875" customWidth="1"/>
    <col min="7" max="7" width="21.5546875" customWidth="1"/>
    <col min="8" max="8" width="15.88671875" customWidth="1"/>
    <col min="9" max="9" width="14" customWidth="1"/>
    <col min="10" max="10" width="11.88671875" customWidth="1"/>
    <col min="11" max="11" width="16.88671875" customWidth="1"/>
    <col min="12" max="12" width="13.88671875" customWidth="1"/>
    <col min="13" max="13" width="15.88671875" customWidth="1"/>
    <col min="14" max="14" width="13.88671875" bestFit="1" customWidth="1"/>
    <col min="15" max="15" width="50.109375" bestFit="1" customWidth="1"/>
  </cols>
  <sheetData>
    <row r="1" spans="1:15" ht="13.5" customHeight="1" x14ac:dyDescent="0.3">
      <c r="A1" s="112"/>
      <c r="B1" s="1" t="s">
        <v>0</v>
      </c>
      <c r="C1" s="6" t="s">
        <v>2</v>
      </c>
      <c r="D1" s="1" t="s">
        <v>1</v>
      </c>
      <c r="E1" s="1" t="s">
        <v>3</v>
      </c>
      <c r="F1" s="3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2" t="s">
        <v>10</v>
      </c>
      <c r="L1" s="2" t="s">
        <v>980</v>
      </c>
      <c r="M1" s="1" t="s">
        <v>9</v>
      </c>
      <c r="N1" s="1" t="s">
        <v>11</v>
      </c>
      <c r="O1" s="1" t="s">
        <v>12</v>
      </c>
    </row>
    <row r="2" spans="1:15" s="105" customFormat="1" x14ac:dyDescent="0.3">
      <c r="A2" s="112">
        <v>1</v>
      </c>
      <c r="B2" s="100" t="s">
        <v>16</v>
      </c>
      <c r="C2" s="101" t="s">
        <v>81</v>
      </c>
      <c r="D2" s="102" t="s">
        <v>21</v>
      </c>
      <c r="E2" s="102" t="s">
        <v>15</v>
      </c>
      <c r="F2" s="10">
        <v>350017080682511</v>
      </c>
      <c r="G2" s="102"/>
      <c r="H2" s="103">
        <v>45786</v>
      </c>
      <c r="I2" s="26">
        <v>440</v>
      </c>
      <c r="J2" s="26"/>
      <c r="K2" s="103">
        <v>45839</v>
      </c>
      <c r="L2" s="104">
        <f>Таблица3[[#This Row],[OLINGAN NARXI $]]+Таблица3[[#This Row],[RASXOD]]</f>
        <v>28</v>
      </c>
      <c r="M2" s="26">
        <v>520</v>
      </c>
      <c r="N2" s="26">
        <v>80</v>
      </c>
      <c r="O2" s="101" t="s">
        <v>19</v>
      </c>
    </row>
    <row r="3" spans="1:15" s="99" customFormat="1" x14ac:dyDescent="0.3">
      <c r="A3" s="112">
        <v>2</v>
      </c>
      <c r="B3" s="92" t="s">
        <v>16</v>
      </c>
      <c r="C3" s="93" t="s">
        <v>1358</v>
      </c>
      <c r="D3" s="94" t="s">
        <v>21</v>
      </c>
      <c r="E3" s="94" t="s">
        <v>15</v>
      </c>
      <c r="F3" s="95">
        <v>350667475071108</v>
      </c>
      <c r="G3" s="94"/>
      <c r="H3" s="96">
        <v>45839</v>
      </c>
      <c r="I3" s="97">
        <v>410</v>
      </c>
      <c r="J3" s="97"/>
      <c r="K3" s="96">
        <v>45839</v>
      </c>
      <c r="L3" s="98">
        <f>Таблица3[[#This Row],[OLINGAN NARXI $]]+Таблица3[[#This Row],[RASXOD]]</f>
        <v>349</v>
      </c>
      <c r="M3" s="97">
        <v>440</v>
      </c>
      <c r="N3" s="97">
        <v>30</v>
      </c>
      <c r="O3" s="93" t="s">
        <v>1417</v>
      </c>
    </row>
    <row r="4" spans="1:15" s="105" customFormat="1" x14ac:dyDescent="0.3">
      <c r="A4" s="112">
        <v>3</v>
      </c>
      <c r="B4" s="100" t="s">
        <v>16</v>
      </c>
      <c r="C4" s="101" t="s">
        <v>81</v>
      </c>
      <c r="D4" s="102" t="s">
        <v>65</v>
      </c>
      <c r="E4" s="102" t="s">
        <v>15</v>
      </c>
      <c r="F4" s="10">
        <v>351228762684738</v>
      </c>
      <c r="G4" s="102" t="s">
        <v>27</v>
      </c>
      <c r="H4" s="103">
        <v>45599</v>
      </c>
      <c r="I4" s="26">
        <v>460</v>
      </c>
      <c r="J4" s="26"/>
      <c r="K4" s="103">
        <v>45839</v>
      </c>
      <c r="L4" s="104">
        <f>Таблица3[[#This Row],[OLINGAN NARXI $]]+Таблица3[[#This Row],[RASXOD]]</f>
        <v>0</v>
      </c>
      <c r="M4" s="26">
        <v>510</v>
      </c>
      <c r="N4" s="26">
        <v>50</v>
      </c>
      <c r="O4" s="101" t="s">
        <v>335</v>
      </c>
    </row>
    <row r="5" spans="1:15" s="99" customFormat="1" x14ac:dyDescent="0.3">
      <c r="A5" s="112">
        <v>4</v>
      </c>
      <c r="B5" s="92" t="s">
        <v>16</v>
      </c>
      <c r="C5" s="93" t="s">
        <v>34</v>
      </c>
      <c r="D5" s="94" t="s">
        <v>35</v>
      </c>
      <c r="E5" s="94" t="s">
        <v>15</v>
      </c>
      <c r="F5" s="95">
        <v>359236738521084</v>
      </c>
      <c r="G5" s="94"/>
      <c r="H5" s="96">
        <v>45832</v>
      </c>
      <c r="I5" s="97">
        <v>580</v>
      </c>
      <c r="J5" s="97"/>
      <c r="K5" s="96">
        <v>45839</v>
      </c>
      <c r="L5" s="98">
        <f>Таблица3[[#This Row],[OLINGAN NARXI $]]+Таблица3[[#This Row],[RASXOD]]</f>
        <v>237</v>
      </c>
      <c r="M5" s="97">
        <v>660</v>
      </c>
      <c r="N5" s="97">
        <v>80</v>
      </c>
      <c r="O5" s="93" t="s">
        <v>262</v>
      </c>
    </row>
    <row r="6" spans="1:15" s="105" customFormat="1" x14ac:dyDescent="0.3">
      <c r="A6" s="112">
        <v>5</v>
      </c>
      <c r="B6" s="100" t="s">
        <v>16</v>
      </c>
      <c r="C6" s="101" t="s">
        <v>312</v>
      </c>
      <c r="D6" s="102" t="s">
        <v>65</v>
      </c>
      <c r="E6" s="102" t="s">
        <v>15</v>
      </c>
      <c r="F6" s="10">
        <v>359272530495011</v>
      </c>
      <c r="G6" s="102" t="s">
        <v>66</v>
      </c>
      <c r="H6" s="103">
        <v>45767</v>
      </c>
      <c r="I6" s="26">
        <v>393</v>
      </c>
      <c r="J6" s="26"/>
      <c r="K6" s="103">
        <v>45839</v>
      </c>
      <c r="L6" s="104">
        <f>Таблица3[[#This Row],[OLINGAN NARXI $]]+Таблица3[[#This Row],[RASXOD]]</f>
        <v>256</v>
      </c>
      <c r="M6" s="26">
        <v>600</v>
      </c>
      <c r="N6" s="26">
        <v>207</v>
      </c>
      <c r="O6" s="101" t="s">
        <v>262</v>
      </c>
    </row>
    <row r="7" spans="1:15" s="83" customFormat="1" x14ac:dyDescent="0.3">
      <c r="A7" s="112">
        <v>6</v>
      </c>
      <c r="B7" s="76" t="s">
        <v>16</v>
      </c>
      <c r="C7" s="77" t="s">
        <v>148</v>
      </c>
      <c r="D7" s="78" t="s">
        <v>65</v>
      </c>
      <c r="E7" s="78" t="s">
        <v>22</v>
      </c>
      <c r="F7" s="79">
        <v>353781186508626</v>
      </c>
      <c r="G7" s="78"/>
      <c r="H7" s="80">
        <v>45835</v>
      </c>
      <c r="I7" s="81">
        <v>290</v>
      </c>
      <c r="J7" s="81"/>
      <c r="K7" s="80">
        <v>45840</v>
      </c>
      <c r="L7" s="82">
        <f>Таблица3[[#This Row],[OLINGAN NARXI $]]+Таблица3[[#This Row],[RASXOD]]</f>
        <v>468</v>
      </c>
      <c r="M7" s="81">
        <v>380</v>
      </c>
      <c r="N7" s="81">
        <v>90</v>
      </c>
      <c r="O7" s="77">
        <v>977073496</v>
      </c>
    </row>
    <row r="8" spans="1:15" s="134" customFormat="1" x14ac:dyDescent="0.3">
      <c r="A8" s="112">
        <v>7</v>
      </c>
      <c r="B8" s="127" t="s">
        <v>16</v>
      </c>
      <c r="C8" s="128" t="s">
        <v>350</v>
      </c>
      <c r="D8" s="127" t="s">
        <v>65</v>
      </c>
      <c r="E8" s="129" t="s">
        <v>22</v>
      </c>
      <c r="F8" s="130">
        <v>359206408334373</v>
      </c>
      <c r="G8" s="129"/>
      <c r="H8" s="131">
        <v>45835</v>
      </c>
      <c r="I8" s="132">
        <v>380</v>
      </c>
      <c r="J8" s="132"/>
      <c r="K8" s="131">
        <v>45840</v>
      </c>
      <c r="L8" s="133">
        <f>Таблица37589101114[[#This Row],[OLINGAN NARXI $]]+Таблица37589101114[[#This Row],[RASXOD]]</f>
        <v>380</v>
      </c>
      <c r="M8" s="132">
        <v>450</v>
      </c>
      <c r="N8" s="132">
        <v>35</v>
      </c>
      <c r="O8" s="128"/>
    </row>
    <row r="9" spans="1:15" s="134" customFormat="1" x14ac:dyDescent="0.3">
      <c r="A9" s="112">
        <v>8</v>
      </c>
      <c r="B9" s="127" t="s">
        <v>16</v>
      </c>
      <c r="C9" s="128" t="s">
        <v>319</v>
      </c>
      <c r="D9" s="127" t="s">
        <v>18</v>
      </c>
      <c r="E9" s="129" t="s">
        <v>15</v>
      </c>
      <c r="F9" s="130">
        <v>357676151404544</v>
      </c>
      <c r="G9" s="129"/>
      <c r="H9" s="131">
        <v>45838</v>
      </c>
      <c r="I9" s="132">
        <v>240</v>
      </c>
      <c r="J9" s="132"/>
      <c r="K9" s="131">
        <v>45840</v>
      </c>
      <c r="L9" s="133">
        <f>Таблица37589101114[[#This Row],[OLINGAN NARXI $]]+Таблица37589101114[[#This Row],[RASXOD]]</f>
        <v>240</v>
      </c>
      <c r="M9" s="132">
        <v>260</v>
      </c>
      <c r="N9" s="132">
        <v>10</v>
      </c>
      <c r="O9" s="128"/>
    </row>
    <row r="10" spans="1:15" s="99" customFormat="1" x14ac:dyDescent="0.3">
      <c r="A10" s="112">
        <v>9</v>
      </c>
      <c r="B10" s="92" t="s">
        <v>16</v>
      </c>
      <c r="C10" s="93" t="s">
        <v>151</v>
      </c>
      <c r="D10" s="94" t="s">
        <v>21</v>
      </c>
      <c r="E10" s="94" t="s">
        <v>15</v>
      </c>
      <c r="F10" s="95">
        <v>355320080291662</v>
      </c>
      <c r="G10" s="94" t="s">
        <v>989</v>
      </c>
      <c r="H10" s="96">
        <v>45822</v>
      </c>
      <c r="I10" s="97">
        <v>31</v>
      </c>
      <c r="J10" s="97"/>
      <c r="K10" s="96">
        <v>45840</v>
      </c>
      <c r="L10" s="98">
        <f>Таблица3[[#This Row],[OLINGAN NARXI $]]+Таблица3[[#This Row],[RASXOD]]</f>
        <v>473</v>
      </c>
      <c r="M10" s="97">
        <v>43</v>
      </c>
      <c r="N10" s="97">
        <v>12</v>
      </c>
      <c r="O10" s="93" t="s">
        <v>1101</v>
      </c>
    </row>
    <row r="11" spans="1:15" s="83" customFormat="1" x14ac:dyDescent="0.3">
      <c r="A11" s="112">
        <v>10</v>
      </c>
      <c r="B11" s="76" t="s">
        <v>16</v>
      </c>
      <c r="C11" s="77" t="s">
        <v>32</v>
      </c>
      <c r="D11" s="78" t="s">
        <v>26</v>
      </c>
      <c r="E11" s="78" t="s">
        <v>22</v>
      </c>
      <c r="F11" s="79">
        <v>353135880770505</v>
      </c>
      <c r="G11" s="78"/>
      <c r="H11" s="80">
        <v>45839</v>
      </c>
      <c r="I11" s="81">
        <v>720</v>
      </c>
      <c r="J11" s="81"/>
      <c r="K11" s="80">
        <v>45840</v>
      </c>
      <c r="L11" s="82">
        <f>Таблица3[[#This Row],[OLINGAN NARXI $]]+Таблица3[[#This Row],[RASXOD]]</f>
        <v>400</v>
      </c>
      <c r="M11" s="81">
        <v>770</v>
      </c>
      <c r="N11" s="81">
        <v>50</v>
      </c>
      <c r="O11" s="77" t="s">
        <v>1419</v>
      </c>
    </row>
    <row r="12" spans="1:15" s="83" customFormat="1" x14ac:dyDescent="0.3">
      <c r="A12" s="112">
        <v>11</v>
      </c>
      <c r="B12" s="76" t="s">
        <v>16</v>
      </c>
      <c r="C12" s="77" t="s">
        <v>1426</v>
      </c>
      <c r="D12" s="78"/>
      <c r="E12" s="78"/>
      <c r="F12" s="79">
        <v>8963</v>
      </c>
      <c r="G12" s="78"/>
      <c r="H12" s="80">
        <v>45841</v>
      </c>
      <c r="I12" s="81"/>
      <c r="J12" s="81"/>
      <c r="K12" s="80">
        <v>45841</v>
      </c>
      <c r="L12" s="82">
        <f>Таблица37589101114[[#This Row],[OLINGAN NARXI $]]+Таблица37589101114[[#This Row],[RASXOD]]</f>
        <v>0</v>
      </c>
      <c r="M12" s="81"/>
      <c r="N12" s="81">
        <v>10</v>
      </c>
      <c r="O12" s="77" t="s">
        <v>446</v>
      </c>
    </row>
    <row r="13" spans="1:15" s="83" customFormat="1" x14ac:dyDescent="0.3">
      <c r="A13" s="112">
        <v>12</v>
      </c>
      <c r="B13" s="76" t="s">
        <v>161</v>
      </c>
      <c r="C13" s="77" t="s">
        <v>1404</v>
      </c>
      <c r="D13" s="78" t="s">
        <v>21</v>
      </c>
      <c r="E13" s="78" t="s">
        <v>22</v>
      </c>
      <c r="F13" s="79">
        <v>867407076026946</v>
      </c>
      <c r="G13" s="78"/>
      <c r="H13" s="80">
        <v>45838</v>
      </c>
      <c r="I13" s="81">
        <v>130</v>
      </c>
      <c r="J13" s="81"/>
      <c r="K13" s="80">
        <v>45841</v>
      </c>
      <c r="L13" s="82">
        <f>Таблица3[[#This Row],[OLINGAN NARXI $]]+Таблица3[[#This Row],[RASXOD]]</f>
        <v>307</v>
      </c>
      <c r="M13" s="81">
        <v>149</v>
      </c>
      <c r="N13" s="81">
        <v>19</v>
      </c>
      <c r="O13" s="77" t="s">
        <v>1405</v>
      </c>
    </row>
    <row r="14" spans="1:15" s="105" customFormat="1" x14ac:dyDescent="0.3">
      <c r="A14" s="112">
        <v>13</v>
      </c>
      <c r="B14" s="100" t="s">
        <v>16</v>
      </c>
      <c r="C14" s="101" t="s">
        <v>372</v>
      </c>
      <c r="D14" s="102" t="s">
        <v>21</v>
      </c>
      <c r="E14" s="102" t="s">
        <v>15</v>
      </c>
      <c r="F14" s="10">
        <v>35486089908964</v>
      </c>
      <c r="G14" s="102"/>
      <c r="H14" s="103">
        <v>45840</v>
      </c>
      <c r="I14" s="26">
        <v>350</v>
      </c>
      <c r="J14" s="26"/>
      <c r="K14" s="103">
        <v>45841</v>
      </c>
      <c r="L14" s="104">
        <f>Таблица3[[#This Row],[OLINGAN NARXI $]]+Таблица3[[#This Row],[RASXOD]]</f>
        <v>30</v>
      </c>
      <c r="M14" s="26">
        <v>450</v>
      </c>
      <c r="N14" s="26">
        <v>100</v>
      </c>
      <c r="O14" s="101" t="s">
        <v>1423</v>
      </c>
    </row>
    <row r="15" spans="1:15" s="83" customFormat="1" x14ac:dyDescent="0.3">
      <c r="A15" s="112">
        <v>14</v>
      </c>
      <c r="B15" s="76" t="s">
        <v>13</v>
      </c>
      <c r="C15" s="77" t="s">
        <v>1081</v>
      </c>
      <c r="D15" s="78" t="s">
        <v>65</v>
      </c>
      <c r="E15" s="78" t="s">
        <v>15</v>
      </c>
      <c r="F15" s="79">
        <v>354203115725345</v>
      </c>
      <c r="G15" s="78" t="s">
        <v>636</v>
      </c>
      <c r="H15" s="80">
        <v>45769</v>
      </c>
      <c r="I15" s="81">
        <v>170</v>
      </c>
      <c r="J15" s="81">
        <v>32.700000000000003</v>
      </c>
      <c r="K15" s="80">
        <v>45841</v>
      </c>
      <c r="L15" s="82">
        <f>Таблица3[[#This Row],[OLINGAN NARXI $]]+Таблица3[[#This Row],[RASXOD]]</f>
        <v>16</v>
      </c>
      <c r="M15" s="81">
        <v>230</v>
      </c>
      <c r="N15" s="81">
        <v>27.3</v>
      </c>
      <c r="O15" s="77" t="s">
        <v>147</v>
      </c>
    </row>
    <row r="16" spans="1:15" s="99" customFormat="1" x14ac:dyDescent="0.3">
      <c r="A16" s="112">
        <v>15</v>
      </c>
      <c r="B16" s="92" t="s">
        <v>16</v>
      </c>
      <c r="C16" s="93" t="s">
        <v>1000</v>
      </c>
      <c r="D16" s="94" t="s">
        <v>583</v>
      </c>
      <c r="E16" s="94" t="s">
        <v>22</v>
      </c>
      <c r="F16" s="95">
        <v>359476734659104</v>
      </c>
      <c r="G16" s="94"/>
      <c r="H16" s="96">
        <v>45840</v>
      </c>
      <c r="I16" s="97">
        <v>1080</v>
      </c>
      <c r="J16" s="97"/>
      <c r="K16" s="96">
        <v>45841</v>
      </c>
      <c r="L16" s="98">
        <f>Таблица3[[#This Row],[OLINGAN NARXI $]]+Таблица3[[#This Row],[RASXOD]]</f>
        <v>387</v>
      </c>
      <c r="M16" s="97">
        <v>1139</v>
      </c>
      <c r="N16" s="97">
        <v>59</v>
      </c>
      <c r="O16" s="93" t="s">
        <v>1424</v>
      </c>
    </row>
    <row r="17" spans="1:15" s="99" customFormat="1" x14ac:dyDescent="0.3">
      <c r="A17" s="112">
        <v>16</v>
      </c>
      <c r="B17" s="92" t="s">
        <v>16</v>
      </c>
      <c r="C17" s="93" t="s">
        <v>106</v>
      </c>
      <c r="D17" s="94" t="s">
        <v>21</v>
      </c>
      <c r="E17" s="94" t="s">
        <v>15</v>
      </c>
      <c r="F17" s="95">
        <v>352747619414014</v>
      </c>
      <c r="G17" s="94" t="s">
        <v>61</v>
      </c>
      <c r="H17" s="96">
        <v>45821</v>
      </c>
      <c r="I17" s="97">
        <v>180</v>
      </c>
      <c r="J17" s="97"/>
      <c r="K17" s="96">
        <v>45841</v>
      </c>
      <c r="L17" s="98">
        <f>Таблица3[[#This Row],[OLINGAN NARXI $]]+Таблица3[[#This Row],[RASXOD]]</f>
        <v>320</v>
      </c>
      <c r="M17" s="97">
        <v>220</v>
      </c>
      <c r="N17" s="97">
        <v>40</v>
      </c>
      <c r="O17" s="93" t="s">
        <v>616</v>
      </c>
    </row>
    <row r="18" spans="1:15" s="99" customFormat="1" x14ac:dyDescent="0.3">
      <c r="A18" s="112">
        <v>17</v>
      </c>
      <c r="B18" s="92" t="s">
        <v>16</v>
      </c>
      <c r="C18" s="93" t="s">
        <v>74</v>
      </c>
      <c r="D18" s="94" t="s">
        <v>21</v>
      </c>
      <c r="E18" s="94" t="s">
        <v>15</v>
      </c>
      <c r="F18" s="95">
        <v>359666223742383</v>
      </c>
      <c r="G18" s="94"/>
      <c r="H18" s="96">
        <v>45837</v>
      </c>
      <c r="I18" s="97">
        <v>520</v>
      </c>
      <c r="J18" s="97"/>
      <c r="K18" s="96">
        <v>45841</v>
      </c>
      <c r="L18" s="98">
        <f>Таблица3[[#This Row],[OLINGAN NARXI $]]+Таблица3[[#This Row],[RASXOD]]</f>
        <v>223</v>
      </c>
      <c r="M18" s="97">
        <v>550</v>
      </c>
      <c r="N18" s="97">
        <v>30</v>
      </c>
      <c r="O18" s="93">
        <v>941478898</v>
      </c>
    </row>
    <row r="19" spans="1:15" s="83" customFormat="1" x14ac:dyDescent="0.3">
      <c r="A19" s="112">
        <v>18</v>
      </c>
      <c r="B19" s="76" t="s">
        <v>16</v>
      </c>
      <c r="C19" s="77" t="s">
        <v>148</v>
      </c>
      <c r="D19" s="78" t="s">
        <v>21</v>
      </c>
      <c r="E19" s="78" t="s">
        <v>22</v>
      </c>
      <c r="F19" s="79">
        <v>351194968094702</v>
      </c>
      <c r="G19" s="78"/>
      <c r="H19" s="80">
        <v>45840</v>
      </c>
      <c r="I19" s="81">
        <v>300</v>
      </c>
      <c r="J19" s="81"/>
      <c r="K19" s="80">
        <v>45841</v>
      </c>
      <c r="L19" s="82">
        <f>Таблица3[[#This Row],[OLINGAN NARXI $]]+Таблица3[[#This Row],[RASXOD]]</f>
        <v>251.5</v>
      </c>
      <c r="M19" s="81">
        <v>380</v>
      </c>
      <c r="N19" s="81">
        <v>80</v>
      </c>
      <c r="O19" s="77" t="s">
        <v>262</v>
      </c>
    </row>
    <row r="20" spans="1:15" s="83" customFormat="1" x14ac:dyDescent="0.3">
      <c r="A20" s="112">
        <v>19</v>
      </c>
      <c r="B20" s="76" t="s">
        <v>16</v>
      </c>
      <c r="C20" s="77" t="s">
        <v>541</v>
      </c>
      <c r="D20" s="78" t="s">
        <v>45</v>
      </c>
      <c r="E20" s="78" t="s">
        <v>22</v>
      </c>
      <c r="F20" s="79">
        <v>353896105843332</v>
      </c>
      <c r="G20" s="78"/>
      <c r="H20" s="80">
        <v>45817</v>
      </c>
      <c r="I20" s="81">
        <v>250</v>
      </c>
      <c r="J20" s="81"/>
      <c r="K20" s="80">
        <v>45842</v>
      </c>
      <c r="L20" s="82">
        <f>Таблица3[[#This Row],[OLINGAN NARXI $]]+Таблица3[[#This Row],[RASXOD]]</f>
        <v>1080</v>
      </c>
      <c r="M20" s="81">
        <v>320</v>
      </c>
      <c r="N20" s="81">
        <v>70</v>
      </c>
      <c r="O20" s="77" t="s">
        <v>362</v>
      </c>
    </row>
    <row r="21" spans="1:15" s="105" customFormat="1" x14ac:dyDescent="0.3">
      <c r="A21" s="112">
        <v>20</v>
      </c>
      <c r="B21" s="100" t="s">
        <v>16</v>
      </c>
      <c r="C21" s="101" t="s">
        <v>74</v>
      </c>
      <c r="D21" s="102" t="s">
        <v>21</v>
      </c>
      <c r="E21" s="102" t="s">
        <v>15</v>
      </c>
      <c r="F21" s="10">
        <v>351055828621473</v>
      </c>
      <c r="G21" s="102"/>
      <c r="H21" s="103">
        <v>45820</v>
      </c>
      <c r="I21" s="26">
        <v>550</v>
      </c>
      <c r="J21" s="26"/>
      <c r="K21" s="103">
        <v>45842</v>
      </c>
      <c r="L21" s="104">
        <f>Таблица3[[#This Row],[OLINGAN NARXI $]]+Таблица3[[#This Row],[RASXOD]]</f>
        <v>600</v>
      </c>
      <c r="M21" s="26">
        <v>610</v>
      </c>
      <c r="N21" s="26">
        <v>60</v>
      </c>
      <c r="O21" s="101" t="s">
        <v>19</v>
      </c>
    </row>
    <row r="22" spans="1:15" s="83" customFormat="1" x14ac:dyDescent="0.3">
      <c r="A22" s="112">
        <v>21</v>
      </c>
      <c r="B22" s="76" t="s">
        <v>13</v>
      </c>
      <c r="C22" s="77" t="s">
        <v>1055</v>
      </c>
      <c r="D22" s="78"/>
      <c r="E22" s="78" t="s">
        <v>15</v>
      </c>
      <c r="F22" s="79">
        <v>350309333298058</v>
      </c>
      <c r="G22" s="78"/>
      <c r="H22" s="80">
        <v>45813</v>
      </c>
      <c r="I22" s="81">
        <v>365</v>
      </c>
      <c r="J22" s="81"/>
      <c r="K22" s="80">
        <v>45843</v>
      </c>
      <c r="L22" s="82">
        <f>Таблица3[[#This Row],[OLINGAN NARXI $]]+Таблица3[[#This Row],[RASXOD]]</f>
        <v>271</v>
      </c>
      <c r="M22" s="81">
        <v>420</v>
      </c>
      <c r="N22" s="81">
        <v>55</v>
      </c>
      <c r="O22" s="77" t="s">
        <v>19</v>
      </c>
    </row>
    <row r="23" spans="1:15" s="83" customFormat="1" x14ac:dyDescent="0.3">
      <c r="A23" s="112">
        <v>22</v>
      </c>
      <c r="B23" s="76" t="s">
        <v>16</v>
      </c>
      <c r="C23" s="77" t="s">
        <v>1326</v>
      </c>
      <c r="D23" s="78" t="s">
        <v>21</v>
      </c>
      <c r="E23" s="78" t="s">
        <v>15</v>
      </c>
      <c r="F23" s="79">
        <v>357265094592571</v>
      </c>
      <c r="G23" s="78"/>
      <c r="H23" s="80">
        <v>45840</v>
      </c>
      <c r="I23" s="81">
        <v>150</v>
      </c>
      <c r="J23" s="81"/>
      <c r="K23" s="80">
        <v>45843</v>
      </c>
      <c r="L23" s="82">
        <f>Таблица3[[#This Row],[OLINGAN NARXI $]]+Таблица3[[#This Row],[RASXOD]]</f>
        <v>366</v>
      </c>
      <c r="M23" s="81">
        <v>210</v>
      </c>
      <c r="N23" s="81">
        <v>60</v>
      </c>
      <c r="O23" s="77" t="s">
        <v>1423</v>
      </c>
    </row>
    <row r="24" spans="1:15" s="134" customFormat="1" x14ac:dyDescent="0.3">
      <c r="A24" s="112">
        <v>23</v>
      </c>
      <c r="B24" s="127" t="s">
        <v>16</v>
      </c>
      <c r="C24" s="128" t="s">
        <v>1125</v>
      </c>
      <c r="D24" s="127" t="s">
        <v>35</v>
      </c>
      <c r="E24" s="129" t="s">
        <v>15</v>
      </c>
      <c r="F24" s="130">
        <v>350060001056530</v>
      </c>
      <c r="G24" s="129" t="s">
        <v>145</v>
      </c>
      <c r="H24" s="131">
        <v>45838</v>
      </c>
      <c r="I24" s="132">
        <v>460</v>
      </c>
      <c r="J24" s="132"/>
      <c r="K24" s="131">
        <v>45843</v>
      </c>
      <c r="L24" s="133">
        <f>Таблица37589101114[[#This Row],[OLINGAN NARXI $]]+Таблица37589101114[[#This Row],[RASXOD]]</f>
        <v>460</v>
      </c>
      <c r="M24" s="132">
        <v>510</v>
      </c>
      <c r="N24" s="132">
        <v>25</v>
      </c>
      <c r="O24" s="128"/>
    </row>
    <row r="25" spans="1:15" s="83" customFormat="1" x14ac:dyDescent="0.3">
      <c r="A25" s="112">
        <v>24</v>
      </c>
      <c r="B25" s="76" t="s">
        <v>207</v>
      </c>
      <c r="C25" s="77" t="s">
        <v>1069</v>
      </c>
      <c r="D25" s="78" t="s">
        <v>21</v>
      </c>
      <c r="E25" s="78" t="s">
        <v>22</v>
      </c>
      <c r="F25" s="79"/>
      <c r="G25" s="78"/>
      <c r="H25" s="80">
        <v>45821</v>
      </c>
      <c r="I25" s="81">
        <v>260</v>
      </c>
      <c r="J25" s="81"/>
      <c r="K25" s="80">
        <v>45843</v>
      </c>
      <c r="L25" s="82">
        <f>Таблица3[[#This Row],[OLINGAN NARXI $]]+Таблица3[[#This Row],[RASXOD]]</f>
        <v>540</v>
      </c>
      <c r="M25" s="81">
        <v>300</v>
      </c>
      <c r="N25" s="81">
        <v>40</v>
      </c>
      <c r="O25" s="77" t="s">
        <v>1334</v>
      </c>
    </row>
    <row r="26" spans="1:15" s="83" customFormat="1" x14ac:dyDescent="0.3">
      <c r="A26" s="112">
        <v>25</v>
      </c>
      <c r="B26" s="76" t="s">
        <v>13</v>
      </c>
      <c r="C26" s="77" t="s">
        <v>115</v>
      </c>
      <c r="D26" s="78" t="s">
        <v>93</v>
      </c>
      <c r="E26" s="78" t="s">
        <v>15</v>
      </c>
      <c r="F26" s="79">
        <v>354773805902990</v>
      </c>
      <c r="G26" s="78"/>
      <c r="H26" s="80">
        <v>45566</v>
      </c>
      <c r="I26" s="81">
        <v>190</v>
      </c>
      <c r="J26" s="81">
        <v>39</v>
      </c>
      <c r="K26" s="80">
        <v>45844</v>
      </c>
      <c r="L26" s="82">
        <f>Таблица3[[#This Row],[OLINGAN NARXI $]]+Таблица3[[#This Row],[RASXOD]]</f>
        <v>286</v>
      </c>
      <c r="M26" s="81">
        <v>230</v>
      </c>
      <c r="N26" s="81">
        <v>1</v>
      </c>
      <c r="O26" s="77" t="s">
        <v>19</v>
      </c>
    </row>
    <row r="27" spans="1:15" s="83" customFormat="1" x14ac:dyDescent="0.3">
      <c r="A27" s="112">
        <v>26</v>
      </c>
      <c r="B27" s="76" t="s">
        <v>13</v>
      </c>
      <c r="C27" s="77" t="s">
        <v>117</v>
      </c>
      <c r="D27" s="78" t="s">
        <v>18</v>
      </c>
      <c r="E27" s="78" t="s">
        <v>15</v>
      </c>
      <c r="F27" s="79">
        <v>356271890063123</v>
      </c>
      <c r="G27" s="78"/>
      <c r="H27" s="80">
        <v>45799</v>
      </c>
      <c r="I27" s="81">
        <v>210</v>
      </c>
      <c r="J27" s="81">
        <v>32.6</v>
      </c>
      <c r="K27" s="80">
        <v>45844</v>
      </c>
      <c r="L27" s="82">
        <f>Таблица3[[#This Row],[OLINGAN NARXI $]]+Таблица3[[#This Row],[RASXOD]]</f>
        <v>703</v>
      </c>
      <c r="M27" s="81">
        <v>280</v>
      </c>
      <c r="N27" s="81">
        <v>37.4</v>
      </c>
      <c r="O27" s="77" t="s">
        <v>147</v>
      </c>
    </row>
    <row r="28" spans="1:15" s="83" customFormat="1" x14ac:dyDescent="0.3">
      <c r="A28" s="112">
        <v>27</v>
      </c>
      <c r="B28" s="76" t="s">
        <v>13</v>
      </c>
      <c r="C28" s="77" t="s">
        <v>563</v>
      </c>
      <c r="D28" s="78" t="s">
        <v>18</v>
      </c>
      <c r="E28" s="78" t="s">
        <v>15</v>
      </c>
      <c r="F28" s="79">
        <v>351562310592401</v>
      </c>
      <c r="G28" s="78"/>
      <c r="H28" s="80">
        <v>45713</v>
      </c>
      <c r="I28" s="81">
        <v>355</v>
      </c>
      <c r="J28" s="81">
        <v>28</v>
      </c>
      <c r="K28" s="80">
        <v>45844</v>
      </c>
      <c r="L28" s="82">
        <f>Таблица3[[#This Row],[OLINGAN NARXI $]]+Таблица3[[#This Row],[RASXOD]]</f>
        <v>447.7</v>
      </c>
      <c r="M28" s="81">
        <v>430</v>
      </c>
      <c r="N28" s="81">
        <v>47</v>
      </c>
      <c r="O28" s="77" t="s">
        <v>147</v>
      </c>
    </row>
    <row r="29" spans="1:15" s="83" customFormat="1" x14ac:dyDescent="0.3">
      <c r="A29" s="112">
        <v>28</v>
      </c>
      <c r="B29" s="76" t="s">
        <v>13</v>
      </c>
      <c r="C29" s="77" t="s">
        <v>1094</v>
      </c>
      <c r="D29" s="78" t="s">
        <v>93</v>
      </c>
      <c r="E29" s="78" t="s">
        <v>15</v>
      </c>
      <c r="F29" s="79">
        <v>356206652268288</v>
      </c>
      <c r="G29" s="78"/>
      <c r="H29" s="80">
        <v>45781</v>
      </c>
      <c r="I29" s="81">
        <v>430</v>
      </c>
      <c r="J29" s="81">
        <v>27</v>
      </c>
      <c r="K29" s="80">
        <v>45844</v>
      </c>
      <c r="L29" s="82">
        <f>Таблица3[[#This Row],[OLINGAN NARXI $]]+Таблица3[[#This Row],[RASXOD]]</f>
        <v>400</v>
      </c>
      <c r="M29" s="81">
        <v>540</v>
      </c>
      <c r="N29" s="81">
        <v>83</v>
      </c>
      <c r="O29" s="77" t="s">
        <v>147</v>
      </c>
    </row>
    <row r="30" spans="1:15" s="83" customFormat="1" x14ac:dyDescent="0.3">
      <c r="A30" s="112">
        <v>29</v>
      </c>
      <c r="B30" s="76" t="s">
        <v>16</v>
      </c>
      <c r="C30" s="77" t="s">
        <v>34</v>
      </c>
      <c r="D30" s="78" t="s">
        <v>35</v>
      </c>
      <c r="E30" s="78" t="s">
        <v>22</v>
      </c>
      <c r="F30" s="79">
        <v>350054544210563</v>
      </c>
      <c r="G30" s="78" t="s">
        <v>556</v>
      </c>
      <c r="H30" s="80">
        <v>45820</v>
      </c>
      <c r="I30" s="81">
        <v>392</v>
      </c>
      <c r="J30" s="81">
        <v>31</v>
      </c>
      <c r="K30" s="80">
        <v>45844</v>
      </c>
      <c r="L30" s="82">
        <f>Таблица3[[#This Row],[OLINGAN NARXI $]]+Таблица3[[#This Row],[RASXOD]]</f>
        <v>240</v>
      </c>
      <c r="M30" s="81">
        <v>585</v>
      </c>
      <c r="N30" s="81">
        <v>162</v>
      </c>
      <c r="O30" s="77" t="s">
        <v>1330</v>
      </c>
    </row>
    <row r="31" spans="1:15" s="83" customFormat="1" x14ac:dyDescent="0.3">
      <c r="A31" s="112">
        <v>30</v>
      </c>
      <c r="B31" s="76" t="s">
        <v>16</v>
      </c>
      <c r="C31" s="77" t="s">
        <v>148</v>
      </c>
      <c r="D31" s="78" t="s">
        <v>65</v>
      </c>
      <c r="E31" s="78" t="s">
        <v>15</v>
      </c>
      <c r="F31" s="79">
        <v>356692113408201</v>
      </c>
      <c r="G31" s="78"/>
      <c r="H31" s="80">
        <v>45792</v>
      </c>
      <c r="I31" s="81">
        <v>300</v>
      </c>
      <c r="J31" s="81"/>
      <c r="K31" s="80">
        <v>45844</v>
      </c>
      <c r="L31" s="82">
        <f>Таблица3[[#This Row],[OLINGAN NARXI $]]+Таблица3[[#This Row],[RASXOD]]</f>
        <v>620</v>
      </c>
      <c r="M31" s="81">
        <v>346</v>
      </c>
      <c r="N31" s="81">
        <v>46</v>
      </c>
      <c r="O31" s="77" t="s">
        <v>19</v>
      </c>
    </row>
    <row r="32" spans="1:15" s="99" customFormat="1" x14ac:dyDescent="0.3">
      <c r="A32" s="112">
        <v>31</v>
      </c>
      <c r="B32" s="92" t="s">
        <v>16</v>
      </c>
      <c r="C32" s="93" t="s">
        <v>25</v>
      </c>
      <c r="D32" s="94" t="s">
        <v>26</v>
      </c>
      <c r="E32" s="94" t="s">
        <v>22</v>
      </c>
      <c r="F32" s="95">
        <v>353104765629285</v>
      </c>
      <c r="G32" s="94"/>
      <c r="H32" s="96">
        <v>45844</v>
      </c>
      <c r="I32" s="97">
        <v>870</v>
      </c>
      <c r="J32" s="97"/>
      <c r="K32" s="96">
        <v>45844</v>
      </c>
      <c r="L32" s="98">
        <f>Таблица37589101114[[#This Row],[OLINGAN NARXI $]]+Таблица37589101114[[#This Row],[RASXOD]]</f>
        <v>870</v>
      </c>
      <c r="M32" s="97">
        <v>880</v>
      </c>
      <c r="N32" s="97">
        <f>Таблица37589101114[[#This Row],[SOTILGAN NARXI]]-Таблица37589101114[[#This Row],[OLINGAN NARXI $]]-Таблица37589101114[[#This Row],[RASXOD]]</f>
        <v>10</v>
      </c>
      <c r="O32" s="93" t="s">
        <v>1433</v>
      </c>
    </row>
    <row r="33" spans="1:15" s="83" customFormat="1" x14ac:dyDescent="0.3">
      <c r="A33" s="112">
        <v>32</v>
      </c>
      <c r="B33" s="76" t="s">
        <v>16</v>
      </c>
      <c r="C33" s="77" t="s">
        <v>74</v>
      </c>
      <c r="D33" s="78" t="s">
        <v>35</v>
      </c>
      <c r="E33" s="78" t="s">
        <v>22</v>
      </c>
      <c r="F33" s="79">
        <v>353730794113493</v>
      </c>
      <c r="G33" s="78"/>
      <c r="H33" s="80">
        <v>45841</v>
      </c>
      <c r="I33" s="81">
        <v>550</v>
      </c>
      <c r="J33" s="81"/>
      <c r="K33" s="80">
        <v>45844</v>
      </c>
      <c r="L33" s="82">
        <f>Таблица3[[#This Row],[OLINGAN NARXI $]]+Таблица3[[#This Row],[RASXOD]]</f>
        <v>180</v>
      </c>
      <c r="M33" s="81">
        <v>600</v>
      </c>
      <c r="N33" s="81">
        <v>50</v>
      </c>
      <c r="O33" s="77">
        <v>935845544</v>
      </c>
    </row>
    <row r="34" spans="1:15" s="83" customFormat="1" x14ac:dyDescent="0.3">
      <c r="A34" s="112">
        <v>33</v>
      </c>
      <c r="B34" s="76" t="s">
        <v>16</v>
      </c>
      <c r="C34" s="77" t="s">
        <v>88</v>
      </c>
      <c r="D34" s="78" t="s">
        <v>65</v>
      </c>
      <c r="E34" s="78" t="s">
        <v>15</v>
      </c>
      <c r="F34" s="79">
        <v>356706920213081</v>
      </c>
      <c r="G34" s="78"/>
      <c r="H34" s="80">
        <v>45821</v>
      </c>
      <c r="I34" s="81">
        <v>330</v>
      </c>
      <c r="J34" s="81"/>
      <c r="K34" s="80">
        <v>45845</v>
      </c>
      <c r="L34" s="82">
        <f>Таблица3[[#This Row],[OLINGAN NARXI $]]+Таблица3[[#This Row],[RASXOD]]</f>
        <v>610</v>
      </c>
      <c r="M34" s="81">
        <v>370</v>
      </c>
      <c r="N34" s="81">
        <v>40</v>
      </c>
      <c r="O34" s="77" t="s">
        <v>1337</v>
      </c>
    </row>
    <row r="35" spans="1:15" s="83" customFormat="1" x14ac:dyDescent="0.3">
      <c r="A35" s="112">
        <v>34</v>
      </c>
      <c r="B35" s="76" t="s">
        <v>16</v>
      </c>
      <c r="C35" s="77" t="s">
        <v>541</v>
      </c>
      <c r="D35" s="78" t="s">
        <v>97</v>
      </c>
      <c r="E35" s="78" t="s">
        <v>15</v>
      </c>
      <c r="F35" s="79">
        <v>353898105385470</v>
      </c>
      <c r="G35" s="78"/>
      <c r="H35" s="80">
        <v>45698</v>
      </c>
      <c r="I35" s="81">
        <v>200</v>
      </c>
      <c r="J35" s="81"/>
      <c r="K35" s="80">
        <v>45815</v>
      </c>
      <c r="L35" s="82">
        <f>Таблица3[[#This Row],[OLINGAN NARXI $]]+Таблица3[[#This Row],[RASXOD]]</f>
        <v>610</v>
      </c>
      <c r="M35" s="81">
        <v>236</v>
      </c>
      <c r="N35" s="81">
        <v>36</v>
      </c>
      <c r="O35" s="77" t="s">
        <v>262</v>
      </c>
    </row>
    <row r="36" spans="1:15" s="83" customFormat="1" x14ac:dyDescent="0.3">
      <c r="A36" s="112">
        <v>35</v>
      </c>
      <c r="B36" s="76" t="s">
        <v>16</v>
      </c>
      <c r="C36" s="77" t="s">
        <v>418</v>
      </c>
      <c r="D36" s="78" t="s">
        <v>583</v>
      </c>
      <c r="E36" s="78" t="s">
        <v>22</v>
      </c>
      <c r="F36" s="79">
        <v>352113443101444</v>
      </c>
      <c r="G36" s="78"/>
      <c r="H36" s="80">
        <v>45841</v>
      </c>
      <c r="I36" s="81">
        <v>840</v>
      </c>
      <c r="J36" s="81"/>
      <c r="K36" s="80">
        <v>45845</v>
      </c>
      <c r="L36" s="82">
        <f>Таблица3[[#This Row],[OLINGAN NARXI $]]+Таблица3[[#This Row],[RASXOD]]</f>
        <v>645</v>
      </c>
      <c r="M36" s="81">
        <v>930</v>
      </c>
      <c r="N36" s="81">
        <v>90</v>
      </c>
      <c r="O36" s="77" t="s">
        <v>1427</v>
      </c>
    </row>
    <row r="37" spans="1:15" s="83" customFormat="1" x14ac:dyDescent="0.3">
      <c r="A37" s="112">
        <v>36</v>
      </c>
      <c r="B37" s="76" t="s">
        <v>16</v>
      </c>
      <c r="C37" s="77" t="s">
        <v>39</v>
      </c>
      <c r="D37" s="78" t="s">
        <v>35</v>
      </c>
      <c r="E37" s="78" t="s">
        <v>22</v>
      </c>
      <c r="F37" s="79">
        <v>357170853464691</v>
      </c>
      <c r="G37" s="78"/>
      <c r="H37" s="80">
        <v>45840</v>
      </c>
      <c r="I37" s="81">
        <v>570</v>
      </c>
      <c r="J37" s="81"/>
      <c r="K37" s="80">
        <v>45846</v>
      </c>
      <c r="L37" s="82">
        <f>Таблица3[[#This Row],[OLINGAN NARXI $]]+Таблица3[[#This Row],[RASXOD]]</f>
        <v>550</v>
      </c>
      <c r="M37" s="81">
        <v>688</v>
      </c>
      <c r="N37" s="81">
        <v>118</v>
      </c>
      <c r="O37" s="77" t="s">
        <v>1420</v>
      </c>
    </row>
    <row r="38" spans="1:15" s="105" customFormat="1" x14ac:dyDescent="0.3">
      <c r="A38" s="112">
        <v>37</v>
      </c>
      <c r="B38" s="100" t="s">
        <v>16</v>
      </c>
      <c r="C38" s="101" t="s">
        <v>25</v>
      </c>
      <c r="D38" s="102"/>
      <c r="E38" s="102"/>
      <c r="F38" s="10">
        <v>4010</v>
      </c>
      <c r="G38" s="102"/>
      <c r="H38" s="103">
        <v>45846</v>
      </c>
      <c r="I38" s="26"/>
      <c r="J38" s="26"/>
      <c r="K38" s="103"/>
      <c r="L38" s="104">
        <f>Таблица37589101114[[#This Row],[OLINGAN NARXI $]]+Таблица37589101114[[#This Row],[RASXOD]]</f>
        <v>0</v>
      </c>
      <c r="M38" s="26"/>
      <c r="N38" s="26">
        <v>33</v>
      </c>
      <c r="O38" s="101" t="s">
        <v>446</v>
      </c>
    </row>
    <row r="39" spans="1:15" s="83" customFormat="1" x14ac:dyDescent="0.3">
      <c r="A39" s="112">
        <v>38</v>
      </c>
      <c r="B39" s="76" t="s">
        <v>13</v>
      </c>
      <c r="C39" s="77" t="s">
        <v>1041</v>
      </c>
      <c r="D39" s="78" t="s">
        <v>97</v>
      </c>
      <c r="E39" s="78" t="s">
        <v>15</v>
      </c>
      <c r="F39" s="79">
        <v>353992851397639</v>
      </c>
      <c r="G39" s="78"/>
      <c r="H39" s="80">
        <v>45760</v>
      </c>
      <c r="I39" s="81">
        <v>445</v>
      </c>
      <c r="J39" s="81"/>
      <c r="K39" s="80">
        <v>45846</v>
      </c>
      <c r="L39" s="82">
        <f>Таблица3[[#This Row],[OLINGAN NARXI $]]+Таблица3[[#This Row],[RASXOD]]</f>
        <v>182</v>
      </c>
      <c r="M39" s="81">
        <v>540</v>
      </c>
      <c r="N39" s="81">
        <v>95</v>
      </c>
      <c r="O39" s="77" t="s">
        <v>147</v>
      </c>
    </row>
    <row r="40" spans="1:15" s="83" customFormat="1" x14ac:dyDescent="0.3">
      <c r="A40" s="112">
        <v>39</v>
      </c>
      <c r="B40" s="76" t="s">
        <v>16</v>
      </c>
      <c r="C40" s="77" t="s">
        <v>32</v>
      </c>
      <c r="D40" s="78" t="s">
        <v>26</v>
      </c>
      <c r="E40" s="78" t="s">
        <v>22</v>
      </c>
      <c r="F40" s="79">
        <v>1520</v>
      </c>
      <c r="G40" s="78"/>
      <c r="H40" s="80">
        <v>45846</v>
      </c>
      <c r="I40" s="81">
        <v>710</v>
      </c>
      <c r="J40" s="81"/>
      <c r="K40" s="80">
        <v>45846</v>
      </c>
      <c r="L40" s="82">
        <f>Таблица37589101114[[#This Row],[OLINGAN NARXI $]]+Таблица37589101114[[#This Row],[RASXOD]]</f>
        <v>710</v>
      </c>
      <c r="M40" s="81">
        <v>760</v>
      </c>
      <c r="N40" s="81">
        <f>Таблица37589101114[[#This Row],[SOTILGAN NARXI]]-Таблица37589101114[[#This Row],[OLINGAN NARXI $]]-Таблица37589101114[[#This Row],[RASXOD]]</f>
        <v>50</v>
      </c>
      <c r="O40" s="77" t="s">
        <v>1433</v>
      </c>
    </row>
    <row r="41" spans="1:15" s="83" customFormat="1" x14ac:dyDescent="0.3">
      <c r="A41" s="112">
        <v>40</v>
      </c>
      <c r="B41" s="76" t="s">
        <v>13</v>
      </c>
      <c r="C41" s="77" t="s">
        <v>255</v>
      </c>
      <c r="D41" s="78"/>
      <c r="E41" s="78" t="s">
        <v>15</v>
      </c>
      <c r="F41" s="79">
        <v>350513040423723</v>
      </c>
      <c r="G41" s="78"/>
      <c r="H41" s="80">
        <v>45813</v>
      </c>
      <c r="I41" s="81">
        <v>645</v>
      </c>
      <c r="J41" s="81"/>
      <c r="K41" s="80">
        <v>45846</v>
      </c>
      <c r="L41" s="82">
        <f>Таблица3[[#This Row],[OLINGAN NARXI $]]+Таблица3[[#This Row],[RASXOD]]</f>
        <v>374.2</v>
      </c>
      <c r="M41" s="81">
        <v>720</v>
      </c>
      <c r="N41" s="81">
        <v>75</v>
      </c>
      <c r="O41" s="77" t="s">
        <v>19</v>
      </c>
    </row>
    <row r="42" spans="1:15" s="134" customFormat="1" x14ac:dyDescent="0.3">
      <c r="A42" s="112">
        <v>41</v>
      </c>
      <c r="B42" s="127" t="s">
        <v>16</v>
      </c>
      <c r="C42" s="128" t="s">
        <v>1368</v>
      </c>
      <c r="D42" s="127" t="s">
        <v>21</v>
      </c>
      <c r="E42" s="129" t="s">
        <v>15</v>
      </c>
      <c r="F42" s="130">
        <v>356696720292593</v>
      </c>
      <c r="G42" s="129" t="s">
        <v>430</v>
      </c>
      <c r="H42" s="131">
        <v>45842</v>
      </c>
      <c r="I42" s="132">
        <v>260</v>
      </c>
      <c r="J42" s="132"/>
      <c r="K42" s="131">
        <v>45846</v>
      </c>
      <c r="L42" s="133">
        <f>Таблица37589101114[[#This Row],[OLINGAN NARXI $]]+Таблица37589101114[[#This Row],[RASXOD]]</f>
        <v>260</v>
      </c>
      <c r="M42" s="132">
        <v>290</v>
      </c>
      <c r="N42" s="132">
        <v>15</v>
      </c>
      <c r="O42" s="128"/>
    </row>
    <row r="43" spans="1:15" s="134" customFormat="1" x14ac:dyDescent="0.3">
      <c r="A43" s="112">
        <v>42</v>
      </c>
      <c r="B43" s="127" t="s">
        <v>16</v>
      </c>
      <c r="C43" s="128" t="s">
        <v>88</v>
      </c>
      <c r="D43" s="127" t="s">
        <v>1397</v>
      </c>
      <c r="E43" s="129" t="s">
        <v>22</v>
      </c>
      <c r="F43" s="130">
        <v>354090447521249</v>
      </c>
      <c r="G43" s="129"/>
      <c r="H43" s="131">
        <v>45841</v>
      </c>
      <c r="I43" s="132">
        <v>410</v>
      </c>
      <c r="J43" s="132"/>
      <c r="K43" s="131">
        <v>45846</v>
      </c>
      <c r="L43" s="133">
        <f>Таблица37589101114[[#This Row],[OLINGAN NARXI $]]+Таблица37589101114[[#This Row],[RASXOD]]</f>
        <v>410</v>
      </c>
      <c r="M43" s="132">
        <v>450</v>
      </c>
      <c r="N43" s="132">
        <v>20</v>
      </c>
      <c r="O43" s="128"/>
    </row>
    <row r="44" spans="1:15" s="99" customFormat="1" x14ac:dyDescent="0.3">
      <c r="A44" s="112">
        <v>43</v>
      </c>
      <c r="B44" s="92" t="s">
        <v>16</v>
      </c>
      <c r="C44" s="93" t="s">
        <v>1294</v>
      </c>
      <c r="D44" s="94" t="s">
        <v>21</v>
      </c>
      <c r="E44" s="94" t="s">
        <v>15</v>
      </c>
      <c r="F44" s="95">
        <v>356300793579719</v>
      </c>
      <c r="G44" s="94"/>
      <c r="H44" s="96">
        <v>45833</v>
      </c>
      <c r="I44" s="97">
        <v>400</v>
      </c>
      <c r="J44" s="97"/>
      <c r="K44" s="96">
        <v>45846</v>
      </c>
      <c r="L44" s="98">
        <f>Таблица3[[#This Row],[OLINGAN NARXI $]]+Таблица3[[#This Row],[RASXOD]]</f>
        <v>1000</v>
      </c>
      <c r="M44" s="97">
        <v>499</v>
      </c>
      <c r="N44" s="97">
        <v>99</v>
      </c>
      <c r="O44" s="93" t="s">
        <v>1393</v>
      </c>
    </row>
    <row r="45" spans="1:15" s="134" customFormat="1" x14ac:dyDescent="0.3">
      <c r="A45" s="112">
        <v>44</v>
      </c>
      <c r="B45" s="127" t="s">
        <v>16</v>
      </c>
      <c r="C45" s="128" t="s">
        <v>418</v>
      </c>
      <c r="D45" s="127" t="s">
        <v>583</v>
      </c>
      <c r="E45" s="129" t="s">
        <v>22</v>
      </c>
      <c r="F45" s="130">
        <v>356821695216373</v>
      </c>
      <c r="G45" s="129"/>
      <c r="H45" s="131">
        <v>45840</v>
      </c>
      <c r="I45" s="132">
        <v>900</v>
      </c>
      <c r="J45" s="132"/>
      <c r="K45" s="131">
        <v>45846</v>
      </c>
      <c r="L45" s="133">
        <f>Таблица37589101114[[#This Row],[OLINGAN NARXI $]]+Таблица37589101114[[#This Row],[RASXOD]]</f>
        <v>900</v>
      </c>
      <c r="M45" s="132">
        <v>950</v>
      </c>
      <c r="N45" s="132">
        <v>25</v>
      </c>
      <c r="O45" s="128"/>
    </row>
    <row r="46" spans="1:15" s="83" customFormat="1" x14ac:dyDescent="0.3">
      <c r="A46" s="112">
        <v>45</v>
      </c>
      <c r="B46" s="76" t="s">
        <v>16</v>
      </c>
      <c r="C46" s="77" t="s">
        <v>39</v>
      </c>
      <c r="D46" s="78" t="s">
        <v>35</v>
      </c>
      <c r="E46" s="78" t="s">
        <v>22</v>
      </c>
      <c r="F46" s="79">
        <v>352221363784048</v>
      </c>
      <c r="G46" s="78"/>
      <c r="H46" s="80">
        <v>45835</v>
      </c>
      <c r="I46" s="81">
        <v>628</v>
      </c>
      <c r="J46" s="81"/>
      <c r="K46" s="80">
        <v>45846</v>
      </c>
      <c r="L46" s="82">
        <f>Таблица3[[#This Row],[OLINGAN NARXI $]]+Таблица3[[#This Row],[RASXOD]]</f>
        <v>145</v>
      </c>
      <c r="M46" s="81">
        <v>680</v>
      </c>
      <c r="N46" s="81">
        <v>52</v>
      </c>
      <c r="O46" s="77">
        <v>916130110</v>
      </c>
    </row>
    <row r="47" spans="1:15" s="83" customFormat="1" x14ac:dyDescent="0.3">
      <c r="A47" s="112">
        <v>46</v>
      </c>
      <c r="B47" s="76" t="s">
        <v>16</v>
      </c>
      <c r="C47" s="77" t="s">
        <v>81</v>
      </c>
      <c r="D47" s="78" t="s">
        <v>65</v>
      </c>
      <c r="E47" s="78" t="s">
        <v>15</v>
      </c>
      <c r="F47" s="79">
        <v>351619859697999</v>
      </c>
      <c r="G47" s="78"/>
      <c r="H47" s="80">
        <v>45837</v>
      </c>
      <c r="I47" s="81">
        <v>420</v>
      </c>
      <c r="J47" s="81"/>
      <c r="K47" s="80">
        <v>45846</v>
      </c>
      <c r="L47" s="82">
        <f>Таблица3[[#This Row],[OLINGAN NARXI $]]+Таблица3[[#This Row],[RASXOD]]</f>
        <v>390</v>
      </c>
      <c r="M47" s="81">
        <v>480</v>
      </c>
      <c r="N47" s="81">
        <v>60</v>
      </c>
      <c r="O47" s="77">
        <v>772773710</v>
      </c>
    </row>
    <row r="48" spans="1:15" s="83" customFormat="1" x14ac:dyDescent="0.3">
      <c r="A48" s="112">
        <v>47</v>
      </c>
      <c r="B48" s="76" t="s">
        <v>16</v>
      </c>
      <c r="C48" s="77" t="s">
        <v>88</v>
      </c>
      <c r="D48" s="78" t="s">
        <v>21</v>
      </c>
      <c r="E48" s="78" t="s">
        <v>15</v>
      </c>
      <c r="F48" s="79">
        <v>358288940893018</v>
      </c>
      <c r="G48" s="78"/>
      <c r="H48" s="80">
        <v>45826</v>
      </c>
      <c r="I48" s="81">
        <v>325</v>
      </c>
      <c r="J48" s="81"/>
      <c r="K48" s="80">
        <v>45846</v>
      </c>
      <c r="L48" s="82">
        <f>Таблица3[[#This Row],[OLINGAN NARXI $]]+Таблица3[[#This Row],[RASXOD]]</f>
        <v>63</v>
      </c>
      <c r="M48" s="81">
        <v>370</v>
      </c>
      <c r="N48" s="81">
        <v>45</v>
      </c>
      <c r="O48" s="77" t="s">
        <v>19</v>
      </c>
    </row>
    <row r="49" spans="1:15" s="99" customFormat="1" x14ac:dyDescent="0.3">
      <c r="A49" s="112">
        <v>48</v>
      </c>
      <c r="B49" s="92" t="s">
        <v>1077</v>
      </c>
      <c r="C49" s="93" t="s">
        <v>1320</v>
      </c>
      <c r="D49" s="94" t="s">
        <v>21</v>
      </c>
      <c r="E49" s="94" t="s">
        <v>15</v>
      </c>
      <c r="F49" s="95">
        <v>863183050087931</v>
      </c>
      <c r="G49" s="94"/>
      <c r="H49" s="96">
        <v>45846</v>
      </c>
      <c r="I49" s="97">
        <v>31</v>
      </c>
      <c r="J49" s="97"/>
      <c r="K49" s="96">
        <v>45846</v>
      </c>
      <c r="L49" s="98">
        <f>Таблица3[[#This Row],[OLINGAN NARXI $]]+Таблица3[[#This Row],[RASXOD]]</f>
        <v>60</v>
      </c>
      <c r="M49" s="97">
        <v>54</v>
      </c>
      <c r="N49" s="97">
        <v>23</v>
      </c>
      <c r="O49" s="93" t="s">
        <v>1436</v>
      </c>
    </row>
    <row r="50" spans="1:15" s="83" customFormat="1" x14ac:dyDescent="0.3">
      <c r="A50" s="112">
        <v>49</v>
      </c>
      <c r="B50" s="76" t="s">
        <v>13</v>
      </c>
      <c r="C50" s="77" t="s">
        <v>197</v>
      </c>
      <c r="D50" s="78" t="s">
        <v>21</v>
      </c>
      <c r="E50" s="78" t="s">
        <v>15</v>
      </c>
      <c r="F50" s="79">
        <v>351062770553589</v>
      </c>
      <c r="G50" s="78"/>
      <c r="H50" s="80">
        <v>45835</v>
      </c>
      <c r="I50" s="81">
        <v>126</v>
      </c>
      <c r="J50" s="81"/>
      <c r="K50" s="80">
        <v>45847</v>
      </c>
      <c r="L50" s="82">
        <f>Таблица3[[#This Row],[OLINGAN NARXI $]]+Таблица3[[#This Row],[RASXOD]]</f>
        <v>120</v>
      </c>
      <c r="M50" s="81">
        <v>130</v>
      </c>
      <c r="N50" s="81">
        <v>4</v>
      </c>
      <c r="O50" s="77" t="s">
        <v>262</v>
      </c>
    </row>
    <row r="51" spans="1:15" s="83" customFormat="1" x14ac:dyDescent="0.3">
      <c r="A51" s="112">
        <v>50</v>
      </c>
      <c r="B51" s="76" t="s">
        <v>16</v>
      </c>
      <c r="C51" s="77" t="s">
        <v>83</v>
      </c>
      <c r="D51" s="78" t="s">
        <v>65</v>
      </c>
      <c r="E51" s="78" t="s">
        <v>15</v>
      </c>
      <c r="F51" s="79">
        <v>352668911876918</v>
      </c>
      <c r="G51" s="78"/>
      <c r="H51" s="80">
        <v>45775</v>
      </c>
      <c r="I51" s="81">
        <v>440</v>
      </c>
      <c r="J51" s="81"/>
      <c r="K51" s="80">
        <v>45847</v>
      </c>
      <c r="L51" s="82">
        <f>Таблица3[[#This Row],[OLINGAN NARXI $]]+Таблица3[[#This Row],[RASXOD]]</f>
        <v>380</v>
      </c>
      <c r="M51" s="81">
        <v>480</v>
      </c>
      <c r="N51" s="81">
        <v>40</v>
      </c>
      <c r="O51" s="77" t="s">
        <v>1119</v>
      </c>
    </row>
    <row r="52" spans="1:15" s="83" customFormat="1" x14ac:dyDescent="0.3">
      <c r="A52" s="112">
        <v>51</v>
      </c>
      <c r="B52" s="76" t="s">
        <v>16</v>
      </c>
      <c r="C52" s="77" t="s">
        <v>552</v>
      </c>
      <c r="D52" s="78" t="s">
        <v>18</v>
      </c>
      <c r="E52" s="78" t="s">
        <v>15</v>
      </c>
      <c r="F52" s="79">
        <v>352833110494125</v>
      </c>
      <c r="G52" s="78" t="s">
        <v>1253</v>
      </c>
      <c r="H52" s="80">
        <v>45831</v>
      </c>
      <c r="I52" s="81">
        <v>150</v>
      </c>
      <c r="J52" s="81"/>
      <c r="K52" s="80">
        <v>45847</v>
      </c>
      <c r="L52" s="82">
        <f>Таблица3[[#This Row],[OLINGAN NARXI $]]+Таблица3[[#This Row],[RASXOD]]</f>
        <v>635</v>
      </c>
      <c r="M52" s="81">
        <v>210</v>
      </c>
      <c r="N52" s="81">
        <v>60</v>
      </c>
      <c r="O52" s="77">
        <v>910088214</v>
      </c>
    </row>
    <row r="53" spans="1:15" s="83" customFormat="1" x14ac:dyDescent="0.3">
      <c r="A53" s="112">
        <v>52</v>
      </c>
      <c r="B53" s="76" t="s">
        <v>207</v>
      </c>
      <c r="C53" s="77" t="s">
        <v>1069</v>
      </c>
      <c r="D53" s="78" t="s">
        <v>21</v>
      </c>
      <c r="E53" s="78" t="s">
        <v>22</v>
      </c>
      <c r="F53" s="79"/>
      <c r="G53" s="78"/>
      <c r="H53" s="80">
        <v>45806</v>
      </c>
      <c r="I53" s="81">
        <v>280</v>
      </c>
      <c r="J53" s="81"/>
      <c r="K53" s="80">
        <v>45847</v>
      </c>
      <c r="L53" s="82">
        <f>Таблица3[[#This Row],[OLINGAN NARXI $]]+Таблица3[[#This Row],[RASXOD]]</f>
        <v>1185</v>
      </c>
      <c r="M53" s="81">
        <v>310</v>
      </c>
      <c r="N53" s="81">
        <v>30</v>
      </c>
      <c r="O53" s="77"/>
    </row>
    <row r="54" spans="1:15" s="83" customFormat="1" x14ac:dyDescent="0.3">
      <c r="A54" s="112">
        <v>53</v>
      </c>
      <c r="B54" s="76" t="s">
        <v>13</v>
      </c>
      <c r="C54" s="77" t="s">
        <v>1082</v>
      </c>
      <c r="D54" s="78" t="s">
        <v>21</v>
      </c>
      <c r="E54" s="78" t="s">
        <v>15</v>
      </c>
      <c r="F54" s="79">
        <v>355375105323668</v>
      </c>
      <c r="G54" s="78"/>
      <c r="H54" s="80">
        <v>45769</v>
      </c>
      <c r="I54" s="81">
        <v>160</v>
      </c>
      <c r="J54" s="81">
        <v>27</v>
      </c>
      <c r="K54" s="80">
        <v>45847</v>
      </c>
      <c r="L54" s="82">
        <f>Таблица3[[#This Row],[OLINGAN NARXI $]]+Таблица3[[#This Row],[RASXOD]]</f>
        <v>156</v>
      </c>
      <c r="M54" s="81">
        <v>215</v>
      </c>
      <c r="N54" s="81">
        <v>28</v>
      </c>
      <c r="O54" s="77" t="s">
        <v>147</v>
      </c>
    </row>
    <row r="55" spans="1:15" s="134" customFormat="1" x14ac:dyDescent="0.3">
      <c r="A55" s="112">
        <v>54</v>
      </c>
      <c r="B55" s="127" t="s">
        <v>16</v>
      </c>
      <c r="C55" s="128" t="s">
        <v>32</v>
      </c>
      <c r="D55" s="127" t="s">
        <v>26</v>
      </c>
      <c r="E55" s="129" t="s">
        <v>22</v>
      </c>
      <c r="F55" s="130">
        <v>351253393857958</v>
      </c>
      <c r="G55" s="129"/>
      <c r="H55" s="131">
        <v>45831</v>
      </c>
      <c r="I55" s="132">
        <v>670</v>
      </c>
      <c r="J55" s="132"/>
      <c r="K55" s="131">
        <v>45847</v>
      </c>
      <c r="L55" s="133">
        <f>Таблица37589101114[[#This Row],[OLINGAN NARXI $]]+Таблица37589101114[[#This Row],[RASXOD]]</f>
        <v>670</v>
      </c>
      <c r="M55" s="132">
        <v>730</v>
      </c>
      <c r="N55" s="132">
        <v>30</v>
      </c>
      <c r="O55" s="128"/>
    </row>
    <row r="56" spans="1:15" s="99" customFormat="1" x14ac:dyDescent="0.3">
      <c r="A56" s="112">
        <v>55</v>
      </c>
      <c r="B56" s="92" t="s">
        <v>13</v>
      </c>
      <c r="C56" s="93" t="s">
        <v>119</v>
      </c>
      <c r="D56" s="94" t="s">
        <v>89</v>
      </c>
      <c r="E56" s="94" t="s">
        <v>15</v>
      </c>
      <c r="F56" s="95">
        <v>350865892698426</v>
      </c>
      <c r="G56" s="94"/>
      <c r="H56" s="96">
        <v>45790</v>
      </c>
      <c r="I56" s="97">
        <v>250</v>
      </c>
      <c r="J56" s="97">
        <v>26</v>
      </c>
      <c r="K56" s="96">
        <v>45847</v>
      </c>
      <c r="L56" s="98">
        <f>Таблица3[[#This Row],[OLINGAN NARXI $]]+Таблица3[[#This Row],[RASXOD]]</f>
        <v>550</v>
      </c>
      <c r="M56" s="97">
        <v>350</v>
      </c>
      <c r="N56" s="97">
        <v>74</v>
      </c>
      <c r="O56" s="93" t="s">
        <v>147</v>
      </c>
    </row>
    <row r="57" spans="1:15" s="83" customFormat="1" x14ac:dyDescent="0.3">
      <c r="A57" s="112">
        <v>56</v>
      </c>
      <c r="B57" s="76" t="s">
        <v>16</v>
      </c>
      <c r="C57" s="77" t="s">
        <v>81</v>
      </c>
      <c r="D57" s="78" t="s">
        <v>21</v>
      </c>
      <c r="E57" s="78" t="s">
        <v>15</v>
      </c>
      <c r="F57" s="79">
        <v>359664927318220</v>
      </c>
      <c r="G57" s="78"/>
      <c r="H57" s="80">
        <v>45835</v>
      </c>
      <c r="I57" s="81">
        <v>420</v>
      </c>
      <c r="J57" s="81"/>
      <c r="K57" s="80">
        <v>45847</v>
      </c>
      <c r="L57" s="82">
        <f>Таблица3[[#This Row],[OLINGAN NARXI $]]+Таблица3[[#This Row],[RASXOD]]</f>
        <v>190</v>
      </c>
      <c r="M57" s="81">
        <v>470</v>
      </c>
      <c r="N57" s="81">
        <v>50</v>
      </c>
      <c r="O57" s="77" t="s">
        <v>1395</v>
      </c>
    </row>
    <row r="58" spans="1:15" s="83" customFormat="1" x14ac:dyDescent="0.3">
      <c r="A58" s="112">
        <v>57</v>
      </c>
      <c r="B58" s="76" t="s">
        <v>1077</v>
      </c>
      <c r="C58" s="77" t="s">
        <v>1437</v>
      </c>
      <c r="D58" s="78" t="s">
        <v>21</v>
      </c>
      <c r="E58" s="78" t="s">
        <v>15</v>
      </c>
      <c r="F58" s="79">
        <v>860871063076304</v>
      </c>
      <c r="G58" s="78"/>
      <c r="H58" s="80">
        <v>45846</v>
      </c>
      <c r="I58" s="81">
        <v>47</v>
      </c>
      <c r="J58" s="81"/>
      <c r="K58" s="80">
        <v>45848</v>
      </c>
      <c r="L58" s="82">
        <f>Таблица3[[#This Row],[OLINGAN NARXI $]]+Таблица3[[#This Row],[RASXOD]]</f>
        <v>394.16</v>
      </c>
      <c r="M58" s="81">
        <v>67</v>
      </c>
      <c r="N58" s="81">
        <v>20</v>
      </c>
      <c r="O58" s="77" t="s">
        <v>1436</v>
      </c>
    </row>
    <row r="59" spans="1:15" s="83" customFormat="1" x14ac:dyDescent="0.3">
      <c r="A59" s="112">
        <v>58</v>
      </c>
      <c r="B59" s="76" t="s">
        <v>16</v>
      </c>
      <c r="C59" s="77">
        <v>12</v>
      </c>
      <c r="D59" s="78"/>
      <c r="E59" s="78"/>
      <c r="F59" s="79">
        <v>8661</v>
      </c>
      <c r="G59" s="78"/>
      <c r="H59" s="80">
        <v>45849</v>
      </c>
      <c r="I59" s="81">
        <v>270</v>
      </c>
      <c r="J59" s="81"/>
      <c r="K59" s="80">
        <v>45849</v>
      </c>
      <c r="L59" s="82">
        <f>Таблица37589101114[[#This Row],[OLINGAN NARXI $]]+Таблица37589101114[[#This Row],[RASXOD]]</f>
        <v>270</v>
      </c>
      <c r="M59" s="81">
        <v>290</v>
      </c>
      <c r="N59" s="81">
        <f>Таблица37589101114[[#This Row],[SOTILGAN NARXI]]-Таблица37589101114[[#This Row],[OLINGAN NARXI $]]-Таблица37589101114[[#This Row],[RASXOD]]</f>
        <v>20</v>
      </c>
      <c r="O59" s="77" t="s">
        <v>1443</v>
      </c>
    </row>
    <row r="60" spans="1:15" s="83" customFormat="1" x14ac:dyDescent="0.3">
      <c r="A60" s="112">
        <v>59</v>
      </c>
      <c r="B60" s="76" t="s">
        <v>16</v>
      </c>
      <c r="C60" s="77" t="s">
        <v>32</v>
      </c>
      <c r="D60" s="78" t="s">
        <v>26</v>
      </c>
      <c r="E60" s="78" t="s">
        <v>15</v>
      </c>
      <c r="F60" s="79">
        <v>356116988454215</v>
      </c>
      <c r="G60" s="78" t="s">
        <v>556</v>
      </c>
      <c r="H60" s="80">
        <v>45837</v>
      </c>
      <c r="I60" s="81">
        <v>560</v>
      </c>
      <c r="J60" s="81">
        <v>32</v>
      </c>
      <c r="K60" s="80">
        <v>45849</v>
      </c>
      <c r="L60" s="82">
        <f>Таблица3[[#This Row],[OLINGAN NARXI $]]+Таблица3[[#This Row],[RASXOD]]</f>
        <v>135</v>
      </c>
      <c r="M60" s="81">
        <v>690</v>
      </c>
      <c r="N60" s="81">
        <v>98</v>
      </c>
      <c r="O60" s="77">
        <v>774006699</v>
      </c>
    </row>
    <row r="61" spans="1:15" s="83" customFormat="1" x14ac:dyDescent="0.3">
      <c r="A61" s="112">
        <v>60</v>
      </c>
      <c r="B61" s="76" t="s">
        <v>16</v>
      </c>
      <c r="C61" s="77" t="s">
        <v>32</v>
      </c>
      <c r="D61" s="78" t="s">
        <v>26</v>
      </c>
      <c r="E61" s="78" t="s">
        <v>15</v>
      </c>
      <c r="F61" s="79">
        <v>350623506779789</v>
      </c>
      <c r="G61" s="78"/>
      <c r="H61" s="80">
        <v>45847</v>
      </c>
      <c r="I61" s="81">
        <v>600</v>
      </c>
      <c r="J61" s="81"/>
      <c r="K61" s="80">
        <v>45849</v>
      </c>
      <c r="L61" s="82">
        <f>Таблица3[[#This Row],[OLINGAN NARXI $]]+Таблица3[[#This Row],[RASXOD]]</f>
        <v>60</v>
      </c>
      <c r="M61" s="81">
        <v>690</v>
      </c>
      <c r="N61" s="81">
        <v>90</v>
      </c>
      <c r="O61" s="150">
        <v>9.5456227299754304E+17</v>
      </c>
    </row>
    <row r="62" spans="1:15" s="83" customFormat="1" x14ac:dyDescent="0.3">
      <c r="A62" s="112">
        <v>61</v>
      </c>
      <c r="B62" s="76" t="s">
        <v>16</v>
      </c>
      <c r="C62" s="77" t="s">
        <v>1000</v>
      </c>
      <c r="D62" s="78" t="s">
        <v>583</v>
      </c>
      <c r="E62" s="78" t="s">
        <v>22</v>
      </c>
      <c r="F62" s="79">
        <v>350523894965307</v>
      </c>
      <c r="G62" s="78"/>
      <c r="H62" s="80">
        <v>45843</v>
      </c>
      <c r="I62" s="81">
        <v>1070</v>
      </c>
      <c r="J62" s="81"/>
      <c r="K62" s="80">
        <v>45849</v>
      </c>
      <c r="L62" s="82">
        <f>Таблица3[[#This Row],[OLINGAN NARXI $]]+Таблица3[[#This Row],[RASXOD]]</f>
        <v>172.7</v>
      </c>
      <c r="M62" s="81">
        <v>1190</v>
      </c>
      <c r="N62" s="81">
        <v>120</v>
      </c>
      <c r="O62" s="77" t="s">
        <v>1431</v>
      </c>
    </row>
    <row r="63" spans="1:15" s="134" customFormat="1" x14ac:dyDescent="0.3">
      <c r="A63" s="112">
        <v>62</v>
      </c>
      <c r="B63" s="127" t="s">
        <v>16</v>
      </c>
      <c r="C63" s="128" t="s">
        <v>25</v>
      </c>
      <c r="D63" s="127" t="s">
        <v>26</v>
      </c>
      <c r="E63" s="129" t="s">
        <v>22</v>
      </c>
      <c r="F63" s="130">
        <v>357926951056329</v>
      </c>
      <c r="G63" s="129"/>
      <c r="H63" s="131">
        <v>45846</v>
      </c>
      <c r="I63" s="132">
        <v>810</v>
      </c>
      <c r="J63" s="132"/>
      <c r="K63" s="131">
        <v>45849</v>
      </c>
      <c r="L63" s="133">
        <f>Таблица37589101114[[#This Row],[OLINGAN NARXI $]]+Таблица37589101114[[#This Row],[RASXOD]]</f>
        <v>810</v>
      </c>
      <c r="M63" s="132">
        <v>870</v>
      </c>
      <c r="N63" s="97">
        <v>30</v>
      </c>
      <c r="O63" s="128"/>
    </row>
    <row r="64" spans="1:15" s="134" customFormat="1" x14ac:dyDescent="0.3">
      <c r="A64" s="112">
        <v>63</v>
      </c>
      <c r="B64" s="127" t="s">
        <v>16</v>
      </c>
      <c r="C64" s="128" t="s">
        <v>25</v>
      </c>
      <c r="D64" s="127" t="s">
        <v>18</v>
      </c>
      <c r="E64" s="129" t="s">
        <v>22</v>
      </c>
      <c r="F64" s="130">
        <v>351073873235933</v>
      </c>
      <c r="G64" s="129"/>
      <c r="H64" s="131">
        <v>45830</v>
      </c>
      <c r="I64" s="132">
        <v>810</v>
      </c>
      <c r="J64" s="132"/>
      <c r="K64" s="131">
        <v>45849</v>
      </c>
      <c r="L64" s="133">
        <f>Таблица37589101114[[#This Row],[OLINGAN NARXI $]]+Таблица37589101114[[#This Row],[RASXOD]]</f>
        <v>810</v>
      </c>
      <c r="M64" s="132">
        <v>870</v>
      </c>
      <c r="N64" s="97">
        <v>30</v>
      </c>
      <c r="O64" s="128"/>
    </row>
    <row r="65" spans="1:15" s="56" customFormat="1" x14ac:dyDescent="0.3">
      <c r="A65" s="112">
        <v>64</v>
      </c>
      <c r="B65" s="50" t="s">
        <v>16</v>
      </c>
      <c r="C65" s="51" t="s">
        <v>74</v>
      </c>
      <c r="D65" s="52" t="s">
        <v>35</v>
      </c>
      <c r="E65" s="52" t="s">
        <v>22</v>
      </c>
      <c r="F65" s="53">
        <v>353730797454779</v>
      </c>
      <c r="G65" s="52"/>
      <c r="H65" s="54">
        <v>45816</v>
      </c>
      <c r="I65" s="55">
        <v>555</v>
      </c>
      <c r="J65" s="55"/>
      <c r="K65" s="54">
        <v>45849</v>
      </c>
      <c r="L65" s="72">
        <f>Таблица3[[#This Row],[OLINGAN NARXI $]]+Таблица3[[#This Row],[RASXOD]]</f>
        <v>1100</v>
      </c>
      <c r="M65" s="55">
        <v>580</v>
      </c>
      <c r="N65" s="55">
        <v>25</v>
      </c>
      <c r="O65" s="51" t="s">
        <v>1313</v>
      </c>
    </row>
    <row r="66" spans="1:15" s="99" customFormat="1" x14ac:dyDescent="0.3">
      <c r="A66" s="112">
        <v>65</v>
      </c>
      <c r="B66" s="92" t="s">
        <v>16</v>
      </c>
      <c r="C66" s="93" t="s">
        <v>418</v>
      </c>
      <c r="D66" s="94" t="s">
        <v>26</v>
      </c>
      <c r="E66" s="94" t="s">
        <v>22</v>
      </c>
      <c r="F66" s="95">
        <v>357592313189602</v>
      </c>
      <c r="G66" s="94"/>
      <c r="H66" s="96">
        <v>45849</v>
      </c>
      <c r="I66" s="97">
        <v>910</v>
      </c>
      <c r="J66" s="97"/>
      <c r="K66" s="96">
        <v>45849</v>
      </c>
      <c r="L66" s="98">
        <f>Таблица3[[#This Row],[OLINGAN NARXI $]]+Таблица3[[#This Row],[RASXOD]]</f>
        <v>1200</v>
      </c>
      <c r="M66" s="97">
        <v>1000</v>
      </c>
      <c r="N66" s="97">
        <v>90</v>
      </c>
      <c r="O66" s="93" t="s">
        <v>1441</v>
      </c>
    </row>
    <row r="67" spans="1:15" s="83" customFormat="1" x14ac:dyDescent="0.3">
      <c r="A67" s="112">
        <v>66</v>
      </c>
      <c r="B67" s="76" t="s">
        <v>16</v>
      </c>
      <c r="C67" s="77" t="s">
        <v>1000</v>
      </c>
      <c r="D67" s="78" t="s">
        <v>583</v>
      </c>
      <c r="E67" s="78" t="s">
        <v>22</v>
      </c>
      <c r="F67" s="79">
        <v>357988120063107</v>
      </c>
      <c r="G67" s="78"/>
      <c r="H67" s="80">
        <v>44734</v>
      </c>
      <c r="I67" s="81">
        <v>1075</v>
      </c>
      <c r="J67" s="81"/>
      <c r="K67" s="80">
        <v>45850</v>
      </c>
      <c r="L67" s="82">
        <f>Таблица3[[#This Row],[OLINGAN NARXI $]]+Таблица3[[#This Row],[RASXOD]]</f>
        <v>210</v>
      </c>
      <c r="M67" s="81">
        <v>1220</v>
      </c>
      <c r="N67" s="81">
        <v>145</v>
      </c>
      <c r="O67" s="77"/>
    </row>
    <row r="68" spans="1:15" s="99" customFormat="1" x14ac:dyDescent="0.3">
      <c r="A68" s="112">
        <v>67</v>
      </c>
      <c r="B68" s="92" t="s">
        <v>16</v>
      </c>
      <c r="C68" s="93" t="s">
        <v>452</v>
      </c>
      <c r="D68" s="94" t="s">
        <v>18</v>
      </c>
      <c r="E68" s="94" t="s">
        <v>22</v>
      </c>
      <c r="F68" s="95">
        <v>354003105866848</v>
      </c>
      <c r="G68" s="94" t="s">
        <v>1248</v>
      </c>
      <c r="H68" s="96">
        <v>45799</v>
      </c>
      <c r="I68" s="97">
        <v>220</v>
      </c>
      <c r="J68" s="97">
        <v>5</v>
      </c>
      <c r="K68" s="96">
        <v>45850</v>
      </c>
      <c r="L68" s="98">
        <f>Таблица3[[#This Row],[OLINGAN NARXI $]]+Таблица3[[#This Row],[RASXOD]]</f>
        <v>570</v>
      </c>
      <c r="M68" s="97">
        <v>250</v>
      </c>
      <c r="N68" s="97">
        <v>25</v>
      </c>
      <c r="O68" s="93" t="s">
        <v>19</v>
      </c>
    </row>
    <row r="69" spans="1:15" s="83" customFormat="1" x14ac:dyDescent="0.3">
      <c r="A69" s="112">
        <v>68</v>
      </c>
      <c r="B69" s="76" t="s">
        <v>16</v>
      </c>
      <c r="C69" s="77" t="s">
        <v>81</v>
      </c>
      <c r="D69" s="78" t="s">
        <v>18</v>
      </c>
      <c r="E69" s="78" t="s">
        <v>15</v>
      </c>
      <c r="F69" s="79">
        <v>355786376157819</v>
      </c>
      <c r="G69" s="78"/>
      <c r="H69" s="80">
        <v>45838</v>
      </c>
      <c r="I69" s="81">
        <v>435</v>
      </c>
      <c r="J69" s="81"/>
      <c r="K69" s="80">
        <v>45850</v>
      </c>
      <c r="L69" s="82">
        <f>Таблица3[[#This Row],[OLINGAN NARXI $]]+Таблица3[[#This Row],[RASXOD]]</f>
        <v>850</v>
      </c>
      <c r="M69" s="81">
        <v>520</v>
      </c>
      <c r="N69" s="81">
        <v>85</v>
      </c>
      <c r="O69" s="77" t="s">
        <v>1403</v>
      </c>
    </row>
    <row r="70" spans="1:15" s="83" customFormat="1" x14ac:dyDescent="0.3">
      <c r="A70" s="112">
        <v>69</v>
      </c>
      <c r="B70" s="76" t="s">
        <v>16</v>
      </c>
      <c r="C70" s="77" t="s">
        <v>74</v>
      </c>
      <c r="D70" s="78" t="s">
        <v>35</v>
      </c>
      <c r="E70" s="78" t="s">
        <v>15</v>
      </c>
      <c r="F70" s="79">
        <v>358047320387102</v>
      </c>
      <c r="G70" s="78"/>
      <c r="H70" s="80">
        <v>45846</v>
      </c>
      <c r="I70" s="81">
        <v>560</v>
      </c>
      <c r="J70" s="81"/>
      <c r="K70" s="80">
        <v>45850</v>
      </c>
      <c r="L70" s="82">
        <f>Таблица3[[#This Row],[OLINGAN NARXI $]]+Таблица3[[#This Row],[RASXOD]]</f>
        <v>550</v>
      </c>
      <c r="M70" s="81">
        <v>610</v>
      </c>
      <c r="N70" s="81">
        <v>50</v>
      </c>
      <c r="O70" s="77" t="s">
        <v>262</v>
      </c>
    </row>
    <row r="71" spans="1:15" s="83" customFormat="1" x14ac:dyDescent="0.3">
      <c r="A71" s="112">
        <v>70</v>
      </c>
      <c r="B71" s="76" t="s">
        <v>16</v>
      </c>
      <c r="C71" s="77" t="s">
        <v>312</v>
      </c>
      <c r="D71" s="78" t="s">
        <v>97</v>
      </c>
      <c r="E71" s="78" t="s">
        <v>15</v>
      </c>
      <c r="F71" s="79">
        <v>350019043572193</v>
      </c>
      <c r="G71" s="78"/>
      <c r="H71" s="80">
        <v>45779</v>
      </c>
      <c r="I71" s="81">
        <v>505</v>
      </c>
      <c r="J71" s="81"/>
      <c r="K71" s="80">
        <v>45850</v>
      </c>
      <c r="L71" s="82">
        <f>Таблица3[[#This Row],[OLINGAN NARXI $]]+Таблица3[[#This Row],[RASXOD]]</f>
        <v>720</v>
      </c>
      <c r="M71" s="81">
        <v>600</v>
      </c>
      <c r="N71" s="81">
        <v>95</v>
      </c>
      <c r="O71" s="77" t="s">
        <v>1140</v>
      </c>
    </row>
    <row r="72" spans="1:15" s="99" customFormat="1" x14ac:dyDescent="0.3">
      <c r="A72" s="112">
        <v>71</v>
      </c>
      <c r="B72" s="92" t="s">
        <v>16</v>
      </c>
      <c r="C72" s="93" t="s">
        <v>129</v>
      </c>
      <c r="D72" s="94" t="s">
        <v>65</v>
      </c>
      <c r="E72" s="94" t="s">
        <v>22</v>
      </c>
      <c r="F72" s="95">
        <v>356287125589286</v>
      </c>
      <c r="G72" s="94" t="s">
        <v>66</v>
      </c>
      <c r="H72" s="96">
        <v>45843</v>
      </c>
      <c r="I72" s="97">
        <v>300</v>
      </c>
      <c r="J72" s="97">
        <v>130</v>
      </c>
      <c r="K72" s="96">
        <v>45850</v>
      </c>
      <c r="L72" s="98">
        <f>Таблица3[[#This Row],[OLINGAN NARXI $]]+Таблица3[[#This Row],[RASXOD]]</f>
        <v>464</v>
      </c>
      <c r="M72" s="97">
        <v>490</v>
      </c>
      <c r="N72" s="97">
        <v>60</v>
      </c>
      <c r="O72" s="93" t="s">
        <v>1430</v>
      </c>
    </row>
    <row r="73" spans="1:15" s="83" customFormat="1" x14ac:dyDescent="0.3">
      <c r="A73" s="112">
        <v>72</v>
      </c>
      <c r="B73" s="76" t="s">
        <v>16</v>
      </c>
      <c r="C73" s="77" t="s">
        <v>39</v>
      </c>
      <c r="D73" s="78" t="s">
        <v>21</v>
      </c>
      <c r="E73" s="78" t="s">
        <v>22</v>
      </c>
      <c r="F73" s="79">
        <v>354805729279517</v>
      </c>
      <c r="G73" s="78" t="s">
        <v>1440</v>
      </c>
      <c r="H73" s="80">
        <v>45846</v>
      </c>
      <c r="I73" s="81">
        <v>620</v>
      </c>
      <c r="J73" s="81"/>
      <c r="K73" s="80">
        <v>45850</v>
      </c>
      <c r="L73" s="82">
        <f>Таблица3[[#This Row],[OLINGAN NARXI $]]+Таблица3[[#This Row],[RASXOD]]</f>
        <v>330</v>
      </c>
      <c r="M73" s="81">
        <v>680</v>
      </c>
      <c r="N73" s="81">
        <v>60</v>
      </c>
      <c r="O73" s="77">
        <v>990505454</v>
      </c>
    </row>
    <row r="74" spans="1:15" s="134" customFormat="1" x14ac:dyDescent="0.3">
      <c r="A74" s="112">
        <v>73</v>
      </c>
      <c r="B74" s="127" t="s">
        <v>16</v>
      </c>
      <c r="C74" s="128" t="s">
        <v>32</v>
      </c>
      <c r="D74" s="127" t="s">
        <v>26</v>
      </c>
      <c r="E74" s="129" t="s">
        <v>22</v>
      </c>
      <c r="F74" s="130">
        <v>358301851481952</v>
      </c>
      <c r="G74" s="129"/>
      <c r="H74" s="131">
        <v>45846</v>
      </c>
      <c r="I74" s="132">
        <v>650</v>
      </c>
      <c r="J74" s="132"/>
      <c r="K74" s="131">
        <v>45850</v>
      </c>
      <c r="L74" s="133">
        <f>Таблица37589101114[[#This Row],[OLINGAN NARXI $]]+Таблица37589101114[[#This Row],[RASXOD]]</f>
        <v>650</v>
      </c>
      <c r="M74" s="132">
        <v>700</v>
      </c>
      <c r="N74" s="132">
        <v>25</v>
      </c>
      <c r="O74" s="128"/>
    </row>
    <row r="75" spans="1:15" s="56" customFormat="1" x14ac:dyDescent="0.3">
      <c r="A75" s="112">
        <v>74</v>
      </c>
      <c r="B75" s="50" t="s">
        <v>13</v>
      </c>
      <c r="C75" s="51" t="s">
        <v>502</v>
      </c>
      <c r="D75" s="52" t="s">
        <v>18</v>
      </c>
      <c r="E75" s="52" t="s">
        <v>15</v>
      </c>
      <c r="F75" s="53">
        <v>358088350673722</v>
      </c>
      <c r="G75" s="52"/>
      <c r="H75" s="54">
        <v>45683</v>
      </c>
      <c r="I75" s="55">
        <v>490</v>
      </c>
      <c r="J75" s="55">
        <v>18</v>
      </c>
      <c r="K75" s="54">
        <v>45850</v>
      </c>
      <c r="L75" s="72">
        <f>Таблица3[[#This Row],[OLINGAN NARXI $]]+Таблица3[[#This Row],[RASXOD]]</f>
        <v>550</v>
      </c>
      <c r="M75" s="55">
        <v>540</v>
      </c>
      <c r="N75" s="55">
        <v>32</v>
      </c>
      <c r="O75" s="51" t="s">
        <v>801</v>
      </c>
    </row>
    <row r="76" spans="1:15" s="83" customFormat="1" x14ac:dyDescent="0.3">
      <c r="A76" s="112">
        <v>75</v>
      </c>
      <c r="B76" s="76" t="s">
        <v>16</v>
      </c>
      <c r="C76" s="77" t="s">
        <v>132</v>
      </c>
      <c r="D76" s="78" t="s">
        <v>65</v>
      </c>
      <c r="E76" s="78" t="s">
        <v>15</v>
      </c>
      <c r="F76" s="79">
        <v>353304540661559</v>
      </c>
      <c r="G76" s="78"/>
      <c r="H76" s="80">
        <v>45815</v>
      </c>
      <c r="I76" s="81">
        <v>230</v>
      </c>
      <c r="J76" s="81"/>
      <c r="K76" s="80">
        <v>45851</v>
      </c>
      <c r="L76" s="82">
        <f>Таблица3[[#This Row],[OLINGAN NARXI $]]+Таблица3[[#This Row],[RASXOD]]</f>
        <v>330</v>
      </c>
      <c r="M76" s="81">
        <v>285</v>
      </c>
      <c r="N76" s="81">
        <v>55</v>
      </c>
      <c r="O76" s="77" t="s">
        <v>262</v>
      </c>
    </row>
    <row r="77" spans="1:15" s="83" customFormat="1" x14ac:dyDescent="0.3">
      <c r="A77" s="112">
        <v>76</v>
      </c>
      <c r="B77" s="76" t="s">
        <v>16</v>
      </c>
      <c r="C77" s="77" t="s">
        <v>312</v>
      </c>
      <c r="D77" s="78" t="s">
        <v>21</v>
      </c>
      <c r="E77" s="78" t="s">
        <v>22</v>
      </c>
      <c r="F77" s="79">
        <v>354106770547310</v>
      </c>
      <c r="G77" s="78"/>
      <c r="H77" s="80">
        <v>45826</v>
      </c>
      <c r="I77" s="81">
        <v>530</v>
      </c>
      <c r="J77" s="81"/>
      <c r="K77" s="80">
        <v>45851</v>
      </c>
      <c r="L77" s="82">
        <f>Таблица3[[#This Row],[OLINGAN NARXI $]]+Таблица3[[#This Row],[RASXOD]]</f>
        <v>160</v>
      </c>
      <c r="M77" s="81">
        <v>620</v>
      </c>
      <c r="N77" s="81">
        <v>90</v>
      </c>
      <c r="O77" s="77">
        <v>946993993</v>
      </c>
    </row>
    <row r="78" spans="1:15" s="83" customFormat="1" x14ac:dyDescent="0.3">
      <c r="A78" s="112">
        <v>77</v>
      </c>
      <c r="B78" s="76" t="s">
        <v>13</v>
      </c>
      <c r="C78" s="77" t="s">
        <v>1361</v>
      </c>
      <c r="D78" s="78" t="s">
        <v>123</v>
      </c>
      <c r="E78" s="78" t="s">
        <v>22</v>
      </c>
      <c r="F78" s="79">
        <v>355710106923886</v>
      </c>
      <c r="G78" s="78" t="s">
        <v>98</v>
      </c>
      <c r="H78" s="80">
        <v>45826</v>
      </c>
      <c r="I78" s="81">
        <v>12</v>
      </c>
      <c r="J78" s="81">
        <v>8</v>
      </c>
      <c r="K78" s="80">
        <v>45851</v>
      </c>
      <c r="L78" s="82">
        <f>Таблица3[[#This Row],[OLINGAN NARXI $]]+Таблица3[[#This Row],[RASXOD]]</f>
        <v>450</v>
      </c>
      <c r="M78" s="81">
        <v>55</v>
      </c>
      <c r="N78" s="81">
        <v>35</v>
      </c>
      <c r="O78" s="77"/>
    </row>
    <row r="79" spans="1:15" s="83" customFormat="1" x14ac:dyDescent="0.3">
      <c r="A79" s="112">
        <v>78</v>
      </c>
      <c r="B79" s="76" t="s">
        <v>16</v>
      </c>
      <c r="C79" s="77" t="s">
        <v>32</v>
      </c>
      <c r="D79" s="78" t="s">
        <v>21</v>
      </c>
      <c r="E79" s="78" t="s">
        <v>15</v>
      </c>
      <c r="F79" s="79">
        <v>351122681456981</v>
      </c>
      <c r="G79" s="78"/>
      <c r="H79" s="80">
        <v>45851</v>
      </c>
      <c r="I79" s="81">
        <v>700</v>
      </c>
      <c r="J79" s="81"/>
      <c r="K79" s="80">
        <v>45851</v>
      </c>
      <c r="L79" s="82">
        <f>Таблица3[[#This Row],[OLINGAN NARXI $]]+Таблица3[[#This Row],[RASXOD]]</f>
        <v>900</v>
      </c>
      <c r="M79" s="81">
        <v>740</v>
      </c>
      <c r="N79" s="81">
        <v>40</v>
      </c>
      <c r="O79" s="77" t="s">
        <v>1451</v>
      </c>
    </row>
    <row r="80" spans="1:15" s="99" customFormat="1" x14ac:dyDescent="0.3">
      <c r="A80" s="112">
        <v>79</v>
      </c>
      <c r="B80" s="92" t="s">
        <v>16</v>
      </c>
      <c r="C80" s="93" t="s">
        <v>1083</v>
      </c>
      <c r="D80" s="94" t="s">
        <v>35</v>
      </c>
      <c r="E80" s="94" t="s">
        <v>22</v>
      </c>
      <c r="F80" s="95">
        <v>357555416401745</v>
      </c>
      <c r="G80" s="94"/>
      <c r="H80" s="96">
        <v>45806</v>
      </c>
      <c r="I80" s="97">
        <v>560</v>
      </c>
      <c r="J80" s="97"/>
      <c r="K80" s="96">
        <v>45851</v>
      </c>
      <c r="L80" s="98">
        <f>Таблица3[[#This Row],[OLINGAN NARXI $]]+Таблица3[[#This Row],[RASXOD]]</f>
        <v>700</v>
      </c>
      <c r="M80" s="97">
        <v>640</v>
      </c>
      <c r="N80" s="97">
        <v>80</v>
      </c>
      <c r="O80" s="93" t="s">
        <v>19</v>
      </c>
    </row>
    <row r="81" spans="1:15" s="99" customFormat="1" x14ac:dyDescent="0.3">
      <c r="A81" s="112">
        <v>80</v>
      </c>
      <c r="B81" s="92" t="s">
        <v>16</v>
      </c>
      <c r="C81" s="93" t="s">
        <v>106</v>
      </c>
      <c r="D81" s="94" t="s">
        <v>18</v>
      </c>
      <c r="E81" s="94" t="s">
        <v>15</v>
      </c>
      <c r="F81" s="95">
        <v>352926113023097</v>
      </c>
      <c r="G81" s="94" t="s">
        <v>556</v>
      </c>
      <c r="H81" s="96">
        <v>45810</v>
      </c>
      <c r="I81" s="97">
        <v>120</v>
      </c>
      <c r="J81" s="97"/>
      <c r="K81" s="96">
        <v>45851</v>
      </c>
      <c r="L81" s="98">
        <f>Таблица3[[#This Row],[OLINGAN NARXI $]]+Таблица3[[#This Row],[RASXOD]]</f>
        <v>1080</v>
      </c>
      <c r="M81" s="97">
        <v>264</v>
      </c>
      <c r="N81" s="97">
        <v>144</v>
      </c>
      <c r="O81" s="93" t="s">
        <v>1298</v>
      </c>
    </row>
    <row r="82" spans="1:15" s="105" customFormat="1" x14ac:dyDescent="0.3">
      <c r="A82" s="112">
        <v>81</v>
      </c>
      <c r="B82" s="100" t="s">
        <v>16</v>
      </c>
      <c r="C82" s="101" t="s">
        <v>1000</v>
      </c>
      <c r="D82" s="102" t="s">
        <v>583</v>
      </c>
      <c r="E82" s="102" t="s">
        <v>15</v>
      </c>
      <c r="F82" s="10">
        <v>359737300002817</v>
      </c>
      <c r="G82" s="102"/>
      <c r="H82" s="103">
        <v>45800</v>
      </c>
      <c r="I82" s="26">
        <v>1000</v>
      </c>
      <c r="J82" s="26"/>
      <c r="K82" s="103">
        <v>45851</v>
      </c>
      <c r="L82" s="104">
        <f>Таблица3[[#This Row],[OLINGAN NARXI $]]+Таблица3[[#This Row],[RASXOD]]</f>
        <v>850</v>
      </c>
      <c r="M82" s="26">
        <v>1120</v>
      </c>
      <c r="N82" s="26">
        <v>120</v>
      </c>
      <c r="O82" s="101" t="s">
        <v>1004</v>
      </c>
    </row>
    <row r="83" spans="1:15" s="99" customFormat="1" x14ac:dyDescent="0.3">
      <c r="A83" s="112">
        <v>82</v>
      </c>
      <c r="B83" s="92" t="s">
        <v>16</v>
      </c>
      <c r="C83" s="93" t="s">
        <v>541</v>
      </c>
      <c r="D83" s="94" t="s">
        <v>21</v>
      </c>
      <c r="E83" s="94" t="s">
        <v>15</v>
      </c>
      <c r="F83" s="95">
        <v>353910109876824</v>
      </c>
      <c r="G83" s="94" t="s">
        <v>556</v>
      </c>
      <c r="H83" s="96">
        <v>45850</v>
      </c>
      <c r="I83" s="97">
        <v>215</v>
      </c>
      <c r="J83" s="97">
        <v>16</v>
      </c>
      <c r="K83" s="96">
        <v>45861</v>
      </c>
      <c r="L83" s="98">
        <f>Таблица3[[#This Row],[OLINGAN NARXI $]]+Таблица3[[#This Row],[RASXOD]]</f>
        <v>0</v>
      </c>
      <c r="M83" s="97">
        <v>300</v>
      </c>
      <c r="N83" s="97">
        <v>69</v>
      </c>
      <c r="O83" s="93">
        <v>939963880</v>
      </c>
    </row>
    <row r="84" spans="1:15" s="134" customFormat="1" x14ac:dyDescent="0.3">
      <c r="A84" s="112">
        <v>83</v>
      </c>
      <c r="B84" s="128" t="s">
        <v>16</v>
      </c>
      <c r="C84" s="128" t="s">
        <v>81</v>
      </c>
      <c r="D84" s="127" t="s">
        <v>65</v>
      </c>
      <c r="E84" s="129" t="s">
        <v>22</v>
      </c>
      <c r="F84" s="130">
        <v>356673373109770</v>
      </c>
      <c r="G84" s="129"/>
      <c r="H84" s="131">
        <v>45836</v>
      </c>
      <c r="I84" s="132">
        <v>420</v>
      </c>
      <c r="J84" s="132"/>
      <c r="K84" s="131">
        <v>45851</v>
      </c>
      <c r="L84" s="133">
        <f>Таблица37589101114[[#This Row],[OLINGAN NARXI $]]+Таблица37589101114[[#This Row],[RASXOD]]</f>
        <v>420</v>
      </c>
      <c r="M84" s="132">
        <v>480</v>
      </c>
      <c r="N84" s="132">
        <v>30</v>
      </c>
      <c r="O84" s="128"/>
    </row>
    <row r="85" spans="1:15" s="83" customFormat="1" x14ac:dyDescent="0.3">
      <c r="A85" s="112">
        <v>84</v>
      </c>
      <c r="B85" s="76" t="s">
        <v>16</v>
      </c>
      <c r="C85" s="77" t="s">
        <v>39</v>
      </c>
      <c r="D85" s="78" t="s">
        <v>21</v>
      </c>
      <c r="E85" s="78" t="s">
        <v>22</v>
      </c>
      <c r="F85" s="79">
        <v>352872339303675</v>
      </c>
      <c r="G85" s="78"/>
      <c r="H85" s="80">
        <v>45792</v>
      </c>
      <c r="I85" s="81">
        <v>600</v>
      </c>
      <c r="J85" s="81"/>
      <c r="K85" s="80">
        <v>45851</v>
      </c>
      <c r="L85" s="82">
        <f>Таблица3[[#This Row],[OLINGAN NARXI $]]+Таблица3[[#This Row],[RASXOD]]</f>
        <v>427.7</v>
      </c>
      <c r="M85" s="81">
        <v>655</v>
      </c>
      <c r="N85" s="81">
        <v>55</v>
      </c>
      <c r="O85" s="77" t="s">
        <v>262</v>
      </c>
    </row>
    <row r="86" spans="1:15" s="83" customFormat="1" x14ac:dyDescent="0.3">
      <c r="A86" s="112">
        <v>85</v>
      </c>
      <c r="B86" s="76" t="s">
        <v>1077</v>
      </c>
      <c r="C86" s="77" t="s">
        <v>1320</v>
      </c>
      <c r="D86" s="78" t="s">
        <v>65</v>
      </c>
      <c r="E86" s="78" t="s">
        <v>22</v>
      </c>
      <c r="F86" s="79">
        <v>865650055855627</v>
      </c>
      <c r="G86" s="78"/>
      <c r="H86" s="80">
        <v>45818</v>
      </c>
      <c r="I86" s="81">
        <v>20</v>
      </c>
      <c r="J86" s="81"/>
      <c r="K86" s="80">
        <v>45852</v>
      </c>
      <c r="L86" s="82">
        <f>Таблица3[[#This Row],[OLINGAN NARXI $]]+Таблица3[[#This Row],[RASXOD]]</f>
        <v>560</v>
      </c>
      <c r="M86" s="81">
        <v>47</v>
      </c>
      <c r="N86" s="81">
        <v>27</v>
      </c>
      <c r="O86" s="77">
        <v>935248833</v>
      </c>
    </row>
    <row r="87" spans="1:15" s="83" customFormat="1" x14ac:dyDescent="0.3">
      <c r="A87" s="112">
        <v>86</v>
      </c>
      <c r="B87" s="76" t="s">
        <v>16</v>
      </c>
      <c r="C87" s="77" t="s">
        <v>1000</v>
      </c>
      <c r="D87" s="78" t="s">
        <v>583</v>
      </c>
      <c r="E87" s="78" t="s">
        <v>22</v>
      </c>
      <c r="F87" s="79">
        <v>8594</v>
      </c>
      <c r="G87" s="78"/>
      <c r="H87" s="80">
        <v>45852</v>
      </c>
      <c r="I87" s="81">
        <v>1200</v>
      </c>
      <c r="J87" s="81"/>
      <c r="K87" s="80">
        <v>45852</v>
      </c>
      <c r="L87" s="82">
        <f>Таблица37589101114[[#This Row],[OLINGAN NARXI $]]+Таблица37589101114[[#This Row],[RASXOD]]</f>
        <v>1200</v>
      </c>
      <c r="M87" s="81">
        <v>1260</v>
      </c>
      <c r="N87" s="81">
        <f>Таблица37589101114[[#This Row],[SOTILGAN NARXI]]-Таблица37589101114[[#This Row],[OLINGAN NARXI $]]-Таблица37589101114[[#This Row],[RASXOD]]</f>
        <v>60</v>
      </c>
      <c r="O87" s="77" t="s">
        <v>1433</v>
      </c>
    </row>
    <row r="88" spans="1:15" s="83" customFormat="1" x14ac:dyDescent="0.3">
      <c r="A88" s="112">
        <v>87</v>
      </c>
      <c r="B88" s="76" t="s">
        <v>16</v>
      </c>
      <c r="C88" s="77" t="s">
        <v>157</v>
      </c>
      <c r="D88" s="78" t="s">
        <v>45</v>
      </c>
      <c r="E88" s="78" t="s">
        <v>15</v>
      </c>
      <c r="F88" s="79">
        <v>356692117578843</v>
      </c>
      <c r="G88" s="78"/>
      <c r="H88" s="80">
        <v>45813</v>
      </c>
      <c r="I88" s="81">
        <v>300</v>
      </c>
      <c r="J88" s="81"/>
      <c r="K88" s="80">
        <v>45852</v>
      </c>
      <c r="L88" s="82">
        <f>Таблица3[[#This Row],[OLINGAN NARXI $]]+Таблица3[[#This Row],[RASXOD]]</f>
        <v>210</v>
      </c>
      <c r="M88" s="81">
        <v>380</v>
      </c>
      <c r="N88" s="81">
        <v>80</v>
      </c>
      <c r="O88" s="77"/>
    </row>
    <row r="89" spans="1:15" s="105" customFormat="1" x14ac:dyDescent="0.3">
      <c r="A89" s="112">
        <v>88</v>
      </c>
      <c r="B89" s="100" t="s">
        <v>16</v>
      </c>
      <c r="C89" s="101" t="s">
        <v>39</v>
      </c>
      <c r="D89" s="102" t="s">
        <v>35</v>
      </c>
      <c r="E89" s="102" t="s">
        <v>15</v>
      </c>
      <c r="F89" s="10">
        <v>356266765643579</v>
      </c>
      <c r="G89" s="102" t="s">
        <v>66</v>
      </c>
      <c r="H89" s="103">
        <v>45816</v>
      </c>
      <c r="I89" s="26">
        <v>515</v>
      </c>
      <c r="J89" s="26"/>
      <c r="K89" s="103">
        <v>45852</v>
      </c>
      <c r="L89" s="104">
        <f>Таблица3[[#This Row],[OLINGAN NARXI $]]+Таблица3[[#This Row],[RASXOD]]</f>
        <v>775</v>
      </c>
      <c r="M89" s="26">
        <v>620</v>
      </c>
      <c r="N89" s="26">
        <v>105</v>
      </c>
      <c r="O89" s="101" t="s">
        <v>1312</v>
      </c>
    </row>
    <row r="90" spans="1:15" s="83" customFormat="1" x14ac:dyDescent="0.3">
      <c r="A90" s="112">
        <v>89</v>
      </c>
      <c r="B90" s="76" t="s">
        <v>16</v>
      </c>
      <c r="C90" s="77" t="s">
        <v>148</v>
      </c>
      <c r="D90" s="78" t="s">
        <v>65</v>
      </c>
      <c r="E90" s="78" t="s">
        <v>22</v>
      </c>
      <c r="F90" s="79">
        <v>356680116810220</v>
      </c>
      <c r="G90" s="78" t="s">
        <v>98</v>
      </c>
      <c r="H90" s="80">
        <v>45773</v>
      </c>
      <c r="I90" s="81">
        <v>280</v>
      </c>
      <c r="J90" s="81"/>
      <c r="K90" s="80">
        <v>45852</v>
      </c>
      <c r="L90" s="82">
        <f>Таблица3[[#This Row],[OLINGAN NARXI $]]+Таблица3[[#This Row],[RASXOD]]</f>
        <v>420</v>
      </c>
      <c r="M90" s="81">
        <v>340</v>
      </c>
      <c r="N90" s="81">
        <v>60</v>
      </c>
      <c r="O90" s="77" t="s">
        <v>631</v>
      </c>
    </row>
    <row r="91" spans="1:15" s="83" customFormat="1" x14ac:dyDescent="0.3">
      <c r="A91" s="112">
        <v>90</v>
      </c>
      <c r="B91" s="76" t="s">
        <v>16</v>
      </c>
      <c r="C91" s="77" t="s">
        <v>637</v>
      </c>
      <c r="D91" s="78" t="s">
        <v>45</v>
      </c>
      <c r="E91" s="78" t="s">
        <v>22</v>
      </c>
      <c r="F91" s="79">
        <v>350750728409216</v>
      </c>
      <c r="G91" s="78" t="s">
        <v>556</v>
      </c>
      <c r="H91" s="80">
        <v>45851</v>
      </c>
      <c r="I91" s="81">
        <v>490</v>
      </c>
      <c r="J91" s="81"/>
      <c r="K91" s="80">
        <v>45853</v>
      </c>
      <c r="L91" s="82">
        <f>Таблица3[[#This Row],[OLINGAN NARXI $]]+Таблица3[[#This Row],[RASXOD]]</f>
        <v>470</v>
      </c>
      <c r="M91" s="81">
        <v>630</v>
      </c>
      <c r="N91" s="81">
        <v>140</v>
      </c>
      <c r="O91" s="77" t="s">
        <v>1452</v>
      </c>
    </row>
    <row r="92" spans="1:15" s="83" customFormat="1" x14ac:dyDescent="0.3">
      <c r="A92" s="112">
        <v>91</v>
      </c>
      <c r="B92" s="76" t="s">
        <v>13</v>
      </c>
      <c r="C92" s="77" t="s">
        <v>255</v>
      </c>
      <c r="D92" s="78" t="s">
        <v>26</v>
      </c>
      <c r="E92" s="78" t="s">
        <v>22</v>
      </c>
      <c r="F92" s="79">
        <v>352722662727109</v>
      </c>
      <c r="G92" s="78"/>
      <c r="H92" s="80">
        <v>45824</v>
      </c>
      <c r="I92" s="81">
        <v>630</v>
      </c>
      <c r="J92" s="81"/>
      <c r="K92" s="80">
        <v>45852</v>
      </c>
      <c r="L92" s="82">
        <f>Таблица3[[#This Row],[OLINGAN NARXI $]]+Таблица3[[#This Row],[RASXOD]]</f>
        <v>320</v>
      </c>
      <c r="M92" s="81">
        <v>740</v>
      </c>
      <c r="N92" s="81">
        <v>110</v>
      </c>
      <c r="O92" s="77" t="s">
        <v>1356</v>
      </c>
    </row>
    <row r="93" spans="1:15" s="134" customFormat="1" x14ac:dyDescent="0.3">
      <c r="A93" s="112">
        <v>92</v>
      </c>
      <c r="B93" s="127" t="s">
        <v>16</v>
      </c>
      <c r="C93" s="128" t="s">
        <v>81</v>
      </c>
      <c r="D93" s="127" t="s">
        <v>18</v>
      </c>
      <c r="E93" s="129" t="s">
        <v>15</v>
      </c>
      <c r="F93" s="130">
        <v>354509710690894</v>
      </c>
      <c r="G93" s="129"/>
      <c r="H93" s="131">
        <v>45851</v>
      </c>
      <c r="I93" s="132">
        <v>290</v>
      </c>
      <c r="J93" s="132"/>
      <c r="K93" s="131">
        <v>45853</v>
      </c>
      <c r="L93" s="133">
        <f>Таблица37589101114[[#This Row],[OLINGAN NARXI $]]+Таблица37589101114[[#This Row],[RASXOD]]</f>
        <v>290</v>
      </c>
      <c r="M93" s="132">
        <v>367</v>
      </c>
      <c r="N93" s="132">
        <v>38</v>
      </c>
      <c r="O93" s="128"/>
    </row>
    <row r="94" spans="1:15" s="99" customFormat="1" x14ac:dyDescent="0.3">
      <c r="A94" s="112">
        <v>93</v>
      </c>
      <c r="B94" s="92" t="s">
        <v>16</v>
      </c>
      <c r="C94" s="93" t="s">
        <v>81</v>
      </c>
      <c r="D94" s="94" t="s">
        <v>21</v>
      </c>
      <c r="E94" s="94" t="s">
        <v>22</v>
      </c>
      <c r="F94" s="95">
        <v>354916450116933</v>
      </c>
      <c r="G94" s="94" t="s">
        <v>61</v>
      </c>
      <c r="H94" s="96">
        <v>45849</v>
      </c>
      <c r="I94" s="97">
        <v>420</v>
      </c>
      <c r="J94" s="97"/>
      <c r="K94" s="96">
        <v>45853</v>
      </c>
      <c r="L94" s="98">
        <f>Таблица3[[#This Row],[OLINGAN NARXI $]]+Таблица3[[#This Row],[RASXOD]]</f>
        <v>1190</v>
      </c>
      <c r="M94" s="97">
        <v>470</v>
      </c>
      <c r="N94" s="97">
        <v>50</v>
      </c>
      <c r="O94" s="93" t="s">
        <v>262</v>
      </c>
    </row>
    <row r="95" spans="1:15" s="83" customFormat="1" x14ac:dyDescent="0.3">
      <c r="A95" s="112">
        <v>94</v>
      </c>
      <c r="B95" s="76" t="s">
        <v>16</v>
      </c>
      <c r="C95" s="77" t="s">
        <v>81</v>
      </c>
      <c r="D95" s="78" t="s">
        <v>65</v>
      </c>
      <c r="E95" s="78" t="s">
        <v>15</v>
      </c>
      <c r="F95" s="79">
        <v>359984982805535</v>
      </c>
      <c r="G95" s="78"/>
      <c r="H95" s="80">
        <v>45851</v>
      </c>
      <c r="I95" s="81">
        <v>465</v>
      </c>
      <c r="J95" s="81"/>
      <c r="K95" s="80">
        <v>45853</v>
      </c>
      <c r="L95" s="82">
        <f>Таблица3[[#This Row],[OLINGAN NARXI $]]+Таблица3[[#This Row],[RASXOD]]</f>
        <v>250</v>
      </c>
      <c r="M95" s="81">
        <v>520</v>
      </c>
      <c r="N95" s="81">
        <v>55</v>
      </c>
      <c r="O95" s="77" t="s">
        <v>1455</v>
      </c>
    </row>
    <row r="96" spans="1:15" s="99" customFormat="1" x14ac:dyDescent="0.3">
      <c r="A96" s="112">
        <v>95</v>
      </c>
      <c r="B96" s="92" t="s">
        <v>16</v>
      </c>
      <c r="C96" s="93" t="s">
        <v>148</v>
      </c>
      <c r="D96" s="94" t="s">
        <v>65</v>
      </c>
      <c r="E96" s="94" t="s">
        <v>22</v>
      </c>
      <c r="F96" s="95">
        <v>356037841428032</v>
      </c>
      <c r="G96" s="94"/>
      <c r="H96" s="96">
        <v>45653</v>
      </c>
      <c r="I96" s="97">
        <v>300</v>
      </c>
      <c r="J96" s="97"/>
      <c r="K96" s="96">
        <v>45853</v>
      </c>
      <c r="L96" s="98">
        <f>Таблица3[[#This Row],[OLINGAN NARXI $]]+Таблица3[[#This Row],[RASXOD]]</f>
        <v>220</v>
      </c>
      <c r="M96" s="97">
        <v>360</v>
      </c>
      <c r="N96" s="97">
        <v>60</v>
      </c>
      <c r="O96" s="93" t="s">
        <v>691</v>
      </c>
    </row>
    <row r="97" spans="1:15" s="83" customFormat="1" x14ac:dyDescent="0.3">
      <c r="A97" s="112">
        <v>96</v>
      </c>
      <c r="B97" s="76" t="s">
        <v>13</v>
      </c>
      <c r="C97" s="77" t="s">
        <v>115</v>
      </c>
      <c r="D97" s="78" t="s">
        <v>93</v>
      </c>
      <c r="E97" s="78" t="s">
        <v>15</v>
      </c>
      <c r="F97" s="79">
        <v>351376417100038</v>
      </c>
      <c r="G97" s="78"/>
      <c r="H97" s="80">
        <v>45664</v>
      </c>
      <c r="I97" s="81">
        <v>200</v>
      </c>
      <c r="J97" s="81"/>
      <c r="K97" s="80">
        <v>45853</v>
      </c>
      <c r="L97" s="82">
        <f>Таблица3[[#This Row],[OLINGAN NARXI $]]+Таблица3[[#This Row],[RASXOD]]</f>
        <v>575</v>
      </c>
      <c r="M97" s="81">
        <v>240</v>
      </c>
      <c r="N97" s="81">
        <v>40</v>
      </c>
      <c r="O97" s="77" t="s">
        <v>262</v>
      </c>
    </row>
    <row r="98" spans="1:15" s="83" customFormat="1" x14ac:dyDescent="0.3">
      <c r="A98" s="112">
        <v>97</v>
      </c>
      <c r="B98" s="76" t="s">
        <v>16</v>
      </c>
      <c r="C98" s="77" t="s">
        <v>25</v>
      </c>
      <c r="D98" s="78" t="s">
        <v>26</v>
      </c>
      <c r="E98" s="78" t="s">
        <v>22</v>
      </c>
      <c r="F98" s="79">
        <v>354950992720902</v>
      </c>
      <c r="G98" s="78"/>
      <c r="H98" s="80">
        <v>45850</v>
      </c>
      <c r="I98" s="81">
        <v>830</v>
      </c>
      <c r="J98" s="81"/>
      <c r="K98" s="80">
        <v>45853</v>
      </c>
      <c r="L98" s="82">
        <f>Таблица3[[#This Row],[OLINGAN NARXI $]]+Таблица3[[#This Row],[RASXOD]]</f>
        <v>600</v>
      </c>
      <c r="M98" s="81">
        <v>890</v>
      </c>
      <c r="N98" s="81">
        <v>60</v>
      </c>
      <c r="O98" s="77" t="s">
        <v>1446</v>
      </c>
    </row>
    <row r="99" spans="1:15" s="83" customFormat="1" x14ac:dyDescent="0.3">
      <c r="A99" s="112">
        <v>98</v>
      </c>
      <c r="B99" s="76" t="s">
        <v>13</v>
      </c>
      <c r="C99" s="77" t="s">
        <v>455</v>
      </c>
      <c r="D99" s="78" t="s">
        <v>1123</v>
      </c>
      <c r="E99" s="78" t="s">
        <v>15</v>
      </c>
      <c r="F99" s="79">
        <v>355495960870247</v>
      </c>
      <c r="G99" s="78"/>
      <c r="H99" s="80">
        <v>45776</v>
      </c>
      <c r="I99" s="81">
        <v>295</v>
      </c>
      <c r="J99" s="81"/>
      <c r="K99" s="80">
        <v>45854</v>
      </c>
      <c r="L99" s="82">
        <f>Таблица3[[#This Row],[OLINGAN NARXI $]]+Таблица3[[#This Row],[RASXOD]]</f>
        <v>430</v>
      </c>
      <c r="M99" s="81">
        <v>350</v>
      </c>
      <c r="N99" s="81">
        <v>55</v>
      </c>
      <c r="O99" s="77" t="s">
        <v>147</v>
      </c>
    </row>
    <row r="100" spans="1:15" s="83" customFormat="1" x14ac:dyDescent="0.3">
      <c r="A100" s="112">
        <v>99</v>
      </c>
      <c r="B100" s="76" t="s">
        <v>207</v>
      </c>
      <c r="C100" s="77" t="s">
        <v>437</v>
      </c>
      <c r="D100" s="78" t="s">
        <v>21</v>
      </c>
      <c r="E100" s="78" t="s">
        <v>22</v>
      </c>
      <c r="F100" s="79"/>
      <c r="G100" s="78"/>
      <c r="H100" s="80">
        <v>45838</v>
      </c>
      <c r="I100" s="81">
        <v>133</v>
      </c>
      <c r="J100" s="81"/>
      <c r="K100" s="80">
        <v>45854</v>
      </c>
      <c r="L100" s="82">
        <f>Таблица3[[#This Row],[OLINGAN NARXI $]]+Таблица3[[#This Row],[RASXOD]]</f>
        <v>1160</v>
      </c>
      <c r="M100" s="81">
        <v>185</v>
      </c>
      <c r="N100" s="81">
        <v>52</v>
      </c>
      <c r="O100" s="77" t="s">
        <v>262</v>
      </c>
    </row>
    <row r="101" spans="1:15" s="134" customFormat="1" x14ac:dyDescent="0.3">
      <c r="A101" s="112">
        <v>100</v>
      </c>
      <c r="B101" s="127" t="s">
        <v>16</v>
      </c>
      <c r="C101" s="128" t="s">
        <v>1000</v>
      </c>
      <c r="D101" s="127" t="s">
        <v>583</v>
      </c>
      <c r="E101" s="129" t="s">
        <v>22</v>
      </c>
      <c r="F101" s="130">
        <v>354267951194668</v>
      </c>
      <c r="G101" s="129"/>
      <c r="H101" s="131">
        <v>45849</v>
      </c>
      <c r="I101" s="132">
        <v>1080</v>
      </c>
      <c r="J101" s="132"/>
      <c r="K101" s="131">
        <v>45853</v>
      </c>
      <c r="L101" s="133">
        <f>Таблица37589101114[[#This Row],[OLINGAN NARXI $]]+Таблица37589101114[[#This Row],[RASXOD]]</f>
        <v>1080</v>
      </c>
      <c r="M101" s="132">
        <v>1130</v>
      </c>
      <c r="N101" s="132">
        <v>25</v>
      </c>
      <c r="O101" s="128"/>
    </row>
    <row r="102" spans="1:15" s="134" customFormat="1" x14ac:dyDescent="0.3">
      <c r="A102" s="112">
        <v>101</v>
      </c>
      <c r="B102" s="127" t="s">
        <v>1460</v>
      </c>
      <c r="C102" s="128" t="s">
        <v>1047</v>
      </c>
      <c r="D102" s="127"/>
      <c r="E102" s="129" t="s">
        <v>22</v>
      </c>
      <c r="F102" s="130">
        <v>351351026641037</v>
      </c>
      <c r="G102" s="129"/>
      <c r="H102" s="131">
        <v>45852</v>
      </c>
      <c r="I102" s="132">
        <v>203</v>
      </c>
      <c r="J102" s="132"/>
      <c r="K102" s="131">
        <v>45854</v>
      </c>
      <c r="L102" s="133">
        <f>Таблица37589101114[[#This Row],[OLINGAN NARXI $]]+Таблица37589101114[[#This Row],[RASXOD]]</f>
        <v>203</v>
      </c>
      <c r="M102" s="132">
        <v>234</v>
      </c>
      <c r="N102" s="132">
        <v>15.5</v>
      </c>
      <c r="O102" s="128"/>
    </row>
    <row r="103" spans="1:15" s="83" customFormat="1" x14ac:dyDescent="0.3">
      <c r="A103" s="112">
        <v>102</v>
      </c>
      <c r="B103" s="76" t="s">
        <v>16</v>
      </c>
      <c r="C103" s="77" t="s">
        <v>1000</v>
      </c>
      <c r="D103" s="78" t="s">
        <v>583</v>
      </c>
      <c r="E103" s="78" t="s">
        <v>22</v>
      </c>
      <c r="F103" s="79">
        <v>358029697532205</v>
      </c>
      <c r="G103" s="78"/>
      <c r="H103" s="80">
        <v>45852</v>
      </c>
      <c r="I103" s="81">
        <v>1200</v>
      </c>
      <c r="J103" s="81"/>
      <c r="K103" s="80">
        <v>45854</v>
      </c>
      <c r="L103" s="82">
        <f>Таблица3[[#This Row],[OLINGAN NARXI $]]+Таблица3[[#This Row],[RASXOD]]</f>
        <v>130</v>
      </c>
      <c r="M103" s="81">
        <v>1290</v>
      </c>
      <c r="N103" s="81">
        <v>90</v>
      </c>
      <c r="O103" s="77" t="s">
        <v>1466</v>
      </c>
    </row>
    <row r="104" spans="1:15" s="83" customFormat="1" x14ac:dyDescent="0.3">
      <c r="A104" s="112">
        <v>103</v>
      </c>
      <c r="B104" s="76" t="s">
        <v>13</v>
      </c>
      <c r="C104" s="77" t="s">
        <v>563</v>
      </c>
      <c r="D104" s="78" t="s">
        <v>21</v>
      </c>
      <c r="E104" s="78" t="s">
        <v>15</v>
      </c>
      <c r="F104" s="79">
        <v>352019422358188</v>
      </c>
      <c r="G104" s="78"/>
      <c r="H104" s="80">
        <v>45717</v>
      </c>
      <c r="I104" s="81">
        <v>350</v>
      </c>
      <c r="J104" s="81">
        <v>27</v>
      </c>
      <c r="K104" s="80">
        <v>45854</v>
      </c>
      <c r="L104" s="82">
        <f>Таблица3[[#This Row],[OLINGAN NARXI $]]+Таблица3[[#This Row],[RASXOD]]</f>
        <v>650</v>
      </c>
      <c r="M104" s="81">
        <v>450</v>
      </c>
      <c r="N104" s="81">
        <v>73</v>
      </c>
      <c r="O104" s="77" t="s">
        <v>147</v>
      </c>
    </row>
    <row r="105" spans="1:15" s="83" customFormat="1" x14ac:dyDescent="0.3">
      <c r="A105" s="112">
        <v>104</v>
      </c>
      <c r="B105" s="76" t="s">
        <v>16</v>
      </c>
      <c r="C105" s="77" t="s">
        <v>25</v>
      </c>
      <c r="D105" s="78" t="s">
        <v>26</v>
      </c>
      <c r="E105" s="78" t="s">
        <v>22</v>
      </c>
      <c r="F105" s="79">
        <v>351858372675328</v>
      </c>
      <c r="G105" s="78"/>
      <c r="H105" s="80">
        <v>45847</v>
      </c>
      <c r="I105" s="81">
        <v>820</v>
      </c>
      <c r="J105" s="81"/>
      <c r="K105" s="80">
        <v>45854</v>
      </c>
      <c r="L105" s="82">
        <f>Таблица3[[#This Row],[OLINGAN NARXI $]]+Таблица3[[#This Row],[RASXOD]]</f>
        <v>600</v>
      </c>
      <c r="M105" s="81">
        <v>870</v>
      </c>
      <c r="N105" s="81">
        <v>50</v>
      </c>
      <c r="O105" s="77">
        <v>902942425</v>
      </c>
    </row>
    <row r="106" spans="1:15" s="83" customFormat="1" x14ac:dyDescent="0.3">
      <c r="A106" s="112">
        <v>105</v>
      </c>
      <c r="B106" s="76" t="s">
        <v>16</v>
      </c>
      <c r="C106" s="77" t="s">
        <v>152</v>
      </c>
      <c r="D106" s="78" t="s">
        <v>21</v>
      </c>
      <c r="E106" s="78" t="s">
        <v>15</v>
      </c>
      <c r="F106" s="79">
        <v>354379774424402</v>
      </c>
      <c r="G106" s="78"/>
      <c r="H106" s="80">
        <v>45851</v>
      </c>
      <c r="I106" s="81">
        <v>730</v>
      </c>
      <c r="J106" s="81"/>
      <c r="K106" s="80">
        <v>45854</v>
      </c>
      <c r="L106" s="82">
        <f>Таблица3[[#This Row],[OLINGAN NARXI $]]+Таблица3[[#This Row],[RASXOD]]</f>
        <v>410</v>
      </c>
      <c r="M106" s="81">
        <v>820</v>
      </c>
      <c r="N106" s="81">
        <v>90</v>
      </c>
      <c r="O106" s="77" t="s">
        <v>1459</v>
      </c>
    </row>
    <row r="107" spans="1:15" s="83" customFormat="1" x14ac:dyDescent="0.3">
      <c r="A107" s="112">
        <v>106</v>
      </c>
      <c r="B107" s="76" t="s">
        <v>16</v>
      </c>
      <c r="C107" s="77" t="s">
        <v>25</v>
      </c>
      <c r="D107" s="78" t="s">
        <v>65</v>
      </c>
      <c r="E107" s="78" t="s">
        <v>15</v>
      </c>
      <c r="F107" s="79">
        <v>356303487804740</v>
      </c>
      <c r="G107" s="78"/>
      <c r="H107" s="80">
        <v>45813</v>
      </c>
      <c r="I107" s="81">
        <v>750</v>
      </c>
      <c r="J107" s="81"/>
      <c r="K107" s="80">
        <v>45854</v>
      </c>
      <c r="L107" s="82">
        <f>Таблица3[[#This Row],[OLINGAN NARXI $]]+Таблица3[[#This Row],[RASXOD]]</f>
        <v>202.31</v>
      </c>
      <c r="M107" s="81">
        <v>840</v>
      </c>
      <c r="N107" s="81">
        <v>90</v>
      </c>
      <c r="O107" s="77" t="s">
        <v>1307</v>
      </c>
    </row>
    <row r="108" spans="1:15" s="83" customFormat="1" x14ac:dyDescent="0.3">
      <c r="A108" s="112">
        <v>107</v>
      </c>
      <c r="B108" s="76" t="s">
        <v>16</v>
      </c>
      <c r="C108" s="77" t="s">
        <v>25</v>
      </c>
      <c r="D108" s="78" t="s">
        <v>26</v>
      </c>
      <c r="E108" s="78" t="s">
        <v>22</v>
      </c>
      <c r="F108" s="79"/>
      <c r="G108" s="78"/>
      <c r="H108" s="80">
        <v>45854</v>
      </c>
      <c r="I108" s="81">
        <v>900</v>
      </c>
      <c r="J108" s="81"/>
      <c r="K108" s="80">
        <v>45854</v>
      </c>
      <c r="L108" s="82">
        <f>Таблица37589101114[[#This Row],[OLINGAN NARXI $]]+Таблица37589101114[[#This Row],[RASXOD]]</f>
        <v>900</v>
      </c>
      <c r="M108" s="81">
        <v>930</v>
      </c>
      <c r="N108" s="81">
        <f>Таблица37589101114[[#This Row],[SOTILGAN NARXI]]-Таблица37589101114[[#This Row],[OLINGAN NARXI $]]-Таблица37589101114[[#This Row],[RASXOD]]</f>
        <v>30</v>
      </c>
      <c r="O108" s="77" t="s">
        <v>1443</v>
      </c>
    </row>
    <row r="109" spans="1:15" s="83" customFormat="1" x14ac:dyDescent="0.3">
      <c r="A109" s="112">
        <v>108</v>
      </c>
      <c r="B109" s="76" t="s">
        <v>16</v>
      </c>
      <c r="C109" s="77" t="s">
        <v>39</v>
      </c>
      <c r="D109" s="78" t="s">
        <v>35</v>
      </c>
      <c r="E109" s="78" t="s">
        <v>15</v>
      </c>
      <c r="F109" s="79">
        <v>352425464565335</v>
      </c>
      <c r="G109" s="78"/>
      <c r="H109" s="80">
        <v>45562</v>
      </c>
      <c r="I109" s="81">
        <v>730</v>
      </c>
      <c r="J109" s="81">
        <v>9</v>
      </c>
      <c r="K109" s="80">
        <v>45855</v>
      </c>
      <c r="L109" s="82">
        <f>Таблица3[[#This Row],[OLINGAN NARXI $]]+Таблица3[[#This Row],[RASXOD]]</f>
        <v>920</v>
      </c>
      <c r="M109" s="81">
        <v>700</v>
      </c>
      <c r="N109" s="81">
        <v>-39</v>
      </c>
      <c r="O109" s="77" t="s">
        <v>29</v>
      </c>
    </row>
    <row r="110" spans="1:15" s="83" customFormat="1" x14ac:dyDescent="0.3">
      <c r="A110" s="112">
        <v>109</v>
      </c>
      <c r="B110" s="76" t="s">
        <v>16</v>
      </c>
      <c r="C110" s="77" t="s">
        <v>372</v>
      </c>
      <c r="D110" s="78" t="s">
        <v>45</v>
      </c>
      <c r="E110" s="78" t="s">
        <v>22</v>
      </c>
      <c r="F110" s="79">
        <v>352292932882316</v>
      </c>
      <c r="G110" s="78"/>
      <c r="H110" s="80">
        <v>45853</v>
      </c>
      <c r="I110" s="81">
        <v>330</v>
      </c>
      <c r="J110" s="81"/>
      <c r="K110" s="80">
        <v>45855</v>
      </c>
      <c r="L110" s="82">
        <f>Таблица3[[#This Row],[OLINGAN NARXI $]]+Таблица3[[#This Row],[RASXOD]]</f>
        <v>900</v>
      </c>
      <c r="M110" s="81">
        <v>418</v>
      </c>
      <c r="N110" s="81">
        <v>88</v>
      </c>
      <c r="O110" s="77" t="s">
        <v>262</v>
      </c>
    </row>
    <row r="111" spans="1:15" s="99" customFormat="1" x14ac:dyDescent="0.3">
      <c r="A111" s="112">
        <v>110</v>
      </c>
      <c r="B111" s="92" t="s">
        <v>16</v>
      </c>
      <c r="C111" s="93" t="s">
        <v>30</v>
      </c>
      <c r="D111" s="94" t="s">
        <v>26</v>
      </c>
      <c r="E111" s="94" t="s">
        <v>22</v>
      </c>
      <c r="F111" s="95">
        <v>351858372800868</v>
      </c>
      <c r="G111" s="94"/>
      <c r="H111" s="96">
        <v>45854</v>
      </c>
      <c r="I111" s="97">
        <v>900</v>
      </c>
      <c r="J111" s="97"/>
      <c r="K111" s="96">
        <v>45855</v>
      </c>
      <c r="L111" s="98">
        <f>Таблица3[[#This Row],[OLINGAN NARXI $]]+Таблица3[[#This Row],[RASXOD]]</f>
        <v>850</v>
      </c>
      <c r="M111" s="97">
        <v>960</v>
      </c>
      <c r="N111" s="97">
        <v>60</v>
      </c>
      <c r="O111" s="93" t="s">
        <v>1484</v>
      </c>
    </row>
    <row r="112" spans="1:15" s="105" customFormat="1" x14ac:dyDescent="0.3">
      <c r="A112" s="112">
        <v>111</v>
      </c>
      <c r="B112" s="100" t="s">
        <v>16</v>
      </c>
      <c r="C112" s="101" t="s">
        <v>25</v>
      </c>
      <c r="D112" s="102" t="s">
        <v>65</v>
      </c>
      <c r="E112" s="102" t="s">
        <v>22</v>
      </c>
      <c r="F112" s="10">
        <v>354645216270516</v>
      </c>
      <c r="G112" s="102"/>
      <c r="H112" s="103">
        <v>45851</v>
      </c>
      <c r="I112" s="26">
        <v>770</v>
      </c>
      <c r="J112" s="26"/>
      <c r="K112" s="103">
        <v>45855</v>
      </c>
      <c r="L112" s="104">
        <f>Таблица3[[#This Row],[OLINGAN NARXI $]]+Таблица3[[#This Row],[RASXOD]]</f>
        <v>500</v>
      </c>
      <c r="M112" s="26">
        <v>820</v>
      </c>
      <c r="N112" s="26">
        <v>50</v>
      </c>
      <c r="O112" s="101" t="s">
        <v>365</v>
      </c>
    </row>
    <row r="113" spans="1:15" s="99" customFormat="1" x14ac:dyDescent="0.3">
      <c r="A113" s="112">
        <v>112</v>
      </c>
      <c r="B113" s="92" t="s">
        <v>16</v>
      </c>
      <c r="C113" s="93" t="s">
        <v>128</v>
      </c>
      <c r="D113" s="94" t="s">
        <v>26</v>
      </c>
      <c r="E113" s="94" t="s">
        <v>15</v>
      </c>
      <c r="F113" s="95">
        <v>356761820896386</v>
      </c>
      <c r="G113" s="94"/>
      <c r="H113" s="96">
        <v>45854</v>
      </c>
      <c r="I113" s="97">
        <v>690</v>
      </c>
      <c r="J113" s="97"/>
      <c r="K113" s="96">
        <v>45855</v>
      </c>
      <c r="L113" s="98">
        <f>Таблица3[[#This Row],[OLINGAN NARXI $]]+Таблица3[[#This Row],[RASXOD]]</f>
        <v>660</v>
      </c>
      <c r="M113" s="97">
        <v>750</v>
      </c>
      <c r="N113" s="97">
        <v>60</v>
      </c>
      <c r="O113" s="93" t="s">
        <v>1481</v>
      </c>
    </row>
    <row r="114" spans="1:15" s="134" customFormat="1" x14ac:dyDescent="0.3">
      <c r="A114" s="112">
        <v>113</v>
      </c>
      <c r="B114" s="127" t="s">
        <v>16</v>
      </c>
      <c r="C114" s="128" t="s">
        <v>81</v>
      </c>
      <c r="D114" s="127" t="s">
        <v>21</v>
      </c>
      <c r="E114" s="129" t="s">
        <v>15</v>
      </c>
      <c r="F114" s="130">
        <v>350017080877574</v>
      </c>
      <c r="G114" s="129" t="s">
        <v>636</v>
      </c>
      <c r="H114" s="131">
        <v>45853</v>
      </c>
      <c r="I114" s="132">
        <v>350</v>
      </c>
      <c r="J114" s="132">
        <v>50</v>
      </c>
      <c r="K114" s="131">
        <v>45856</v>
      </c>
      <c r="L114" s="133">
        <f>Таблица37589101114[[#This Row],[OLINGAN NARXI $]]+Таблица37589101114[[#This Row],[RASXOD]]</f>
        <v>400</v>
      </c>
      <c r="M114" s="132">
        <v>450</v>
      </c>
      <c r="N114" s="132">
        <v>25</v>
      </c>
      <c r="O114" s="128" t="s">
        <v>1470</v>
      </c>
    </row>
    <row r="115" spans="1:15" s="134" customFormat="1" x14ac:dyDescent="0.3">
      <c r="A115" s="112">
        <v>114</v>
      </c>
      <c r="B115" s="127" t="s">
        <v>16</v>
      </c>
      <c r="C115" s="128" t="s">
        <v>1487</v>
      </c>
      <c r="D115" s="127" t="s">
        <v>35</v>
      </c>
      <c r="E115" s="129" t="s">
        <v>22</v>
      </c>
      <c r="F115" s="130">
        <v>357132530257567</v>
      </c>
      <c r="G115" s="129"/>
      <c r="H115" s="131">
        <v>45855</v>
      </c>
      <c r="I115" s="132">
        <v>640</v>
      </c>
      <c r="J115" s="132"/>
      <c r="K115" s="131">
        <v>45856</v>
      </c>
      <c r="L115" s="133">
        <f>Таблица37589101114[[#This Row],[OLINGAN NARXI $]]+Таблица37589101114[[#This Row],[RASXOD]]</f>
        <v>640</v>
      </c>
      <c r="M115" s="132">
        <v>680</v>
      </c>
      <c r="N115" s="132">
        <v>20</v>
      </c>
      <c r="O115" s="128"/>
    </row>
    <row r="116" spans="1:15" s="105" customFormat="1" x14ac:dyDescent="0.3">
      <c r="A116" s="112">
        <v>115</v>
      </c>
      <c r="B116" s="100" t="s">
        <v>16</v>
      </c>
      <c r="C116" s="101" t="s">
        <v>1000</v>
      </c>
      <c r="D116" s="102" t="s">
        <v>583</v>
      </c>
      <c r="E116" s="102" t="s">
        <v>22</v>
      </c>
      <c r="F116" s="10">
        <v>353397165897425</v>
      </c>
      <c r="G116" s="102"/>
      <c r="H116" s="103">
        <v>45855</v>
      </c>
      <c r="I116" s="26">
        <v>1220</v>
      </c>
      <c r="J116" s="26"/>
      <c r="K116" s="103">
        <v>45856</v>
      </c>
      <c r="L116" s="104">
        <f>Таблица3[[#This Row],[OLINGAN NARXI $]]+Таблица3[[#This Row],[RASXOD]]</f>
        <v>610</v>
      </c>
      <c r="M116" s="26">
        <v>1300</v>
      </c>
      <c r="N116" s="26">
        <v>80</v>
      </c>
      <c r="O116" s="101" t="s">
        <v>1486</v>
      </c>
    </row>
    <row r="117" spans="1:15" s="83" customFormat="1" x14ac:dyDescent="0.3">
      <c r="A117" s="112">
        <v>116</v>
      </c>
      <c r="B117" s="76" t="s">
        <v>16</v>
      </c>
      <c r="C117" s="77" t="s">
        <v>17</v>
      </c>
      <c r="D117" s="78" t="s">
        <v>21</v>
      </c>
      <c r="E117" s="78" t="s">
        <v>22</v>
      </c>
      <c r="F117" s="79">
        <v>353836107865461</v>
      </c>
      <c r="G117" s="78"/>
      <c r="H117" s="80">
        <v>45852</v>
      </c>
      <c r="I117" s="81">
        <v>230</v>
      </c>
      <c r="J117" s="81"/>
      <c r="K117" s="80">
        <v>45856</v>
      </c>
      <c r="L117" s="82">
        <f>Таблица3[[#This Row],[OLINGAN NARXI $]]+Таблица3[[#This Row],[RASXOD]]</f>
        <v>410</v>
      </c>
      <c r="M117" s="81">
        <v>280</v>
      </c>
      <c r="N117" s="81">
        <v>50</v>
      </c>
      <c r="O117" s="77" t="s">
        <v>1468</v>
      </c>
    </row>
    <row r="118" spans="1:15" s="99" customFormat="1" x14ac:dyDescent="0.3">
      <c r="A118" s="112">
        <v>117</v>
      </c>
      <c r="B118" s="92" t="s">
        <v>16</v>
      </c>
      <c r="C118" s="93" t="s">
        <v>25</v>
      </c>
      <c r="D118" s="94" t="s">
        <v>26</v>
      </c>
      <c r="E118" s="94" t="s">
        <v>22</v>
      </c>
      <c r="F118" s="95">
        <v>356642158789486</v>
      </c>
      <c r="G118" s="94"/>
      <c r="H118" s="96">
        <v>45856</v>
      </c>
      <c r="I118" s="97">
        <v>850</v>
      </c>
      <c r="J118" s="97"/>
      <c r="K118" s="96">
        <v>45856</v>
      </c>
      <c r="L118" s="98">
        <f>Таблица3[[#This Row],[OLINGAN NARXI $]]+Таблица3[[#This Row],[RASXOD]]</f>
        <v>32</v>
      </c>
      <c r="M118" s="97">
        <v>917</v>
      </c>
      <c r="N118" s="97">
        <v>67</v>
      </c>
      <c r="O118" s="93" t="s">
        <v>1482</v>
      </c>
    </row>
    <row r="119" spans="1:15" s="83" customFormat="1" x14ac:dyDescent="0.3">
      <c r="A119" s="112">
        <v>118</v>
      </c>
      <c r="B119" s="76" t="s">
        <v>16</v>
      </c>
      <c r="C119" s="77" t="s">
        <v>132</v>
      </c>
      <c r="D119" s="78" t="s">
        <v>65</v>
      </c>
      <c r="E119" s="78" t="s">
        <v>15</v>
      </c>
      <c r="F119" s="79">
        <v>359708828471370</v>
      </c>
      <c r="G119" s="78"/>
      <c r="H119" s="80">
        <v>45850</v>
      </c>
      <c r="I119" s="81">
        <v>215</v>
      </c>
      <c r="J119" s="81"/>
      <c r="K119" s="80">
        <v>45856</v>
      </c>
      <c r="L119" s="82">
        <f>Таблица3[[#This Row],[OLINGAN NARXI $]]+Таблица3[[#This Row],[RASXOD]]</f>
        <v>585</v>
      </c>
      <c r="M119" s="81">
        <v>280</v>
      </c>
      <c r="N119" s="81">
        <v>65</v>
      </c>
      <c r="O119" s="77" t="s">
        <v>1445</v>
      </c>
    </row>
    <row r="120" spans="1:15" s="105" customFormat="1" x14ac:dyDescent="0.3">
      <c r="A120" s="112">
        <v>119</v>
      </c>
      <c r="B120" s="100" t="s">
        <v>13</v>
      </c>
      <c r="C120" s="101" t="s">
        <v>166</v>
      </c>
      <c r="D120" s="102" t="s">
        <v>217</v>
      </c>
      <c r="E120" s="102" t="s">
        <v>15</v>
      </c>
      <c r="F120" s="10">
        <v>358777108048910</v>
      </c>
      <c r="G120" s="102"/>
      <c r="H120" s="103">
        <v>45794</v>
      </c>
      <c r="I120" s="26">
        <v>150</v>
      </c>
      <c r="J120" s="26"/>
      <c r="K120" s="103">
        <v>45857</v>
      </c>
      <c r="L120" s="104">
        <f>Таблица3[[#This Row],[OLINGAN NARXI $]]+Таблица3[[#This Row],[RASXOD]]</f>
        <v>190</v>
      </c>
      <c r="M120" s="26">
        <v>185</v>
      </c>
      <c r="N120" s="26">
        <v>35</v>
      </c>
      <c r="O120" s="101" t="s">
        <v>262</v>
      </c>
    </row>
    <row r="121" spans="1:15" s="134" customFormat="1" x14ac:dyDescent="0.3">
      <c r="A121" s="112">
        <v>120</v>
      </c>
      <c r="B121" s="127" t="s">
        <v>16</v>
      </c>
      <c r="C121" s="128" t="s">
        <v>81</v>
      </c>
      <c r="D121" s="127" t="s">
        <v>21</v>
      </c>
      <c r="E121" s="129" t="s">
        <v>15</v>
      </c>
      <c r="F121" s="130">
        <v>355656502523988</v>
      </c>
      <c r="G121" s="129" t="s">
        <v>636</v>
      </c>
      <c r="H121" s="131">
        <v>45841</v>
      </c>
      <c r="I121" s="132">
        <v>370</v>
      </c>
      <c r="J121" s="132">
        <v>40</v>
      </c>
      <c r="K121" s="131">
        <v>45857</v>
      </c>
      <c r="L121" s="133">
        <f>Таблица37589101114[[#This Row],[OLINGAN NARXI $]]+Таблица37589101114[[#This Row],[RASXOD]]</f>
        <v>410</v>
      </c>
      <c r="M121" s="132">
        <v>470</v>
      </c>
      <c r="N121" s="132">
        <v>30</v>
      </c>
      <c r="O121" s="128"/>
    </row>
    <row r="122" spans="1:15" s="105" customFormat="1" x14ac:dyDescent="0.3">
      <c r="A122" s="112">
        <v>121</v>
      </c>
      <c r="B122" s="100" t="s">
        <v>16</v>
      </c>
      <c r="C122" s="101" t="s">
        <v>552</v>
      </c>
      <c r="D122" s="102" t="s">
        <v>45</v>
      </c>
      <c r="E122" s="102" t="s">
        <v>15</v>
      </c>
      <c r="F122" s="10">
        <v>353237107048937</v>
      </c>
      <c r="G122" s="102"/>
      <c r="H122" s="103">
        <v>45804</v>
      </c>
      <c r="I122" s="26">
        <v>200</v>
      </c>
      <c r="J122" s="26"/>
      <c r="K122" s="103">
        <v>45858</v>
      </c>
      <c r="L122" s="104">
        <f>Таблица3[[#This Row],[OLINGAN NARXI $]]+Таблица3[[#This Row],[RASXOD]]</f>
        <v>560</v>
      </c>
      <c r="M122" s="26">
        <v>230</v>
      </c>
      <c r="N122" s="26">
        <v>30</v>
      </c>
      <c r="O122" s="101">
        <v>909394042</v>
      </c>
    </row>
    <row r="123" spans="1:15" s="105" customFormat="1" x14ac:dyDescent="0.3">
      <c r="A123" s="112">
        <v>122</v>
      </c>
      <c r="B123" s="100" t="s">
        <v>16</v>
      </c>
      <c r="C123" s="101" t="s">
        <v>149</v>
      </c>
      <c r="D123" s="102" t="s">
        <v>107</v>
      </c>
      <c r="E123" s="102" t="s">
        <v>15</v>
      </c>
      <c r="F123" s="10">
        <v>352918112382665</v>
      </c>
      <c r="G123" s="102"/>
      <c r="H123" s="103">
        <v>45650</v>
      </c>
      <c r="I123" s="26">
        <v>200</v>
      </c>
      <c r="J123" s="26"/>
      <c r="K123" s="103">
        <v>45858</v>
      </c>
      <c r="L123" s="104">
        <f>Таблица3[[#This Row],[OLINGAN NARXI $]]+Таблица3[[#This Row],[RASXOD]]</f>
        <v>330</v>
      </c>
      <c r="M123" s="26">
        <v>235</v>
      </c>
      <c r="N123" s="26">
        <v>35</v>
      </c>
      <c r="O123" s="101" t="s">
        <v>147</v>
      </c>
    </row>
    <row r="124" spans="1:15" s="105" customFormat="1" x14ac:dyDescent="0.3">
      <c r="A124" s="112">
        <v>123</v>
      </c>
      <c r="B124" s="100" t="s">
        <v>16</v>
      </c>
      <c r="C124" s="101" t="s">
        <v>129</v>
      </c>
      <c r="D124" s="102" t="s">
        <v>65</v>
      </c>
      <c r="E124" s="102" t="s">
        <v>15</v>
      </c>
      <c r="F124" s="10">
        <v>358408872089688</v>
      </c>
      <c r="G124" s="102" t="s">
        <v>1491</v>
      </c>
      <c r="H124" s="103">
        <v>45856</v>
      </c>
      <c r="I124" s="26">
        <v>330</v>
      </c>
      <c r="J124" s="26"/>
      <c r="K124" s="103">
        <v>45858</v>
      </c>
      <c r="L124" s="104">
        <f>Таблица3[[#This Row],[OLINGAN NARXI $]]+Таблица3[[#This Row],[RASXOD]]</f>
        <v>520</v>
      </c>
      <c r="M124" s="26">
        <v>445</v>
      </c>
      <c r="N124" s="26">
        <v>115</v>
      </c>
      <c r="O124" s="101" t="s">
        <v>1492</v>
      </c>
    </row>
    <row r="125" spans="1:15" s="105" customFormat="1" x14ac:dyDescent="0.3">
      <c r="A125" s="112">
        <v>124</v>
      </c>
      <c r="B125" s="100" t="s">
        <v>13</v>
      </c>
      <c r="C125" s="101" t="s">
        <v>502</v>
      </c>
      <c r="D125" s="102" t="s">
        <v>21</v>
      </c>
      <c r="E125" s="102" t="s">
        <v>15</v>
      </c>
      <c r="F125" s="10">
        <v>353992850611550</v>
      </c>
      <c r="G125" s="102"/>
      <c r="H125" s="103">
        <v>45856</v>
      </c>
      <c r="I125" s="26">
        <v>450</v>
      </c>
      <c r="J125" s="26"/>
      <c r="K125" s="103">
        <v>45858</v>
      </c>
      <c r="L125" s="104">
        <f>Таблица3[[#This Row],[OLINGAN NARXI $]]+Таблица3[[#This Row],[RASXOD]]</f>
        <v>370</v>
      </c>
      <c r="M125" s="26">
        <v>540</v>
      </c>
      <c r="N125" s="26">
        <v>90</v>
      </c>
      <c r="O125" s="101" t="s">
        <v>1367</v>
      </c>
    </row>
    <row r="126" spans="1:15" s="105" customFormat="1" x14ac:dyDescent="0.3">
      <c r="A126" s="112">
        <v>125</v>
      </c>
      <c r="B126" s="100" t="s">
        <v>16</v>
      </c>
      <c r="C126" s="101" t="s">
        <v>39</v>
      </c>
      <c r="D126" s="102" t="s">
        <v>35</v>
      </c>
      <c r="E126" s="102" t="s">
        <v>22</v>
      </c>
      <c r="F126" s="10">
        <v>351039011218966</v>
      </c>
      <c r="G126" s="102" t="s">
        <v>1495</v>
      </c>
      <c r="H126" s="103">
        <v>45856</v>
      </c>
      <c r="I126" s="26">
        <v>300</v>
      </c>
      <c r="J126" s="26">
        <v>62.5</v>
      </c>
      <c r="K126" s="103">
        <v>45858</v>
      </c>
      <c r="L126" s="104">
        <f>Таблица3[[#This Row],[OLINGAN NARXI $]]+Таблица3[[#This Row],[RASXOD]]</f>
        <v>64</v>
      </c>
      <c r="M126" s="26">
        <v>500</v>
      </c>
      <c r="N126" s="26">
        <v>137.5</v>
      </c>
      <c r="O126" s="101" t="s">
        <v>1494</v>
      </c>
    </row>
    <row r="127" spans="1:15" s="105" customFormat="1" x14ac:dyDescent="0.3">
      <c r="A127" s="112">
        <v>126</v>
      </c>
      <c r="B127" s="100" t="s">
        <v>16</v>
      </c>
      <c r="C127" s="101" t="s">
        <v>81</v>
      </c>
      <c r="D127" s="102" t="s">
        <v>65</v>
      </c>
      <c r="E127" s="102" t="s">
        <v>15</v>
      </c>
      <c r="F127" s="10">
        <v>354226991086789</v>
      </c>
      <c r="G127" s="102" t="s">
        <v>1380</v>
      </c>
      <c r="H127" s="103">
        <v>45829</v>
      </c>
      <c r="I127" s="26">
        <v>385</v>
      </c>
      <c r="J127" s="26"/>
      <c r="K127" s="103">
        <v>45858</v>
      </c>
      <c r="L127" s="104">
        <f>Таблица3[[#This Row],[OLINGAN NARXI $]]+Таблица3[[#This Row],[RASXOD]]</f>
        <v>0</v>
      </c>
      <c r="M127" s="26">
        <v>450</v>
      </c>
      <c r="N127" s="26">
        <v>65</v>
      </c>
      <c r="O127" s="101" t="s">
        <v>1381</v>
      </c>
    </row>
    <row r="128" spans="1:15" s="105" customFormat="1" x14ac:dyDescent="0.3">
      <c r="A128" s="112">
        <v>127</v>
      </c>
      <c r="B128" s="100" t="s">
        <v>13</v>
      </c>
      <c r="C128" s="101" t="s">
        <v>255</v>
      </c>
      <c r="D128" s="102" t="s">
        <v>26</v>
      </c>
      <c r="E128" s="102" t="s">
        <v>22</v>
      </c>
      <c r="F128" s="10">
        <v>353437178430374</v>
      </c>
      <c r="G128" s="102"/>
      <c r="H128" s="103">
        <v>45855</v>
      </c>
      <c r="I128" s="26">
        <v>700</v>
      </c>
      <c r="J128" s="26"/>
      <c r="K128" s="103">
        <v>45858</v>
      </c>
      <c r="L128" s="104">
        <f>Таблица3[[#This Row],[OLINGAN NARXI $]]+Таблица3[[#This Row],[RASXOD]]</f>
        <v>0</v>
      </c>
      <c r="M128" s="26">
        <v>750</v>
      </c>
      <c r="N128" s="26">
        <v>50</v>
      </c>
      <c r="O128" s="101" t="s">
        <v>1485</v>
      </c>
    </row>
    <row r="129" spans="1:15" s="134" customFormat="1" x14ac:dyDescent="0.3">
      <c r="A129" s="112">
        <v>128</v>
      </c>
      <c r="B129" s="127" t="s">
        <v>16</v>
      </c>
      <c r="C129" s="128" t="s">
        <v>81</v>
      </c>
      <c r="D129" s="127" t="s">
        <v>65</v>
      </c>
      <c r="E129" s="129" t="s">
        <v>22</v>
      </c>
      <c r="F129" s="130">
        <v>351150162965592</v>
      </c>
      <c r="G129" s="129"/>
      <c r="H129" s="131">
        <v>45852</v>
      </c>
      <c r="I129" s="132">
        <v>435</v>
      </c>
      <c r="J129" s="132"/>
      <c r="K129" s="131">
        <v>45858</v>
      </c>
      <c r="L129" s="133">
        <f>Таблица37589101114[[#This Row],[OLINGAN NARXI $]]+Таблица37589101114[[#This Row],[RASXOD]]</f>
        <v>435</v>
      </c>
      <c r="M129" s="132">
        <v>468</v>
      </c>
      <c r="N129" s="132">
        <v>16.5</v>
      </c>
      <c r="O129" s="128"/>
    </row>
    <row r="130" spans="1:15" s="134" customFormat="1" x14ac:dyDescent="0.3">
      <c r="A130" s="112">
        <v>129</v>
      </c>
      <c r="B130" s="127" t="s">
        <v>16</v>
      </c>
      <c r="C130" s="128" t="s">
        <v>303</v>
      </c>
      <c r="D130" s="127" t="s">
        <v>18</v>
      </c>
      <c r="E130" s="129" t="s">
        <v>15</v>
      </c>
      <c r="F130" s="130">
        <v>357504149672149</v>
      </c>
      <c r="G130" s="129"/>
      <c r="H130" s="131">
        <v>45853</v>
      </c>
      <c r="I130" s="132">
        <v>350</v>
      </c>
      <c r="J130" s="132"/>
      <c r="K130" s="131">
        <v>45858</v>
      </c>
      <c r="L130" s="133">
        <f>Таблица37589101114[[#This Row],[OLINGAN NARXI $]]+Таблица37589101114[[#This Row],[RASXOD]]</f>
        <v>350</v>
      </c>
      <c r="M130" s="132">
        <v>393</v>
      </c>
      <c r="N130" s="132">
        <v>21.5</v>
      </c>
      <c r="O130" s="128"/>
    </row>
    <row r="131" spans="1:15" s="134" customFormat="1" x14ac:dyDescent="0.3">
      <c r="A131" s="112">
        <v>130</v>
      </c>
      <c r="B131" s="127" t="s">
        <v>16</v>
      </c>
      <c r="C131" s="128" t="s">
        <v>128</v>
      </c>
      <c r="D131" s="127" t="s">
        <v>26</v>
      </c>
      <c r="E131" s="129" t="s">
        <v>22</v>
      </c>
      <c r="F131" s="130">
        <v>353233951622356</v>
      </c>
      <c r="G131" s="129"/>
      <c r="H131" s="131">
        <v>45856</v>
      </c>
      <c r="I131" s="132">
        <v>700</v>
      </c>
      <c r="J131" s="132"/>
      <c r="K131" s="131">
        <v>45858</v>
      </c>
      <c r="L131" s="133">
        <f>Таблица37589101114[[#This Row],[OLINGAN NARXI $]]+Таблица37589101114[[#This Row],[RASXOD]]</f>
        <v>700</v>
      </c>
      <c r="M131" s="132">
        <v>770</v>
      </c>
      <c r="N131" s="132">
        <v>35</v>
      </c>
      <c r="O131" s="128"/>
    </row>
    <row r="132" spans="1:15" s="105" customFormat="1" x14ac:dyDescent="0.3">
      <c r="A132" s="112">
        <v>131</v>
      </c>
      <c r="B132" s="100" t="s">
        <v>16</v>
      </c>
      <c r="C132" s="101" t="s">
        <v>74</v>
      </c>
      <c r="D132" s="102" t="s">
        <v>35</v>
      </c>
      <c r="E132" s="102" t="s">
        <v>22</v>
      </c>
      <c r="F132" s="10">
        <v>353288671386484</v>
      </c>
      <c r="G132" s="102"/>
      <c r="H132" s="103">
        <v>45856</v>
      </c>
      <c r="I132" s="26">
        <v>560</v>
      </c>
      <c r="J132" s="26"/>
      <c r="K132" s="103">
        <v>45858</v>
      </c>
      <c r="L132" s="104">
        <f>Таблица3[[#This Row],[OLINGAN NARXI $]]+Таблица3[[#This Row],[RASXOD]]</f>
        <v>0</v>
      </c>
      <c r="M132" s="26">
        <v>620</v>
      </c>
      <c r="N132" s="26">
        <v>60</v>
      </c>
      <c r="O132" s="101" t="s">
        <v>1499</v>
      </c>
    </row>
    <row r="133" spans="1:15" s="99" customFormat="1" x14ac:dyDescent="0.3">
      <c r="A133" s="112">
        <v>132</v>
      </c>
      <c r="B133" s="92" t="s">
        <v>16</v>
      </c>
      <c r="C133" s="93" t="s">
        <v>250</v>
      </c>
      <c r="D133" s="94" t="s">
        <v>21</v>
      </c>
      <c r="E133" s="94" t="s">
        <v>15</v>
      </c>
      <c r="F133" s="95">
        <v>353044095188323</v>
      </c>
      <c r="G133" s="94" t="s">
        <v>66</v>
      </c>
      <c r="H133" s="96">
        <v>45784</v>
      </c>
      <c r="I133" s="97">
        <v>95</v>
      </c>
      <c r="J133" s="97">
        <v>27</v>
      </c>
      <c r="K133" s="96">
        <v>45858</v>
      </c>
      <c r="L133" s="98">
        <f>Таблица3[[#This Row],[OLINGAN NARXI $]]+Таблица3[[#This Row],[RASXOD]]</f>
        <v>0</v>
      </c>
      <c r="M133" s="97">
        <v>132</v>
      </c>
      <c r="N133" s="97">
        <v>10</v>
      </c>
      <c r="O133" s="93" t="s">
        <v>1179</v>
      </c>
    </row>
    <row r="134" spans="1:15" s="99" customFormat="1" x14ac:dyDescent="0.3">
      <c r="A134" s="112">
        <v>133</v>
      </c>
      <c r="B134" s="92" t="s">
        <v>16</v>
      </c>
      <c r="C134" s="93" t="s">
        <v>1000</v>
      </c>
      <c r="D134" s="94" t="s">
        <v>583</v>
      </c>
      <c r="E134" s="94" t="s">
        <v>22</v>
      </c>
      <c r="F134" s="95">
        <v>350912505793754</v>
      </c>
      <c r="G134" s="94"/>
      <c r="H134" s="96">
        <v>45851</v>
      </c>
      <c r="I134" s="97">
        <v>1170</v>
      </c>
      <c r="J134" s="97"/>
      <c r="K134" s="96">
        <v>45858</v>
      </c>
      <c r="L134" s="98">
        <f>Таблица3[[#This Row],[OLINGAN NARXI $]]+Таблица3[[#This Row],[RASXOD]]</f>
        <v>0</v>
      </c>
      <c r="M134" s="97">
        <v>1265</v>
      </c>
      <c r="N134" s="97">
        <v>95</v>
      </c>
      <c r="O134" s="93" t="s">
        <v>365</v>
      </c>
    </row>
    <row r="135" spans="1:15" s="134" customFormat="1" x14ac:dyDescent="0.3">
      <c r="A135" s="112">
        <v>134</v>
      </c>
      <c r="B135" s="127" t="s">
        <v>16</v>
      </c>
      <c r="C135" s="128" t="s">
        <v>104</v>
      </c>
      <c r="D135" s="127" t="s">
        <v>65</v>
      </c>
      <c r="E135" s="129" t="s">
        <v>22</v>
      </c>
      <c r="F135" s="130">
        <v>354692279020461</v>
      </c>
      <c r="G135" s="129"/>
      <c r="H135" s="131">
        <v>45853</v>
      </c>
      <c r="I135" s="132">
        <v>330</v>
      </c>
      <c r="J135" s="132"/>
      <c r="K135" s="131">
        <v>45858</v>
      </c>
      <c r="L135" s="133">
        <f>Таблица37589101114[[#This Row],[OLINGAN NARXI $]]+Таблица37589101114[[#This Row],[RASXOD]]</f>
        <v>330</v>
      </c>
      <c r="M135" s="132">
        <v>400</v>
      </c>
      <c r="N135" s="132">
        <v>35</v>
      </c>
      <c r="O135" s="128"/>
    </row>
    <row r="136" spans="1:15" s="134" customFormat="1" x14ac:dyDescent="0.3">
      <c r="A136" s="112">
        <v>135</v>
      </c>
      <c r="B136" s="127" t="s">
        <v>16</v>
      </c>
      <c r="C136" s="128" t="s">
        <v>1125</v>
      </c>
      <c r="D136" s="127" t="s">
        <v>21</v>
      </c>
      <c r="E136" s="129" t="s">
        <v>15</v>
      </c>
      <c r="F136" s="130">
        <v>351083739173335</v>
      </c>
      <c r="G136" s="129"/>
      <c r="H136" s="131">
        <v>45841</v>
      </c>
      <c r="I136" s="132">
        <v>500</v>
      </c>
      <c r="J136" s="132"/>
      <c r="K136" s="131">
        <v>45858</v>
      </c>
      <c r="L136" s="133">
        <f>Таблица37589101114[[#This Row],[OLINGAN NARXI $]]+Таблица37589101114[[#This Row],[RASXOD]]</f>
        <v>500</v>
      </c>
      <c r="M136" s="132">
        <v>580</v>
      </c>
      <c r="N136" s="132">
        <v>40</v>
      </c>
      <c r="O136" s="128"/>
    </row>
    <row r="137" spans="1:15" s="83" customFormat="1" x14ac:dyDescent="0.3">
      <c r="A137" s="112">
        <v>136</v>
      </c>
      <c r="B137" s="76" t="s">
        <v>16</v>
      </c>
      <c r="C137" s="77" t="s">
        <v>25</v>
      </c>
      <c r="D137" s="78" t="s">
        <v>21</v>
      </c>
      <c r="E137" s="78" t="s">
        <v>22</v>
      </c>
      <c r="F137" s="79">
        <v>354009447468946</v>
      </c>
      <c r="G137" s="78"/>
      <c r="H137" s="80">
        <v>45822</v>
      </c>
      <c r="I137" s="81">
        <v>720</v>
      </c>
      <c r="J137" s="81"/>
      <c r="K137" s="80">
        <v>45859</v>
      </c>
      <c r="L137" s="82">
        <f>Таблица3[[#This Row],[OLINGAN NARXI $]]+Таблица3[[#This Row],[RASXOD]]</f>
        <v>0</v>
      </c>
      <c r="M137" s="81">
        <v>780</v>
      </c>
      <c r="N137" s="81">
        <v>60</v>
      </c>
      <c r="O137" s="77" t="s">
        <v>1145</v>
      </c>
    </row>
    <row r="138" spans="1:15" s="83" customFormat="1" x14ac:dyDescent="0.3">
      <c r="A138" s="112">
        <v>137</v>
      </c>
      <c r="B138" s="76" t="s">
        <v>16</v>
      </c>
      <c r="C138" s="77" t="s">
        <v>83</v>
      </c>
      <c r="D138" s="78" t="s">
        <v>65</v>
      </c>
      <c r="E138" s="78" t="s">
        <v>15</v>
      </c>
      <c r="F138" s="79">
        <v>355656501322945</v>
      </c>
      <c r="G138" s="78"/>
      <c r="H138" s="80">
        <v>45775</v>
      </c>
      <c r="I138" s="81">
        <v>440</v>
      </c>
      <c r="J138" s="81"/>
      <c r="K138" s="80">
        <v>45859</v>
      </c>
      <c r="L138" s="82">
        <f>Таблица3[[#This Row],[OLINGAN NARXI $]]+Таблица3[[#This Row],[RASXOD]]</f>
        <v>0</v>
      </c>
      <c r="M138" s="81">
        <v>510</v>
      </c>
      <c r="N138" s="81">
        <v>70</v>
      </c>
      <c r="O138" s="77" t="s">
        <v>1119</v>
      </c>
    </row>
    <row r="139" spans="1:15" s="83" customFormat="1" x14ac:dyDescent="0.3">
      <c r="A139" s="112">
        <v>138</v>
      </c>
      <c r="B139" s="76" t="s">
        <v>16</v>
      </c>
      <c r="C139" s="77" t="s">
        <v>81</v>
      </c>
      <c r="D139" s="78" t="s">
        <v>18</v>
      </c>
      <c r="E139" s="78" t="s">
        <v>15</v>
      </c>
      <c r="F139" s="79">
        <v>352668910179017</v>
      </c>
      <c r="G139" s="78"/>
      <c r="H139" s="80">
        <v>45851</v>
      </c>
      <c r="I139" s="81">
        <v>465</v>
      </c>
      <c r="J139" s="81"/>
      <c r="K139" s="80">
        <v>45859</v>
      </c>
      <c r="L139" s="82">
        <f>Таблица3[[#This Row],[OLINGAN NARXI $]]+Таблица3[[#This Row],[RASXOD]]</f>
        <v>0</v>
      </c>
      <c r="M139" s="81">
        <v>510</v>
      </c>
      <c r="N139" s="81">
        <v>45</v>
      </c>
      <c r="O139" s="77" t="s">
        <v>1455</v>
      </c>
    </row>
    <row r="140" spans="1:15" s="134" customFormat="1" x14ac:dyDescent="0.3">
      <c r="A140" s="112">
        <v>139</v>
      </c>
      <c r="B140" s="127" t="s">
        <v>16</v>
      </c>
      <c r="C140" s="128" t="s">
        <v>1214</v>
      </c>
      <c r="D140" s="127" t="s">
        <v>65</v>
      </c>
      <c r="E140" s="129" t="s">
        <v>22</v>
      </c>
      <c r="F140" s="130">
        <v>352966745691978</v>
      </c>
      <c r="G140" s="129"/>
      <c r="H140" s="131">
        <v>45830</v>
      </c>
      <c r="I140" s="132">
        <v>450</v>
      </c>
      <c r="J140" s="132"/>
      <c r="K140" s="131">
        <v>45859</v>
      </c>
      <c r="L140" s="133">
        <f>Таблица37589101114[[#This Row],[OLINGAN NARXI $]]+Таблица37589101114[[#This Row],[RASXOD]]</f>
        <v>450</v>
      </c>
      <c r="M140" s="132">
        <v>530</v>
      </c>
      <c r="N140" s="132">
        <v>40</v>
      </c>
      <c r="O140" s="128"/>
    </row>
    <row r="141" spans="1:15" s="134" customFormat="1" x14ac:dyDescent="0.3">
      <c r="A141" s="112">
        <v>140</v>
      </c>
      <c r="B141" s="127" t="s">
        <v>16</v>
      </c>
      <c r="C141" s="128" t="s">
        <v>129</v>
      </c>
      <c r="D141" s="127" t="s">
        <v>65</v>
      </c>
      <c r="E141" s="129" t="s">
        <v>22</v>
      </c>
      <c r="F141" s="130">
        <v>358592373856008</v>
      </c>
      <c r="G141" s="129"/>
      <c r="H141" s="131">
        <v>45856</v>
      </c>
      <c r="I141" s="132">
        <v>530</v>
      </c>
      <c r="J141" s="132"/>
      <c r="K141" s="131">
        <v>45859</v>
      </c>
      <c r="L141" s="133">
        <f>Таблица37589101114[[#This Row],[OLINGAN NARXI $]]+Таблица37589101114[[#This Row],[RASXOD]]</f>
        <v>530</v>
      </c>
      <c r="M141" s="132">
        <v>614</v>
      </c>
      <c r="N141" s="132">
        <v>42</v>
      </c>
      <c r="O141" s="128"/>
    </row>
    <row r="142" spans="1:15" s="83" customFormat="1" x14ac:dyDescent="0.3">
      <c r="A142" s="112">
        <v>141</v>
      </c>
      <c r="B142" s="76" t="s">
        <v>16</v>
      </c>
      <c r="C142" s="77" t="s">
        <v>1000</v>
      </c>
      <c r="D142" s="78" t="s">
        <v>21</v>
      </c>
      <c r="E142" s="78" t="s">
        <v>15</v>
      </c>
      <c r="F142" s="79">
        <v>357343962274711</v>
      </c>
      <c r="G142" s="78"/>
      <c r="H142" s="80">
        <v>45849</v>
      </c>
      <c r="I142" s="81">
        <v>1030</v>
      </c>
      <c r="J142" s="81"/>
      <c r="K142" s="80">
        <v>45859</v>
      </c>
      <c r="L142" s="82">
        <f>Таблица3[[#This Row],[OLINGAN NARXI $]]+Таблица3[[#This Row],[RASXOD]]</f>
        <v>0</v>
      </c>
      <c r="M142" s="81">
        <v>1270</v>
      </c>
      <c r="N142" s="81">
        <v>240</v>
      </c>
      <c r="O142" s="77" t="s">
        <v>1444</v>
      </c>
    </row>
    <row r="143" spans="1:15" s="83" customFormat="1" x14ac:dyDescent="0.3">
      <c r="A143" s="112">
        <v>142</v>
      </c>
      <c r="B143" s="76" t="s">
        <v>16</v>
      </c>
      <c r="C143" s="77" t="s">
        <v>81</v>
      </c>
      <c r="D143" s="78" t="s">
        <v>97</v>
      </c>
      <c r="E143" s="78" t="s">
        <v>15</v>
      </c>
      <c r="F143" s="79">
        <v>355677813126154</v>
      </c>
      <c r="G143" s="78"/>
      <c r="H143" s="80">
        <v>45851</v>
      </c>
      <c r="I143" s="81">
        <v>465</v>
      </c>
      <c r="J143" s="81"/>
      <c r="K143" s="80">
        <v>45860</v>
      </c>
      <c r="L143" s="82">
        <f>Таблица3[[#This Row],[OLINGAN NARXI $]]+Таблица3[[#This Row],[RASXOD]]</f>
        <v>0</v>
      </c>
      <c r="M143" s="81">
        <v>530</v>
      </c>
      <c r="N143" s="81">
        <v>65</v>
      </c>
      <c r="O143" s="77" t="s">
        <v>1455</v>
      </c>
    </row>
    <row r="144" spans="1:15" s="83" customFormat="1" x14ac:dyDescent="0.3">
      <c r="A144" s="112">
        <v>143</v>
      </c>
      <c r="B144" s="76" t="s">
        <v>13</v>
      </c>
      <c r="C144" s="77" t="s">
        <v>502</v>
      </c>
      <c r="D144" s="78" t="s">
        <v>18</v>
      </c>
      <c r="E144" s="78" t="s">
        <v>15</v>
      </c>
      <c r="F144" s="79">
        <v>351747951974741</v>
      </c>
      <c r="G144" s="78"/>
      <c r="H144" s="80">
        <v>45813</v>
      </c>
      <c r="I144" s="81">
        <v>475</v>
      </c>
      <c r="J144" s="81"/>
      <c r="K144" s="80">
        <v>45860</v>
      </c>
      <c r="L144" s="82">
        <f>Таблица3[[#This Row],[OLINGAN NARXI $]]+Таблица3[[#This Row],[RASXOD]]</f>
        <v>200</v>
      </c>
      <c r="M144" s="81">
        <v>535</v>
      </c>
      <c r="N144" s="81">
        <v>60</v>
      </c>
      <c r="O144" s="77" t="s">
        <v>19</v>
      </c>
    </row>
    <row r="145" spans="1:15" s="83" customFormat="1" x14ac:dyDescent="0.3">
      <c r="A145" s="112">
        <v>144</v>
      </c>
      <c r="B145" s="76" t="s">
        <v>16</v>
      </c>
      <c r="C145" s="77" t="s">
        <v>1000</v>
      </c>
      <c r="D145" s="78" t="s">
        <v>583</v>
      </c>
      <c r="E145" s="78" t="s">
        <v>22</v>
      </c>
      <c r="F145" s="79">
        <v>9872</v>
      </c>
      <c r="G145" s="78"/>
      <c r="H145" s="80">
        <v>45860</v>
      </c>
      <c r="I145" s="81">
        <v>1160</v>
      </c>
      <c r="J145" s="81"/>
      <c r="K145" s="80">
        <v>45860</v>
      </c>
      <c r="L145" s="82">
        <f>Таблица37589101114[[#This Row],[OLINGAN NARXI $]]+Таблица37589101114[[#This Row],[RASXOD]]</f>
        <v>1160</v>
      </c>
      <c r="M145" s="81">
        <v>1180</v>
      </c>
      <c r="N145" s="81">
        <f>Таблица37589101114[[#This Row],[SOTILGAN NARXI]]-Таблица37589101114[[#This Row],[OLINGAN NARXI $]]-Таблица37589101114[[#This Row],[RASXOD]]</f>
        <v>20</v>
      </c>
      <c r="O145" s="77">
        <v>938333666</v>
      </c>
    </row>
    <row r="146" spans="1:15" s="83" customFormat="1" x14ac:dyDescent="0.3">
      <c r="A146" s="112">
        <v>145</v>
      </c>
      <c r="B146" s="76" t="s">
        <v>16</v>
      </c>
      <c r="C146" s="77" t="s">
        <v>1236</v>
      </c>
      <c r="D146" s="78" t="s">
        <v>21</v>
      </c>
      <c r="E146" s="78" t="s">
        <v>22</v>
      </c>
      <c r="F146" s="79">
        <v>354000108213127</v>
      </c>
      <c r="G146" s="78"/>
      <c r="H146" s="80">
        <v>45797</v>
      </c>
      <c r="I146" s="81">
        <v>210</v>
      </c>
      <c r="J146" s="81"/>
      <c r="K146" s="80">
        <v>45860</v>
      </c>
      <c r="L146" s="82">
        <f>Таблица3[[#This Row],[OLINGAN NARXI $]]+Таблица3[[#This Row],[RASXOD]]</f>
        <v>170</v>
      </c>
      <c r="M146" s="81">
        <v>260</v>
      </c>
      <c r="N146" s="81">
        <v>50</v>
      </c>
      <c r="O146" s="77" t="s">
        <v>1235</v>
      </c>
    </row>
    <row r="147" spans="1:15" s="83" customFormat="1" x14ac:dyDescent="0.3">
      <c r="A147" s="112">
        <v>146</v>
      </c>
      <c r="B147" s="76" t="s">
        <v>16</v>
      </c>
      <c r="C147" s="77" t="s">
        <v>81</v>
      </c>
      <c r="D147" s="78" t="s">
        <v>21</v>
      </c>
      <c r="E147" s="78" t="s">
        <v>15</v>
      </c>
      <c r="F147" s="79">
        <v>350753240586859</v>
      </c>
      <c r="G147" s="78"/>
      <c r="H147" s="80">
        <v>45851</v>
      </c>
      <c r="I147" s="81">
        <v>465</v>
      </c>
      <c r="J147" s="81"/>
      <c r="K147" s="80">
        <v>45860</v>
      </c>
      <c r="L147" s="82">
        <f>Таблица3[[#This Row],[OLINGAN NARXI $]]+Таблица3[[#This Row],[RASXOD]]</f>
        <v>275</v>
      </c>
      <c r="M147" s="81">
        <v>540</v>
      </c>
      <c r="N147" s="81">
        <v>75</v>
      </c>
      <c r="O147" s="77" t="s">
        <v>1455</v>
      </c>
    </row>
    <row r="148" spans="1:15" s="83" customFormat="1" x14ac:dyDescent="0.3">
      <c r="A148" s="112">
        <v>147</v>
      </c>
      <c r="B148" s="76" t="s">
        <v>16</v>
      </c>
      <c r="C148" s="77" t="s">
        <v>1000</v>
      </c>
      <c r="D148" s="78" t="s">
        <v>26</v>
      </c>
      <c r="E148" s="78" t="s">
        <v>22</v>
      </c>
      <c r="F148" s="79">
        <v>351366063944177</v>
      </c>
      <c r="G148" s="78"/>
      <c r="H148" s="80">
        <v>45851</v>
      </c>
      <c r="I148" s="81">
        <v>1200</v>
      </c>
      <c r="J148" s="81"/>
      <c r="K148" s="80">
        <v>45860</v>
      </c>
      <c r="L148" s="82">
        <f>Таблица3[[#This Row],[OLINGAN NARXI $]]+Таблица3[[#This Row],[RASXOD]]</f>
        <v>250</v>
      </c>
      <c r="M148" s="81">
        <v>1300</v>
      </c>
      <c r="N148" s="81">
        <v>100</v>
      </c>
      <c r="O148" s="77" t="s">
        <v>1453</v>
      </c>
    </row>
    <row r="149" spans="1:15" s="83" customFormat="1" x14ac:dyDescent="0.3">
      <c r="A149" s="112">
        <v>148</v>
      </c>
      <c r="B149" s="76" t="s">
        <v>16</v>
      </c>
      <c r="C149" s="77" t="s">
        <v>372</v>
      </c>
      <c r="D149" s="78" t="s">
        <v>18</v>
      </c>
      <c r="E149" s="78" t="s">
        <v>22</v>
      </c>
      <c r="F149" s="79">
        <v>356716115394976</v>
      </c>
      <c r="G149" s="78"/>
      <c r="H149" s="80">
        <v>45856</v>
      </c>
      <c r="I149" s="81">
        <v>350</v>
      </c>
      <c r="J149" s="81"/>
      <c r="K149" s="80">
        <v>45860</v>
      </c>
      <c r="L149" s="82">
        <f>Таблица3[[#This Row],[OLINGAN NARXI $]]+Таблица3[[#This Row],[RASXOD]]</f>
        <v>275</v>
      </c>
      <c r="M149" s="81">
        <v>420</v>
      </c>
      <c r="N149" s="81">
        <v>70</v>
      </c>
      <c r="O149" s="77" t="s">
        <v>1498</v>
      </c>
    </row>
    <row r="150" spans="1:15" s="83" customFormat="1" x14ac:dyDescent="0.3">
      <c r="A150" s="112">
        <v>149</v>
      </c>
      <c r="B150" s="76" t="s">
        <v>16</v>
      </c>
      <c r="C150" s="77" t="s">
        <v>1214</v>
      </c>
      <c r="D150" s="78" t="s">
        <v>65</v>
      </c>
      <c r="E150" s="78" t="s">
        <v>22</v>
      </c>
      <c r="F150" s="79">
        <v>358750485802647</v>
      </c>
      <c r="G150" s="78"/>
      <c r="H150" s="80">
        <v>45791</v>
      </c>
      <c r="I150" s="81">
        <v>450</v>
      </c>
      <c r="J150" s="81"/>
      <c r="K150" s="80">
        <v>45861</v>
      </c>
      <c r="L150" s="82">
        <f>Таблица3[[#This Row],[OLINGAN NARXI $]]+Таблица3[[#This Row],[RASXOD]]</f>
        <v>275</v>
      </c>
      <c r="M150" s="81">
        <v>535</v>
      </c>
      <c r="N150" s="81">
        <v>85</v>
      </c>
      <c r="O150" s="77"/>
    </row>
    <row r="151" spans="1:15" s="83" customFormat="1" x14ac:dyDescent="0.3">
      <c r="A151" s="112">
        <v>150</v>
      </c>
      <c r="B151" s="76" t="s">
        <v>16</v>
      </c>
      <c r="C151" s="77" t="s">
        <v>148</v>
      </c>
      <c r="D151" s="78" t="s">
        <v>18</v>
      </c>
      <c r="E151" s="78" t="s">
        <v>15</v>
      </c>
      <c r="F151" s="79">
        <v>357171858786518</v>
      </c>
      <c r="G151" s="78" t="s">
        <v>145</v>
      </c>
      <c r="H151" s="80">
        <v>45851</v>
      </c>
      <c r="I151" s="81">
        <v>260</v>
      </c>
      <c r="J151" s="81"/>
      <c r="K151" s="80">
        <v>45861</v>
      </c>
      <c r="L151" s="82">
        <f>Таблица3[[#This Row],[OLINGAN NARXI $]]+Таблица3[[#This Row],[RASXOD]]</f>
        <v>35</v>
      </c>
      <c r="M151" s="81">
        <v>350</v>
      </c>
      <c r="N151" s="81">
        <v>90</v>
      </c>
      <c r="O151" s="77" t="s">
        <v>1458</v>
      </c>
    </row>
    <row r="152" spans="1:15" s="83" customFormat="1" x14ac:dyDescent="0.3">
      <c r="A152" s="112">
        <v>151</v>
      </c>
      <c r="B152" s="76" t="s">
        <v>16</v>
      </c>
      <c r="C152" s="77" t="s">
        <v>541</v>
      </c>
      <c r="D152" s="78" t="s">
        <v>97</v>
      </c>
      <c r="E152" s="78" t="s">
        <v>15</v>
      </c>
      <c r="F152" s="79">
        <v>352865111645982</v>
      </c>
      <c r="G152" s="78"/>
      <c r="H152" s="80">
        <v>45803</v>
      </c>
      <c r="I152" s="81">
        <v>230</v>
      </c>
      <c r="J152" s="81"/>
      <c r="K152" s="80">
        <v>45861</v>
      </c>
      <c r="L152" s="82">
        <v>230</v>
      </c>
      <c r="M152" s="81">
        <v>280</v>
      </c>
      <c r="N152" s="81">
        <v>50</v>
      </c>
      <c r="O152" s="77" t="s">
        <v>1257</v>
      </c>
    </row>
    <row r="153" spans="1:15" s="83" customFormat="1" x14ac:dyDescent="0.3">
      <c r="A153" s="112">
        <v>152</v>
      </c>
      <c r="B153" s="76" t="s">
        <v>16</v>
      </c>
      <c r="C153" s="77" t="s">
        <v>312</v>
      </c>
      <c r="D153" s="78" t="s">
        <v>45</v>
      </c>
      <c r="E153" s="78" t="s">
        <v>22</v>
      </c>
      <c r="F153" s="79">
        <v>359836510540317</v>
      </c>
      <c r="G153" s="78"/>
      <c r="H153" s="80">
        <v>45858</v>
      </c>
      <c r="I153" s="81">
        <v>500</v>
      </c>
      <c r="J153" s="81"/>
      <c r="K153" s="80">
        <v>45861</v>
      </c>
      <c r="L153" s="82">
        <v>500</v>
      </c>
      <c r="M153" s="81">
        <v>580</v>
      </c>
      <c r="N153" s="81">
        <v>80</v>
      </c>
      <c r="O153" s="77" t="s">
        <v>1501</v>
      </c>
    </row>
    <row r="154" spans="1:15" s="83" customFormat="1" x14ac:dyDescent="0.3">
      <c r="A154" s="112">
        <v>153</v>
      </c>
      <c r="B154" s="76" t="s">
        <v>13</v>
      </c>
      <c r="C154" s="77" t="s">
        <v>563</v>
      </c>
      <c r="D154" s="78" t="s">
        <v>21</v>
      </c>
      <c r="E154" s="78" t="s">
        <v>15</v>
      </c>
      <c r="F154" s="79">
        <v>352019420737805</v>
      </c>
      <c r="G154" s="78"/>
      <c r="H154" s="80">
        <v>45856</v>
      </c>
      <c r="I154" s="81">
        <v>390</v>
      </c>
      <c r="J154" s="81"/>
      <c r="K154" s="80">
        <v>45862</v>
      </c>
      <c r="L154" s="82">
        <f>Таблица3[[#This Row],[OLINGAN NARXI $]]+Таблица3[[#This Row],[RASXOD]]</f>
        <v>252.6</v>
      </c>
      <c r="M154" s="81">
        <v>450</v>
      </c>
      <c r="N154" s="81">
        <v>60</v>
      </c>
      <c r="O154" s="77" t="s">
        <v>1367</v>
      </c>
    </row>
    <row r="155" spans="1:15" s="83" customFormat="1" x14ac:dyDescent="0.3">
      <c r="A155" s="112">
        <v>154</v>
      </c>
      <c r="B155" s="76" t="s">
        <v>16</v>
      </c>
      <c r="C155" s="77" t="s">
        <v>1000</v>
      </c>
      <c r="D155" s="78" t="s">
        <v>583</v>
      </c>
      <c r="E155" s="78" t="s">
        <v>22</v>
      </c>
      <c r="F155" s="79">
        <v>350912505793754</v>
      </c>
      <c r="G155" s="78"/>
      <c r="H155" s="80">
        <v>45859</v>
      </c>
      <c r="I155" s="81">
        <v>1250</v>
      </c>
      <c r="J155" s="81"/>
      <c r="K155" s="80">
        <v>45862</v>
      </c>
      <c r="L155" s="82">
        <f>Таблица3[[#This Row],[OLINGAN NARXI $]]+Таблица3[[#This Row],[RASXOD]]</f>
        <v>286</v>
      </c>
      <c r="M155" s="81">
        <v>1270</v>
      </c>
      <c r="N155" s="81">
        <v>20</v>
      </c>
      <c r="O155" s="77" t="s">
        <v>262</v>
      </c>
    </row>
    <row r="156" spans="1:15" s="134" customFormat="1" x14ac:dyDescent="0.3">
      <c r="A156" s="112">
        <v>155</v>
      </c>
      <c r="B156" s="127" t="s">
        <v>16</v>
      </c>
      <c r="C156" s="128" t="s">
        <v>39</v>
      </c>
      <c r="D156" s="127" t="s">
        <v>21</v>
      </c>
      <c r="E156" s="129" t="s">
        <v>22</v>
      </c>
      <c r="F156" s="130">
        <v>354841660763813</v>
      </c>
      <c r="G156" s="129"/>
      <c r="H156" s="131">
        <v>45855</v>
      </c>
      <c r="I156" s="132">
        <v>635</v>
      </c>
      <c r="J156" s="132"/>
      <c r="K156" s="131">
        <v>45861</v>
      </c>
      <c r="L156" s="133">
        <f>Таблица37589101114[[#This Row],[OLINGAN NARXI $]]+Таблица37589101114[[#This Row],[RASXOD]]</f>
        <v>635</v>
      </c>
      <c r="M156" s="132">
        <v>700</v>
      </c>
      <c r="N156" s="132">
        <v>32.5</v>
      </c>
      <c r="O156" s="128"/>
    </row>
    <row r="157" spans="1:15" s="134" customFormat="1" x14ac:dyDescent="0.3">
      <c r="A157" s="112">
        <v>156</v>
      </c>
      <c r="B157" s="127" t="s">
        <v>16</v>
      </c>
      <c r="C157" s="128" t="s">
        <v>81</v>
      </c>
      <c r="D157" s="127" t="s">
        <v>45</v>
      </c>
      <c r="E157" s="129" t="s">
        <v>15</v>
      </c>
      <c r="F157" s="130">
        <v>350017088246103</v>
      </c>
      <c r="G157" s="129" t="s">
        <v>1369</v>
      </c>
      <c r="H157" s="131">
        <v>45851</v>
      </c>
      <c r="I157" s="132">
        <v>460</v>
      </c>
      <c r="J157" s="132"/>
      <c r="K157" s="131">
        <v>45860</v>
      </c>
      <c r="L157" s="133">
        <f>Таблица37589101114[[#This Row],[OLINGAN NARXI $]]+Таблица37589101114[[#This Row],[RASXOD]]</f>
        <v>460</v>
      </c>
      <c r="M157" s="132">
        <v>505</v>
      </c>
      <c r="N157" s="132">
        <v>22.5</v>
      </c>
      <c r="O157" s="128"/>
    </row>
    <row r="158" spans="1:15" s="134" customFormat="1" x14ac:dyDescent="0.3">
      <c r="A158" s="112">
        <v>157</v>
      </c>
      <c r="B158" s="127" t="s">
        <v>16</v>
      </c>
      <c r="C158" s="128" t="s">
        <v>81</v>
      </c>
      <c r="D158" s="127" t="s">
        <v>65</v>
      </c>
      <c r="E158" s="129" t="s">
        <v>15</v>
      </c>
      <c r="F158" s="130">
        <v>352129385161386</v>
      </c>
      <c r="G158" s="129"/>
      <c r="H158" s="131">
        <v>45858</v>
      </c>
      <c r="I158" s="132">
        <v>430</v>
      </c>
      <c r="J158" s="132"/>
      <c r="K158" s="131">
        <v>45860</v>
      </c>
      <c r="L158" s="133">
        <f>Таблица37589101114[[#This Row],[OLINGAN NARXI $]]+Таблица37589101114[[#This Row],[RASXOD]]</f>
        <v>430</v>
      </c>
      <c r="M158" s="132">
        <v>505</v>
      </c>
      <c r="N158" s="132">
        <v>37.5</v>
      </c>
      <c r="O158" s="128"/>
    </row>
    <row r="159" spans="1:15" s="105" customFormat="1" x14ac:dyDescent="0.3">
      <c r="A159" s="112">
        <v>158</v>
      </c>
      <c r="B159" s="100" t="s">
        <v>13</v>
      </c>
      <c r="C159" s="101" t="s">
        <v>1055</v>
      </c>
      <c r="D159" s="102" t="s">
        <v>21</v>
      </c>
      <c r="E159" s="102" t="s">
        <v>22</v>
      </c>
      <c r="F159" s="10">
        <v>352496803297146</v>
      </c>
      <c r="G159" s="102"/>
      <c r="H159" s="103">
        <v>45831</v>
      </c>
      <c r="I159" s="26">
        <v>330</v>
      </c>
      <c r="J159" s="26"/>
      <c r="K159" s="103">
        <v>45863</v>
      </c>
      <c r="L159" s="104">
        <f>Таблица3[[#This Row],[OLINGAN NARXI $]]+Таблица3[[#This Row],[RASXOD]]</f>
        <v>180</v>
      </c>
      <c r="M159" s="26">
        <v>440</v>
      </c>
      <c r="N159" s="26">
        <v>110</v>
      </c>
      <c r="O159" s="101" t="s">
        <v>1388</v>
      </c>
    </row>
    <row r="160" spans="1:15" s="83" customFormat="1" x14ac:dyDescent="0.3">
      <c r="A160" s="112">
        <v>159</v>
      </c>
      <c r="B160" s="76" t="s">
        <v>16</v>
      </c>
      <c r="C160" s="77" t="s">
        <v>25</v>
      </c>
      <c r="D160" s="78" t="s">
        <v>26</v>
      </c>
      <c r="E160" s="78" t="s">
        <v>22</v>
      </c>
      <c r="F160" s="78">
        <v>670</v>
      </c>
      <c r="G160" s="78"/>
      <c r="H160" s="80">
        <v>45860</v>
      </c>
      <c r="I160" s="81">
        <v>850</v>
      </c>
      <c r="J160" s="81"/>
      <c r="K160" s="80">
        <v>45863</v>
      </c>
      <c r="L160" s="82">
        <f>Таблица3[[#This Row],[OLINGAN NARXI $]]+Таблица3[[#This Row],[RASXOD]]</f>
        <v>245</v>
      </c>
      <c r="M160" s="81">
        <v>900</v>
      </c>
      <c r="N160" s="81">
        <v>50</v>
      </c>
      <c r="O160" s="77" t="s">
        <v>1512</v>
      </c>
    </row>
    <row r="161" spans="1:15" s="105" customFormat="1" x14ac:dyDescent="0.3">
      <c r="A161" s="112">
        <v>160</v>
      </c>
      <c r="B161" s="100" t="s">
        <v>16</v>
      </c>
      <c r="C161" s="101" t="s">
        <v>109</v>
      </c>
      <c r="D161" s="102" t="s">
        <v>45</v>
      </c>
      <c r="E161" s="102" t="s">
        <v>22</v>
      </c>
      <c r="F161" s="10">
        <v>356173097057371</v>
      </c>
      <c r="G161" s="102"/>
      <c r="H161" s="103">
        <v>45858</v>
      </c>
      <c r="I161" s="26">
        <v>150</v>
      </c>
      <c r="J161" s="26"/>
      <c r="K161" s="103">
        <v>45863</v>
      </c>
      <c r="L161" s="104">
        <f>Таблица3[[#This Row],[OLINGAN NARXI $]]+Таблица3[[#This Row],[RASXOD]]</f>
        <v>280</v>
      </c>
      <c r="M161" s="26">
        <v>200</v>
      </c>
      <c r="N161" s="26">
        <v>50</v>
      </c>
      <c r="O161" s="101" t="s">
        <v>1502</v>
      </c>
    </row>
    <row r="162" spans="1:15" s="83" customFormat="1" x14ac:dyDescent="0.3">
      <c r="A162" s="112">
        <v>161</v>
      </c>
      <c r="B162" s="76" t="s">
        <v>13</v>
      </c>
      <c r="C162" s="77" t="s">
        <v>1082</v>
      </c>
      <c r="D162" s="78" t="s">
        <v>65</v>
      </c>
      <c r="E162" s="78" t="s">
        <v>15</v>
      </c>
      <c r="F162" s="79">
        <v>358511027145998</v>
      </c>
      <c r="G162" s="78"/>
      <c r="H162" s="80">
        <v>45776</v>
      </c>
      <c r="I162" s="81">
        <v>130</v>
      </c>
      <c r="J162" s="81"/>
      <c r="K162" s="80">
        <v>45863</v>
      </c>
      <c r="L162" s="82">
        <f>Таблица3[[#This Row],[OLINGAN NARXI $]]+Таблица3[[#This Row],[RASXOD]]</f>
        <v>565</v>
      </c>
      <c r="M162" s="81">
        <v>200</v>
      </c>
      <c r="N162" s="81">
        <v>70</v>
      </c>
      <c r="O162" s="77">
        <v>975407004</v>
      </c>
    </row>
    <row r="163" spans="1:15" s="105" customFormat="1" x14ac:dyDescent="0.3">
      <c r="A163" s="112">
        <v>162</v>
      </c>
      <c r="B163" s="100" t="s">
        <v>16</v>
      </c>
      <c r="C163" s="101" t="s">
        <v>111</v>
      </c>
      <c r="D163" s="102" t="s">
        <v>18</v>
      </c>
      <c r="E163" s="102" t="s">
        <v>15</v>
      </c>
      <c r="F163" s="10">
        <v>352992717065637</v>
      </c>
      <c r="G163" s="102" t="s">
        <v>1173</v>
      </c>
      <c r="H163" s="103">
        <v>45783</v>
      </c>
      <c r="I163" s="26">
        <v>120</v>
      </c>
      <c r="J163" s="26"/>
      <c r="K163" s="103">
        <v>45863</v>
      </c>
      <c r="L163" s="104">
        <f>Таблица3[[#This Row],[OLINGAN NARXI $]]+Таблица3[[#This Row],[RASXOD]]</f>
        <v>301</v>
      </c>
      <c r="M163" s="26">
        <v>200</v>
      </c>
      <c r="N163" s="26">
        <v>80</v>
      </c>
      <c r="O163" s="101" t="s">
        <v>1174</v>
      </c>
    </row>
    <row r="164" spans="1:15" s="105" customFormat="1" x14ac:dyDescent="0.3">
      <c r="A164" s="112">
        <v>163</v>
      </c>
      <c r="B164" s="100" t="s">
        <v>16</v>
      </c>
      <c r="C164" s="101" t="s">
        <v>1000</v>
      </c>
      <c r="D164" s="102"/>
      <c r="E164" s="102"/>
      <c r="F164" s="10"/>
      <c r="G164" s="102"/>
      <c r="H164" s="103"/>
      <c r="I164" s="26"/>
      <c r="J164" s="26"/>
      <c r="K164" s="103">
        <v>45863</v>
      </c>
      <c r="L164" s="104">
        <v>40</v>
      </c>
      <c r="M164" s="26">
        <v>40</v>
      </c>
      <c r="N164" s="26">
        <f>Таблица37589101114[[#This Row],[SOTILGAN NARXI]]-Таблица37589101114[[#This Row],[OLINGAN NARXI $]]-Таблица37589101114[[#This Row],[RASXOD]]</f>
        <v>40</v>
      </c>
      <c r="O164" s="101" t="s">
        <v>446</v>
      </c>
    </row>
    <row r="165" spans="1:15" s="83" customFormat="1" x14ac:dyDescent="0.3">
      <c r="A165" s="112">
        <v>164</v>
      </c>
      <c r="B165" s="76" t="s">
        <v>16</v>
      </c>
      <c r="C165" s="77" t="s">
        <v>83</v>
      </c>
      <c r="D165" s="78" t="s">
        <v>65</v>
      </c>
      <c r="E165" s="78" t="s">
        <v>15</v>
      </c>
      <c r="F165" s="79">
        <v>359663601140546</v>
      </c>
      <c r="G165" s="78" t="s">
        <v>556</v>
      </c>
      <c r="H165" s="80">
        <v>45862</v>
      </c>
      <c r="I165" s="81">
        <v>470</v>
      </c>
      <c r="J165" s="81"/>
      <c r="K165" s="80">
        <v>45864</v>
      </c>
      <c r="L165" s="82">
        <f>Таблица3[[#This Row],[OLINGAN NARXI $]]+Таблица3[[#This Row],[RASXOD]]</f>
        <v>150</v>
      </c>
      <c r="M165" s="81">
        <v>520</v>
      </c>
      <c r="N165" s="81">
        <v>50</v>
      </c>
      <c r="O165" s="77" t="s">
        <v>1513</v>
      </c>
    </row>
    <row r="166" spans="1:15" s="134" customFormat="1" ht="13.2" customHeight="1" x14ac:dyDescent="0.3">
      <c r="A166" s="112">
        <v>165</v>
      </c>
      <c r="B166" s="127" t="s">
        <v>16</v>
      </c>
      <c r="C166" s="128" t="s">
        <v>81</v>
      </c>
      <c r="D166" s="127" t="s">
        <v>65</v>
      </c>
      <c r="E166" s="129" t="s">
        <v>15</v>
      </c>
      <c r="F166" s="130">
        <v>356084834487435</v>
      </c>
      <c r="G166" s="127"/>
      <c r="H166" s="131">
        <v>45854</v>
      </c>
      <c r="I166" s="132">
        <v>430</v>
      </c>
      <c r="J166" s="132"/>
      <c r="K166" s="131">
        <v>45859</v>
      </c>
      <c r="L166" s="133">
        <f>Таблица37589101114[[#This Row],[OLINGAN NARXI $]]+Таблица37589101114[[#This Row],[RASXOD]]</f>
        <v>430</v>
      </c>
      <c r="M166" s="132">
        <v>470</v>
      </c>
      <c r="N166" s="132">
        <v>20</v>
      </c>
      <c r="O166" s="128"/>
    </row>
    <row r="167" spans="1:15" s="83" customFormat="1" x14ac:dyDescent="0.3">
      <c r="A167" s="112">
        <v>166</v>
      </c>
      <c r="B167" s="76" t="s">
        <v>1077</v>
      </c>
      <c r="C167" s="77" t="s">
        <v>1399</v>
      </c>
      <c r="D167" s="78" t="s">
        <v>21</v>
      </c>
      <c r="E167" s="78" t="s">
        <v>15</v>
      </c>
      <c r="F167" s="79">
        <v>861099071741888</v>
      </c>
      <c r="G167" s="78"/>
      <c r="H167" s="80">
        <v>45836</v>
      </c>
      <c r="I167" s="81">
        <v>27</v>
      </c>
      <c r="J167" s="81"/>
      <c r="K167" s="80">
        <v>45864</v>
      </c>
      <c r="L167" s="82">
        <f>Таблица3[[#This Row],[OLINGAN NARXI $]]+Таблица3[[#This Row],[RASXOD]]</f>
        <v>160</v>
      </c>
      <c r="M167" s="81">
        <v>55</v>
      </c>
      <c r="N167" s="81">
        <v>28</v>
      </c>
      <c r="O167" s="77" t="s">
        <v>1400</v>
      </c>
    </row>
    <row r="168" spans="1:15" s="83" customFormat="1" x14ac:dyDescent="0.3">
      <c r="A168" s="112">
        <v>167</v>
      </c>
      <c r="B168" s="76" t="s">
        <v>16</v>
      </c>
      <c r="C168" s="77" t="s">
        <v>106</v>
      </c>
      <c r="D168" s="78" t="s">
        <v>21</v>
      </c>
      <c r="E168" s="78" t="s">
        <v>22</v>
      </c>
      <c r="F168" s="79">
        <v>356590100690478</v>
      </c>
      <c r="G168" s="78"/>
      <c r="H168" s="80">
        <v>45536</v>
      </c>
      <c r="I168" s="81">
        <v>228</v>
      </c>
      <c r="J168" s="81">
        <v>9</v>
      </c>
      <c r="K168" s="80">
        <v>45864</v>
      </c>
      <c r="L168" s="82">
        <f>Таблица3[[#This Row],[OLINGAN NARXI $]]+Таблица3[[#This Row],[RASXOD]]</f>
        <v>160</v>
      </c>
      <c r="M168" s="81">
        <v>240</v>
      </c>
      <c r="N168" s="81">
        <v>3</v>
      </c>
      <c r="O168" s="77" t="s">
        <v>108</v>
      </c>
    </row>
    <row r="169" spans="1:15" s="99" customFormat="1" x14ac:dyDescent="0.3">
      <c r="A169" s="112">
        <v>168</v>
      </c>
      <c r="B169" s="92" t="s">
        <v>16</v>
      </c>
      <c r="C169" s="93" t="s">
        <v>128</v>
      </c>
      <c r="D169" s="94" t="s">
        <v>26</v>
      </c>
      <c r="E169" s="94" t="s">
        <v>22</v>
      </c>
      <c r="F169" s="95">
        <v>358301850272170</v>
      </c>
      <c r="G169" s="94"/>
      <c r="H169" s="96">
        <v>45855</v>
      </c>
      <c r="I169" s="97">
        <v>715</v>
      </c>
      <c r="J169" s="97"/>
      <c r="K169" s="96">
        <v>45864</v>
      </c>
      <c r="L169" s="98">
        <f>Таблица3[[#This Row],[OLINGAN NARXI $]]+Таблица3[[#This Row],[RASXOD]]</f>
        <v>160</v>
      </c>
      <c r="M169" s="97">
        <v>790</v>
      </c>
      <c r="N169" s="97">
        <v>75</v>
      </c>
      <c r="O169" s="93" t="s">
        <v>1490</v>
      </c>
    </row>
    <row r="170" spans="1:15" s="83" customFormat="1" x14ac:dyDescent="0.3">
      <c r="A170" s="112">
        <v>169</v>
      </c>
      <c r="B170" s="76" t="s">
        <v>13</v>
      </c>
      <c r="C170" s="77" t="s">
        <v>984</v>
      </c>
      <c r="D170" s="78" t="s">
        <v>885</v>
      </c>
      <c r="E170" s="78" t="s">
        <v>15</v>
      </c>
      <c r="F170" s="79">
        <v>352676100866392</v>
      </c>
      <c r="G170" s="78"/>
      <c r="H170" s="80">
        <v>45717</v>
      </c>
      <c r="I170" s="81">
        <v>110</v>
      </c>
      <c r="J170" s="81">
        <v>28</v>
      </c>
      <c r="K170" s="80">
        <v>45864</v>
      </c>
      <c r="L170" s="82">
        <f>Таблица3[[#This Row],[OLINGAN NARXI $]]+Таблица3[[#This Row],[RASXOD]]</f>
        <v>160</v>
      </c>
      <c r="M170" s="81">
        <v>220</v>
      </c>
      <c r="N170" s="81">
        <v>82</v>
      </c>
      <c r="O170" s="77" t="s">
        <v>147</v>
      </c>
    </row>
    <row r="171" spans="1:15" s="105" customFormat="1" x14ac:dyDescent="0.3">
      <c r="A171" s="112">
        <v>170</v>
      </c>
      <c r="B171" s="100" t="s">
        <v>207</v>
      </c>
      <c r="C171" s="101" t="s">
        <v>1238</v>
      </c>
      <c r="D171" s="102" t="s">
        <v>21</v>
      </c>
      <c r="E171" s="102" t="s">
        <v>22</v>
      </c>
      <c r="F171" s="10"/>
      <c r="G171" s="102"/>
      <c r="H171" s="103">
        <v>45798</v>
      </c>
      <c r="I171" s="26">
        <v>220</v>
      </c>
      <c r="J171" s="26"/>
      <c r="K171" s="103">
        <v>45864</v>
      </c>
      <c r="L171" s="104">
        <f>Таблица3[[#This Row],[OLINGAN NARXI $]]+Таблица3[[#This Row],[RASXOD]]</f>
        <v>160</v>
      </c>
      <c r="M171" s="26">
        <v>260</v>
      </c>
      <c r="N171" s="26">
        <v>40</v>
      </c>
      <c r="O171" s="101" t="s">
        <v>1239</v>
      </c>
    </row>
    <row r="172" spans="1:15" s="83" customFormat="1" x14ac:dyDescent="0.3">
      <c r="A172" s="112">
        <v>171</v>
      </c>
      <c r="B172" s="76" t="s">
        <v>16</v>
      </c>
      <c r="C172" s="77" t="s">
        <v>34</v>
      </c>
      <c r="D172" s="78" t="s">
        <v>21</v>
      </c>
      <c r="E172" s="78" t="s">
        <v>15</v>
      </c>
      <c r="F172" s="79">
        <v>351344353721126</v>
      </c>
      <c r="G172" s="78"/>
      <c r="H172" s="80">
        <v>45862</v>
      </c>
      <c r="I172" s="81">
        <v>660</v>
      </c>
      <c r="J172" s="81"/>
      <c r="K172" s="80">
        <v>45865</v>
      </c>
      <c r="L172" s="82">
        <f>Таблица3[[#This Row],[OLINGAN NARXI $]]+Таблица3[[#This Row],[RASXOD]]</f>
        <v>550</v>
      </c>
      <c r="M172" s="81">
        <v>725</v>
      </c>
      <c r="N172" s="81">
        <v>65</v>
      </c>
      <c r="O172" s="77" t="s">
        <v>1514</v>
      </c>
    </row>
    <row r="173" spans="1:15" s="83" customFormat="1" x14ac:dyDescent="0.3">
      <c r="A173" s="112">
        <v>172</v>
      </c>
      <c r="B173" s="76" t="s">
        <v>16</v>
      </c>
      <c r="C173" s="77" t="s">
        <v>157</v>
      </c>
      <c r="D173" s="78" t="s">
        <v>18</v>
      </c>
      <c r="E173" s="78" t="s">
        <v>15</v>
      </c>
      <c r="F173" s="79">
        <v>354121934814308</v>
      </c>
      <c r="G173" s="78"/>
      <c r="H173" s="80">
        <v>45859</v>
      </c>
      <c r="I173" s="81">
        <v>300</v>
      </c>
      <c r="J173" s="81"/>
      <c r="K173" s="80">
        <v>45865</v>
      </c>
      <c r="L173" s="82">
        <f>Таблица3[[#This Row],[OLINGAN NARXI $]]+Таблица3[[#This Row],[RASXOD]]</f>
        <v>421.2</v>
      </c>
      <c r="M173" s="81">
        <v>400</v>
      </c>
      <c r="N173" s="81">
        <v>100</v>
      </c>
      <c r="O173" s="77">
        <v>880820809</v>
      </c>
    </row>
    <row r="174" spans="1:15" s="83" customFormat="1" x14ac:dyDescent="0.3">
      <c r="A174" s="112">
        <v>173</v>
      </c>
      <c r="B174" s="76" t="s">
        <v>16</v>
      </c>
      <c r="C174" s="77" t="s">
        <v>1538</v>
      </c>
      <c r="D174" s="78" t="s">
        <v>26</v>
      </c>
      <c r="E174" s="78" t="s">
        <v>22</v>
      </c>
      <c r="F174" s="79"/>
      <c r="G174" s="78"/>
      <c r="H174" s="80">
        <v>45865</v>
      </c>
      <c r="I174" s="81">
        <v>930</v>
      </c>
      <c r="J174" s="81"/>
      <c r="K174" s="80">
        <v>45865</v>
      </c>
      <c r="L174" s="82">
        <f>Таблица37589101114[[#This Row],[OLINGAN NARXI $]]+Таблица37589101114[[#This Row],[RASXOD]]</f>
        <v>930</v>
      </c>
      <c r="M174" s="81">
        <v>960</v>
      </c>
      <c r="N174" s="81">
        <f>Таблица37589101114[[#This Row],[SOTILGAN NARXI]]-Таблица37589101114[[#This Row],[OLINGAN NARXI $]]-Таблица37589101114[[#This Row],[RASXOD]]</f>
        <v>30</v>
      </c>
      <c r="O174" s="77" t="s">
        <v>1433</v>
      </c>
    </row>
    <row r="175" spans="1:15" s="83" customFormat="1" x14ac:dyDescent="0.3">
      <c r="A175" s="112">
        <v>174</v>
      </c>
      <c r="B175" s="76" t="s">
        <v>13</v>
      </c>
      <c r="C175" s="77" t="s">
        <v>502</v>
      </c>
      <c r="D175" s="78" t="s">
        <v>18</v>
      </c>
      <c r="E175" s="78" t="s">
        <v>15</v>
      </c>
      <c r="F175" s="79">
        <v>358088350517572</v>
      </c>
      <c r="G175" s="78"/>
      <c r="H175" s="80">
        <v>45813</v>
      </c>
      <c r="I175" s="81">
        <v>475</v>
      </c>
      <c r="J175" s="81"/>
      <c r="K175" s="80">
        <v>45865</v>
      </c>
      <c r="L175" s="82">
        <f>Таблица3[[#This Row],[OLINGAN NARXI $]]+Таблица3[[#This Row],[RASXOD]]</f>
        <v>40</v>
      </c>
      <c r="M175" s="81">
        <v>560</v>
      </c>
      <c r="N175" s="81">
        <v>85</v>
      </c>
      <c r="O175" s="77" t="s">
        <v>19</v>
      </c>
    </row>
    <row r="176" spans="1:15" s="56" customFormat="1" x14ac:dyDescent="0.3">
      <c r="A176" s="112">
        <v>175</v>
      </c>
      <c r="B176" s="50" t="s">
        <v>16</v>
      </c>
      <c r="C176" s="51" t="s">
        <v>88</v>
      </c>
      <c r="D176" s="52" t="s">
        <v>65</v>
      </c>
      <c r="E176" s="52" t="s">
        <v>15</v>
      </c>
      <c r="F176" s="53">
        <v>354300906035783</v>
      </c>
      <c r="G176" s="52"/>
      <c r="H176" s="54">
        <v>45826</v>
      </c>
      <c r="I176" s="55">
        <v>320</v>
      </c>
      <c r="J176" s="55"/>
      <c r="K176" s="54">
        <v>45866</v>
      </c>
      <c r="L176" s="72">
        <f>Таблица3[[#This Row],[OLINGAN NARXI $]]+Таблица3[[#This Row],[RASXOD]]</f>
        <v>292</v>
      </c>
      <c r="M176" s="55">
        <v>380</v>
      </c>
      <c r="N176" s="55">
        <v>60</v>
      </c>
      <c r="O176" s="51" t="s">
        <v>19</v>
      </c>
    </row>
    <row r="177" spans="1:15" s="83" customFormat="1" x14ac:dyDescent="0.3">
      <c r="A177" s="112">
        <v>176</v>
      </c>
      <c r="B177" s="76" t="s">
        <v>16</v>
      </c>
      <c r="C177" s="77" t="s">
        <v>1084</v>
      </c>
      <c r="D177" s="78" t="s">
        <v>21</v>
      </c>
      <c r="E177" s="78" t="s">
        <v>15</v>
      </c>
      <c r="F177" s="79">
        <v>350343686186446</v>
      </c>
      <c r="G177" s="78"/>
      <c r="H177" s="80">
        <v>45828</v>
      </c>
      <c r="I177" s="81">
        <v>640</v>
      </c>
      <c r="J177" s="81"/>
      <c r="K177" s="80">
        <v>45866</v>
      </c>
      <c r="L177" s="82">
        <f>Таблица3[[#This Row],[OLINGAN NARXI $]]+Таблица3[[#This Row],[RASXOD]]</f>
        <v>24</v>
      </c>
      <c r="M177" s="81">
        <v>750</v>
      </c>
      <c r="N177" s="81">
        <v>110</v>
      </c>
      <c r="O177" s="77" t="s">
        <v>1366</v>
      </c>
    </row>
    <row r="178" spans="1:15" s="105" customFormat="1" x14ac:dyDescent="0.3">
      <c r="A178" s="112">
        <v>177</v>
      </c>
      <c r="B178" s="100" t="s">
        <v>16</v>
      </c>
      <c r="C178" s="101" t="s">
        <v>1083</v>
      </c>
      <c r="D178" s="102" t="s">
        <v>21</v>
      </c>
      <c r="E178" s="102" t="s">
        <v>22</v>
      </c>
      <c r="F178" s="10">
        <v>351131122503012</v>
      </c>
      <c r="G178" s="102" t="s">
        <v>145</v>
      </c>
      <c r="H178" s="103">
        <v>45786</v>
      </c>
      <c r="I178" s="26">
        <v>450</v>
      </c>
      <c r="J178" s="26">
        <v>23</v>
      </c>
      <c r="K178" s="103">
        <v>45866</v>
      </c>
      <c r="L178" s="104">
        <f>Таблица3[[#This Row],[OLINGAN NARXI $]]+Таблица3[[#This Row],[RASXOD]]</f>
        <v>80</v>
      </c>
      <c r="M178" s="26">
        <v>600</v>
      </c>
      <c r="N178" s="26">
        <v>127</v>
      </c>
      <c r="O178" s="101" t="s">
        <v>1188</v>
      </c>
    </row>
    <row r="179" spans="1:15" s="105" customFormat="1" x14ac:dyDescent="0.3">
      <c r="A179" s="112">
        <v>178</v>
      </c>
      <c r="B179" s="100" t="s">
        <v>16</v>
      </c>
      <c r="C179" s="101" t="s">
        <v>74</v>
      </c>
      <c r="D179" s="102" t="s">
        <v>35</v>
      </c>
      <c r="E179" s="102" t="s">
        <v>15</v>
      </c>
      <c r="F179" s="10">
        <v>351942135568200</v>
      </c>
      <c r="G179" s="102"/>
      <c r="H179" s="103">
        <v>45844</v>
      </c>
      <c r="I179" s="26">
        <v>535</v>
      </c>
      <c r="J179" s="26"/>
      <c r="K179" s="103">
        <v>45866</v>
      </c>
      <c r="L179" s="104">
        <f>Таблица3[[#This Row],[OLINGAN NARXI $]]+Таблица3[[#This Row],[RASXOD]]</f>
        <v>56</v>
      </c>
      <c r="M179" s="26">
        <v>600</v>
      </c>
      <c r="N179" s="26">
        <v>65</v>
      </c>
      <c r="O179" s="101" t="s">
        <v>1434</v>
      </c>
    </row>
    <row r="180" spans="1:15" s="105" customFormat="1" x14ac:dyDescent="0.3">
      <c r="A180" s="112">
        <v>179</v>
      </c>
      <c r="B180" s="100" t="s">
        <v>16</v>
      </c>
      <c r="C180" s="101" t="s">
        <v>165</v>
      </c>
      <c r="D180" s="102" t="s">
        <v>45</v>
      </c>
      <c r="E180" s="102" t="s">
        <v>15</v>
      </c>
      <c r="F180" s="10">
        <v>357288096708805</v>
      </c>
      <c r="G180" s="102" t="s">
        <v>1507</v>
      </c>
      <c r="H180" s="103">
        <v>45859</v>
      </c>
      <c r="I180" s="26">
        <v>130</v>
      </c>
      <c r="J180" s="26"/>
      <c r="K180" s="103">
        <v>45866</v>
      </c>
      <c r="L180" s="104">
        <f>Таблица3[[#This Row],[OLINGAN NARXI $]]+Таблица3[[#This Row],[RASXOD]]</f>
        <v>0</v>
      </c>
      <c r="M180" s="26">
        <v>200</v>
      </c>
      <c r="N180" s="26">
        <v>70</v>
      </c>
      <c r="O180" s="101">
        <v>773910773</v>
      </c>
    </row>
    <row r="181" spans="1:15" s="83" customFormat="1" x14ac:dyDescent="0.3">
      <c r="A181" s="112">
        <v>180</v>
      </c>
      <c r="B181" s="76" t="s">
        <v>13</v>
      </c>
      <c r="C181" s="77" t="s">
        <v>119</v>
      </c>
      <c r="D181" s="78" t="s">
        <v>97</v>
      </c>
      <c r="E181" s="78" t="s">
        <v>15</v>
      </c>
      <c r="F181" s="79">
        <v>355742974630566</v>
      </c>
      <c r="G181" s="78"/>
      <c r="H181" s="80">
        <v>45864</v>
      </c>
      <c r="I181" s="81">
        <v>280</v>
      </c>
      <c r="J181" s="81"/>
      <c r="K181" s="80">
        <v>45866</v>
      </c>
      <c r="L181" s="82">
        <f>Таблица3[[#This Row],[OLINGAN NARXI $]]+Таблица3[[#This Row],[RASXOD]]</f>
        <v>0</v>
      </c>
      <c r="M181" s="81">
        <v>345</v>
      </c>
      <c r="N181" s="81">
        <v>65</v>
      </c>
      <c r="O181" s="77" t="s">
        <v>1534</v>
      </c>
    </row>
    <row r="182" spans="1:15" s="83" customFormat="1" x14ac:dyDescent="0.3">
      <c r="A182" s="112">
        <v>181</v>
      </c>
      <c r="B182" s="76" t="s">
        <v>16</v>
      </c>
      <c r="C182" s="77" t="s">
        <v>490</v>
      </c>
      <c r="D182" s="78"/>
      <c r="E182" s="78"/>
      <c r="F182" s="79"/>
      <c r="G182" s="78"/>
      <c r="H182" s="80">
        <v>45867</v>
      </c>
      <c r="I182" s="81">
        <v>30</v>
      </c>
      <c r="J182" s="81"/>
      <c r="K182" s="80">
        <v>45866</v>
      </c>
      <c r="L182" s="82">
        <f>Таблица37589101114[[#This Row],[OLINGAN NARXI $]]+Таблица37589101114[[#This Row],[RASXOD]]</f>
        <v>30</v>
      </c>
      <c r="M182" s="81">
        <v>30</v>
      </c>
      <c r="N182" s="81">
        <v>30</v>
      </c>
      <c r="O182" s="77" t="s">
        <v>1545</v>
      </c>
    </row>
    <row r="183" spans="1:15" s="83" customFormat="1" x14ac:dyDescent="0.3">
      <c r="A183" s="112">
        <v>182</v>
      </c>
      <c r="B183" s="76" t="s">
        <v>16</v>
      </c>
      <c r="C183" s="77" t="s">
        <v>490</v>
      </c>
      <c r="D183" s="78"/>
      <c r="E183" s="78"/>
      <c r="F183" s="79"/>
      <c r="G183" s="78"/>
      <c r="H183" s="80">
        <v>45867</v>
      </c>
      <c r="I183" s="81">
        <v>50</v>
      </c>
      <c r="J183" s="81"/>
      <c r="K183" s="80">
        <v>45867</v>
      </c>
      <c r="L183" s="82">
        <f>Таблица37589101114[[#This Row],[OLINGAN NARXI $]]+Таблица37589101114[[#This Row],[RASXOD]]</f>
        <v>50</v>
      </c>
      <c r="M183" s="81">
        <v>50</v>
      </c>
      <c r="N183" s="81">
        <v>50</v>
      </c>
      <c r="O183" s="77" t="s">
        <v>1545</v>
      </c>
    </row>
    <row r="184" spans="1:15" s="99" customFormat="1" x14ac:dyDescent="0.3">
      <c r="A184" s="112">
        <v>183</v>
      </c>
      <c r="B184" s="92" t="s">
        <v>16</v>
      </c>
      <c r="C184" s="93" t="s">
        <v>452</v>
      </c>
      <c r="D184" s="94" t="s">
        <v>18</v>
      </c>
      <c r="E184" s="94" t="s">
        <v>15</v>
      </c>
      <c r="F184" s="95">
        <v>353061288014876</v>
      </c>
      <c r="G184" s="94"/>
      <c r="H184" s="96">
        <v>45864</v>
      </c>
      <c r="I184" s="97">
        <v>140</v>
      </c>
      <c r="J184" s="97">
        <v>8</v>
      </c>
      <c r="K184" s="96">
        <v>45867</v>
      </c>
      <c r="L184" s="98">
        <f>Таблица3[[#This Row],[OLINGAN NARXI $]]+Таблица3[[#This Row],[RASXOD]]</f>
        <v>0</v>
      </c>
      <c r="M184" s="97">
        <v>270</v>
      </c>
      <c r="N184" s="97">
        <v>122</v>
      </c>
      <c r="O184" s="93">
        <v>938847588</v>
      </c>
    </row>
    <row r="185" spans="1:15" s="99" customFormat="1" x14ac:dyDescent="0.3">
      <c r="A185" s="112">
        <v>184</v>
      </c>
      <c r="B185" s="92" t="s">
        <v>16</v>
      </c>
      <c r="C185" s="93" t="s">
        <v>1083</v>
      </c>
      <c r="D185" s="94" t="s">
        <v>35</v>
      </c>
      <c r="E185" s="94" t="s">
        <v>15</v>
      </c>
      <c r="F185" s="95">
        <v>351553266035859</v>
      </c>
      <c r="G185" s="94"/>
      <c r="H185" s="96">
        <v>45860</v>
      </c>
      <c r="I185" s="97">
        <v>475</v>
      </c>
      <c r="J185" s="97"/>
      <c r="K185" s="96">
        <v>45867</v>
      </c>
      <c r="L185" s="98">
        <f>Таблица3[[#This Row],[OLINGAN NARXI $]]+Таблица3[[#This Row],[RASXOD]]</f>
        <v>0</v>
      </c>
      <c r="M185" s="97">
        <v>590</v>
      </c>
      <c r="N185" s="97">
        <v>115</v>
      </c>
      <c r="O185" s="93" t="s">
        <v>1511</v>
      </c>
    </row>
    <row r="186" spans="1:15" s="83" customFormat="1" x14ac:dyDescent="0.3">
      <c r="A186" s="112">
        <v>185</v>
      </c>
      <c r="B186" s="76" t="s">
        <v>13</v>
      </c>
      <c r="C186" s="77" t="s">
        <v>115</v>
      </c>
      <c r="D186" s="78" t="s">
        <v>35</v>
      </c>
      <c r="E186" s="78" t="s">
        <v>15</v>
      </c>
      <c r="F186" s="79">
        <v>359506140559017</v>
      </c>
      <c r="G186" s="78" t="s">
        <v>1333</v>
      </c>
      <c r="H186" s="80">
        <v>45821</v>
      </c>
      <c r="I186" s="81">
        <v>175</v>
      </c>
      <c r="J186" s="81"/>
      <c r="K186" s="80">
        <v>45868</v>
      </c>
      <c r="L186" s="82">
        <f>Таблица3[[#This Row],[OLINGAN NARXI $]]+Таблица3[[#This Row],[RASXOD]]</f>
        <v>0</v>
      </c>
      <c r="M186" s="81">
        <v>240</v>
      </c>
      <c r="N186" s="81">
        <v>65</v>
      </c>
      <c r="O186" s="77">
        <v>970390949</v>
      </c>
    </row>
    <row r="187" spans="1:15" s="83" customFormat="1" x14ac:dyDescent="0.3">
      <c r="A187" s="112">
        <v>186</v>
      </c>
      <c r="B187" s="76" t="s">
        <v>16</v>
      </c>
      <c r="C187" s="77" t="s">
        <v>32</v>
      </c>
      <c r="D187" s="78" t="s">
        <v>65</v>
      </c>
      <c r="E187" s="78" t="s">
        <v>15</v>
      </c>
      <c r="F187" s="79">
        <v>350719113636485</v>
      </c>
      <c r="G187" s="78"/>
      <c r="H187" s="80">
        <v>45859</v>
      </c>
      <c r="I187" s="81">
        <v>700</v>
      </c>
      <c r="J187" s="81"/>
      <c r="K187" s="80">
        <v>45868</v>
      </c>
      <c r="L187" s="82">
        <f>Таблица3[[#This Row],[OLINGAN NARXI $]]+Таблица3[[#This Row],[RASXOD]]</f>
        <v>0</v>
      </c>
      <c r="M187" s="81">
        <v>750</v>
      </c>
      <c r="N187" s="81">
        <v>50</v>
      </c>
      <c r="O187" s="77"/>
    </row>
    <row r="188" spans="1:15" s="134" customFormat="1" x14ac:dyDescent="0.3">
      <c r="A188" s="112">
        <v>187</v>
      </c>
      <c r="B188" s="127" t="s">
        <v>16</v>
      </c>
      <c r="C188" s="128" t="s">
        <v>312</v>
      </c>
      <c r="D188" s="127" t="s">
        <v>65</v>
      </c>
      <c r="E188" s="129" t="s">
        <v>22</v>
      </c>
      <c r="F188" s="130">
        <v>356514419158548</v>
      </c>
      <c r="G188" s="129"/>
      <c r="H188" s="131">
        <v>45863</v>
      </c>
      <c r="I188" s="132">
        <v>570</v>
      </c>
      <c r="J188" s="132"/>
      <c r="K188" s="131">
        <v>45868</v>
      </c>
      <c r="L188" s="133">
        <f>Таблица37589101114[[#This Row],[OLINGAN NARXI $]]+Таблица37589101114[[#This Row],[RASXOD]]</f>
        <v>570</v>
      </c>
      <c r="M188" s="132">
        <v>640</v>
      </c>
      <c r="N188" s="132">
        <v>35</v>
      </c>
      <c r="O188" s="128"/>
    </row>
    <row r="189" spans="1:15" s="83" customFormat="1" x14ac:dyDescent="0.3">
      <c r="A189" s="112">
        <v>188</v>
      </c>
      <c r="B189" s="76" t="s">
        <v>207</v>
      </c>
      <c r="C189" s="77" t="s">
        <v>1069</v>
      </c>
      <c r="D189" s="78"/>
      <c r="E189" s="78"/>
      <c r="F189" s="79"/>
      <c r="G189" s="78"/>
      <c r="H189" s="80">
        <v>45868</v>
      </c>
      <c r="I189" s="81">
        <v>250</v>
      </c>
      <c r="J189" s="81"/>
      <c r="K189" s="80">
        <v>45869</v>
      </c>
      <c r="L189" s="82">
        <f>Таблица37589101114[[#This Row],[OLINGAN NARXI $]]+Таблица37589101114[[#This Row],[RASXOD]]</f>
        <v>250</v>
      </c>
      <c r="M189" s="81">
        <v>270</v>
      </c>
      <c r="N189" s="81">
        <f>Таблица37589101114[[#This Row],[SOTILGAN NARXI]]-Таблица37589101114[[#This Row],[OLINGAN NARXI $]]-Таблица37589101114[[#This Row],[RASXOD]]</f>
        <v>20</v>
      </c>
      <c r="O189" s="77" t="s">
        <v>446</v>
      </c>
    </row>
    <row r="190" spans="1:15" s="83" customFormat="1" x14ac:dyDescent="0.3">
      <c r="A190" s="112">
        <v>189</v>
      </c>
      <c r="B190" s="76" t="s">
        <v>13</v>
      </c>
      <c r="C190" s="77" t="s">
        <v>119</v>
      </c>
      <c r="D190" s="78" t="s">
        <v>21</v>
      </c>
      <c r="E190" s="78" t="s">
        <v>15</v>
      </c>
      <c r="F190" s="79">
        <v>350865890347794</v>
      </c>
      <c r="G190" s="78"/>
      <c r="H190" s="80">
        <v>45843</v>
      </c>
      <c r="I190" s="81">
        <v>270</v>
      </c>
      <c r="J190" s="81"/>
      <c r="K190" s="80">
        <v>45869</v>
      </c>
      <c r="L190" s="82">
        <f>Таблица3[[#This Row],[OLINGAN NARXI $]]+Таблица3[[#This Row],[RASXOD]]</f>
        <v>0</v>
      </c>
      <c r="M190" s="81">
        <v>340</v>
      </c>
      <c r="N190" s="81">
        <v>70</v>
      </c>
      <c r="O190" s="77">
        <v>917789653</v>
      </c>
    </row>
    <row r="191" spans="1:15" s="134" customFormat="1" x14ac:dyDescent="0.3">
      <c r="A191" s="112">
        <v>190</v>
      </c>
      <c r="B191" s="127" t="s">
        <v>16</v>
      </c>
      <c r="C191" s="128" t="s">
        <v>1125</v>
      </c>
      <c r="D191" s="127" t="s">
        <v>21</v>
      </c>
      <c r="E191" s="129" t="s">
        <v>15</v>
      </c>
      <c r="F191" s="130">
        <v>350666976817894</v>
      </c>
      <c r="G191" s="127"/>
      <c r="H191" s="131">
        <v>45852</v>
      </c>
      <c r="I191" s="132">
        <v>400</v>
      </c>
      <c r="J191" s="132"/>
      <c r="K191" s="131">
        <v>45869</v>
      </c>
      <c r="L191" s="133">
        <f>Таблица37589101114[[#This Row],[OLINGAN NARXI $]]+Таблица37589101114[[#This Row],[RASXOD]]</f>
        <v>400</v>
      </c>
      <c r="M191" s="132">
        <v>480</v>
      </c>
      <c r="N191" s="132">
        <v>40</v>
      </c>
      <c r="O191" s="128"/>
    </row>
    <row r="192" spans="1:15" s="83" customFormat="1" ht="15" customHeight="1" x14ac:dyDescent="0.3">
      <c r="A192" s="112">
        <v>191</v>
      </c>
      <c r="B192" s="76" t="s">
        <v>13</v>
      </c>
      <c r="C192" s="77" t="s">
        <v>384</v>
      </c>
      <c r="D192" s="78" t="s">
        <v>1123</v>
      </c>
      <c r="E192" s="78" t="s">
        <v>15</v>
      </c>
      <c r="F192" s="79">
        <v>353561331803654</v>
      </c>
      <c r="G192" s="78" t="s">
        <v>145</v>
      </c>
      <c r="H192" s="80">
        <v>45778</v>
      </c>
      <c r="I192" s="81">
        <v>169</v>
      </c>
      <c r="J192" s="81"/>
      <c r="K192" s="80">
        <v>45869</v>
      </c>
      <c r="L192" s="82">
        <f>Таблица3[[#This Row],[OLINGAN NARXI $]]+Таблица3[[#This Row],[RASXOD]]</f>
        <v>30</v>
      </c>
      <c r="M192" s="81">
        <v>260</v>
      </c>
      <c r="N192" s="81">
        <v>91</v>
      </c>
      <c r="O192" s="77"/>
    </row>
    <row r="193" spans="1:15" s="83" customFormat="1" x14ac:dyDescent="0.3">
      <c r="A193" s="112">
        <v>192</v>
      </c>
      <c r="B193" s="76" t="s">
        <v>16</v>
      </c>
      <c r="C193" s="77" t="s">
        <v>25</v>
      </c>
      <c r="D193" s="78" t="s">
        <v>26</v>
      </c>
      <c r="E193" s="78" t="s">
        <v>22</v>
      </c>
      <c r="F193" s="79">
        <v>354784327110897</v>
      </c>
      <c r="G193" s="78"/>
      <c r="H193" s="80">
        <v>45868</v>
      </c>
      <c r="I193" s="81">
        <v>850</v>
      </c>
      <c r="J193" s="81"/>
      <c r="K193" s="80">
        <v>45869</v>
      </c>
      <c r="L193" s="82">
        <f>Таблица3[[#This Row],[OLINGAN NARXI $]]+Таблица3[[#This Row],[RASXOD]]</f>
        <v>48</v>
      </c>
      <c r="M193" s="81">
        <v>930</v>
      </c>
      <c r="N193" s="81">
        <v>80</v>
      </c>
      <c r="O193" s="77">
        <v>991177443</v>
      </c>
    </row>
    <row r="194" spans="1:15" s="134" customFormat="1" x14ac:dyDescent="0.3">
      <c r="A194" s="112">
        <v>193</v>
      </c>
      <c r="B194" s="127" t="s">
        <v>16</v>
      </c>
      <c r="C194" s="128" t="s">
        <v>1368</v>
      </c>
      <c r="D194" s="127" t="s">
        <v>45</v>
      </c>
      <c r="E194" s="129" t="s">
        <v>22</v>
      </c>
      <c r="F194" s="130">
        <v>353781188242018</v>
      </c>
      <c r="G194" s="127"/>
      <c r="H194" s="131">
        <v>45855</v>
      </c>
      <c r="I194" s="132">
        <v>320</v>
      </c>
      <c r="J194" s="132"/>
      <c r="K194" s="131">
        <v>45869</v>
      </c>
      <c r="L194" s="133">
        <f>Таблица37589101114[[#This Row],[OLINGAN NARXI $]]+Таблица37589101114[[#This Row],[RASXOD]]</f>
        <v>320</v>
      </c>
      <c r="M194" s="132">
        <v>379</v>
      </c>
      <c r="N194" s="132">
        <v>29.5</v>
      </c>
      <c r="O194" s="128"/>
    </row>
    <row r="195" spans="1:15" s="99" customFormat="1" x14ac:dyDescent="0.3">
      <c r="A195" s="112">
        <v>194</v>
      </c>
      <c r="B195" s="92" t="s">
        <v>1015</v>
      </c>
      <c r="C195" s="93">
        <v>4</v>
      </c>
      <c r="D195" s="94" t="s">
        <v>18</v>
      </c>
      <c r="E195" s="94" t="s">
        <v>15</v>
      </c>
      <c r="F195" s="95"/>
      <c r="G195" s="94"/>
      <c r="H195" s="96">
        <v>45852</v>
      </c>
      <c r="I195" s="97">
        <v>40</v>
      </c>
      <c r="J195" s="97"/>
      <c r="K195" s="96">
        <v>45869</v>
      </c>
      <c r="L195" s="98">
        <f>Таблица3[[#This Row],[OLINGAN NARXI $]]+Таблица3[[#This Row],[RASXOD]]</f>
        <v>490</v>
      </c>
      <c r="M195" s="97">
        <v>60</v>
      </c>
      <c r="N195" s="97">
        <v>20</v>
      </c>
      <c r="O195" s="93" t="s">
        <v>262</v>
      </c>
    </row>
    <row r="196" spans="1:15" s="134" customFormat="1" x14ac:dyDescent="0.3">
      <c r="A196" s="112">
        <v>195</v>
      </c>
      <c r="B196" s="127" t="s">
        <v>16</v>
      </c>
      <c r="C196" s="128" t="s">
        <v>267</v>
      </c>
      <c r="D196" s="127" t="s">
        <v>45</v>
      </c>
      <c r="E196" s="129" t="s">
        <v>15</v>
      </c>
      <c r="F196" s="130">
        <v>353955104083983</v>
      </c>
      <c r="G196" s="127" t="s">
        <v>1471</v>
      </c>
      <c r="H196" s="131">
        <v>45853</v>
      </c>
      <c r="I196" s="132">
        <v>210</v>
      </c>
      <c r="J196" s="132">
        <v>12</v>
      </c>
      <c r="K196" s="131">
        <v>45869</v>
      </c>
      <c r="L196" s="133">
        <f>Таблица37589101114[[#This Row],[OLINGAN NARXI $]]+Таблица37589101114[[#This Row],[RASXOD]]</f>
        <v>222</v>
      </c>
      <c r="M196" s="132">
        <v>280</v>
      </c>
      <c r="N196" s="132">
        <v>29</v>
      </c>
      <c r="O196" s="128"/>
    </row>
    <row r="197" spans="1:15" x14ac:dyDescent="0.3">
      <c r="A197" s="112">
        <v>196</v>
      </c>
      <c r="B197" s="23"/>
      <c r="C197" s="6"/>
      <c r="D197" s="1"/>
      <c r="E197" s="1"/>
      <c r="F197" s="3"/>
      <c r="G197" s="1"/>
      <c r="H197" s="43"/>
      <c r="I197" s="1"/>
      <c r="J197" s="4"/>
      <c r="K197" s="5"/>
      <c r="L197" s="58">
        <f>Таблица37589101114[[#This Row],[OLINGAN NARXI $]]+Таблица37589101114[[#This Row],[RASXOD]]</f>
        <v>0</v>
      </c>
      <c r="M197" s="1"/>
      <c r="N197" s="4">
        <f>Таблица37589101114[[#This Row],[SOTILGAN NARXI]]-Таблица37589101114[[#This Row],[OLINGAN NARXI $]]-Таблица37589101114[[#This Row],[RASXOD]]</f>
        <v>0</v>
      </c>
      <c r="O197" s="6"/>
    </row>
    <row r="198" spans="1:15" x14ac:dyDescent="0.3">
      <c r="A198" s="112"/>
      <c r="B198" s="23"/>
      <c r="C198" s="91" t="s">
        <v>1130</v>
      </c>
      <c r="D198" s="24" t="s">
        <v>1131</v>
      </c>
      <c r="E198" s="1"/>
      <c r="F198" s="34" t="s">
        <v>237</v>
      </c>
      <c r="G198" s="35" t="s">
        <v>238</v>
      </c>
      <c r="H198" s="43"/>
      <c r="I198" s="1"/>
      <c r="J198" s="4"/>
      <c r="K198" s="28"/>
      <c r="L198" s="58">
        <f>Таблица37589101114[[#This Row],[OLINGAN NARXI $]]+Таблица37589101114[[#This Row],[RASXOD]]</f>
        <v>0</v>
      </c>
      <c r="M198" s="1"/>
      <c r="N198" s="4">
        <f>Таблица37589101114[[#This Row],[SOTILGAN NARXI]]-Таблица37589101114[[#This Row],[OLINGAN NARXI $]]-Таблица37589101114[[#This Row],[RASXOD]]</f>
        <v>0</v>
      </c>
      <c r="O198" s="6"/>
    </row>
    <row r="199" spans="1:15" x14ac:dyDescent="0.3">
      <c r="A199" s="112"/>
      <c r="B199" s="23"/>
      <c r="C199" s="89" t="s">
        <v>226</v>
      </c>
      <c r="D199" s="90">
        <v>27</v>
      </c>
      <c r="E199" s="1"/>
      <c r="F199" s="17" t="s">
        <v>1309</v>
      </c>
      <c r="G199" s="18">
        <v>304</v>
      </c>
      <c r="H199" s="2"/>
      <c r="I199" s="1"/>
      <c r="J199" s="4"/>
      <c r="K199" s="28"/>
      <c r="L199" s="58">
        <f>Таблица37589101114[[#This Row],[OLINGAN NARXI $]]+Таблица37589101114[[#This Row],[RASXOD]]</f>
        <v>0</v>
      </c>
      <c r="M199" s="1"/>
      <c r="N199" s="4">
        <f>Таблица37589101114[[#This Row],[SOTILGAN NARXI]]-Таблица37589101114[[#This Row],[OLINGAN NARXI $]]-Таблица37589101114[[#This Row],[RASXOD]]</f>
        <v>0</v>
      </c>
      <c r="O199" s="6"/>
    </row>
    <row r="200" spans="1:15" x14ac:dyDescent="0.3">
      <c r="A200" s="113"/>
      <c r="B200" s="23"/>
      <c r="C200" s="86" t="s">
        <v>1132</v>
      </c>
      <c r="D200" s="87">
        <v>27</v>
      </c>
      <c r="E200" s="1"/>
      <c r="F200" s="17" t="s">
        <v>1421</v>
      </c>
      <c r="G200" s="18">
        <v>122</v>
      </c>
      <c r="H200" s="2"/>
      <c r="I200" s="1"/>
      <c r="J200" s="4"/>
      <c r="K200" s="5"/>
      <c r="L200" s="58">
        <f>Таблица37589101114[[#This Row],[OLINGAN NARXI $]]+Таблица37589101114[[#This Row],[RASXOD]]</f>
        <v>0</v>
      </c>
      <c r="M200" s="1"/>
      <c r="N200" s="4">
        <f>Таблица37589101114[[#This Row],[SOTILGAN NARXI]]-Таблица37589101114[[#This Row],[OLINGAN NARXI $]]-Таблица37589101114[[#This Row],[RASXOD]]</f>
        <v>0</v>
      </c>
      <c r="O200" s="6"/>
    </row>
    <row r="201" spans="1:15" x14ac:dyDescent="0.3">
      <c r="A201" s="113"/>
      <c r="B201" s="23"/>
      <c r="C201" s="88" t="s">
        <v>1133</v>
      </c>
      <c r="D201" s="15">
        <v>106</v>
      </c>
      <c r="E201" s="1"/>
      <c r="F201" s="19" t="s">
        <v>1425</v>
      </c>
      <c r="G201" s="21">
        <v>535</v>
      </c>
      <c r="H201" s="2"/>
      <c r="I201" s="1"/>
      <c r="J201" s="4"/>
      <c r="K201" s="5"/>
      <c r="L201" s="58">
        <f>Таблица37589101114[[#This Row],[OLINGAN NARXI $]]+Таблица37589101114[[#This Row],[RASXOD]]</f>
        <v>0</v>
      </c>
      <c r="M201" s="1"/>
      <c r="N201" s="4">
        <f>Таблица37589101114[[#This Row],[SOTILGAN NARXI]]-Таблица37589101114[[#This Row],[OLINGAN NARXI $]]-Таблица37589101114[[#This Row],[RASXOD]]</f>
        <v>0</v>
      </c>
      <c r="O201" s="6"/>
    </row>
    <row r="202" spans="1:15" x14ac:dyDescent="0.3">
      <c r="A202" s="113"/>
      <c r="B202" s="23"/>
      <c r="C202" s="137" t="s">
        <v>1378</v>
      </c>
      <c r="D202" s="138">
        <v>32</v>
      </c>
      <c r="E202" s="1"/>
      <c r="F202" s="33" t="s">
        <v>1432</v>
      </c>
      <c r="G202" s="18">
        <v>112</v>
      </c>
      <c r="H202" s="2"/>
      <c r="I202" s="1"/>
      <c r="J202" s="4"/>
      <c r="K202" s="5"/>
      <c r="L202" s="58">
        <f>Таблица37589101114[[#This Row],[OLINGAN NARXI $]]+Таблица37589101114[[#This Row],[RASXOD]]</f>
        <v>0</v>
      </c>
      <c r="M202" s="1"/>
      <c r="N202" s="4">
        <f>Таблица37589101114[[#This Row],[SOTILGAN NARXI]]-Таблица37589101114[[#This Row],[OLINGAN NARXI $]]-Таблица37589101114[[#This Row],[RASXOD]]</f>
        <v>0</v>
      </c>
      <c r="O202" s="6"/>
    </row>
    <row r="203" spans="1:15" x14ac:dyDescent="0.3">
      <c r="A203" s="113"/>
      <c r="B203" s="23"/>
      <c r="C203" s="17" t="s">
        <v>1450</v>
      </c>
      <c r="D203" s="18">
        <v>1</v>
      </c>
      <c r="E203" s="1"/>
      <c r="F203" s="19" t="s">
        <v>8</v>
      </c>
      <c r="G203" s="21">
        <v>68.7</v>
      </c>
      <c r="H203" s="2"/>
      <c r="I203" s="1"/>
      <c r="J203" s="4"/>
      <c r="K203" s="5"/>
      <c r="L203" s="58">
        <f>Таблица37589101114[[#This Row],[OLINGAN NARXI $]]+Таблица37589101114[[#This Row],[RASXOD]]</f>
        <v>0</v>
      </c>
      <c r="M203" s="1"/>
      <c r="N203" s="4">
        <f>Таблица37589101114[[#This Row],[SOTILGAN NARXI]]-Таблица37589101114[[#This Row],[OLINGAN NARXI $]]-Таблица37589101114[[#This Row],[RASXOD]]</f>
        <v>0</v>
      </c>
      <c r="O203" s="6"/>
    </row>
    <row r="204" spans="1:15" x14ac:dyDescent="0.3">
      <c r="A204" s="113"/>
      <c r="B204" s="23"/>
      <c r="C204" s="6"/>
      <c r="D204" s="1"/>
      <c r="E204" s="1"/>
      <c r="F204" s="33" t="s">
        <v>1435</v>
      </c>
      <c r="G204" s="21">
        <v>47</v>
      </c>
      <c r="H204" s="2"/>
      <c r="I204" s="1"/>
      <c r="J204" s="4"/>
      <c r="K204" s="5"/>
      <c r="L204" s="58">
        <f>Таблица37589101114[[#This Row],[OLINGAN NARXI $]]+Таблица37589101114[[#This Row],[RASXOD]]</f>
        <v>0</v>
      </c>
      <c r="M204" s="1"/>
      <c r="N204" s="4">
        <f>Таблица37589101114[[#This Row],[SOTILGAN NARXI]]-Таблица37589101114[[#This Row],[OLINGAN NARXI $]]-Таблица37589101114[[#This Row],[RASXOD]]</f>
        <v>0</v>
      </c>
      <c r="O204" s="6"/>
    </row>
    <row r="205" spans="1:15" x14ac:dyDescent="0.3">
      <c r="A205" s="113"/>
      <c r="B205" s="23"/>
      <c r="C205" s="6" t="s">
        <v>226</v>
      </c>
      <c r="D205" s="23" t="s">
        <v>1548</v>
      </c>
      <c r="E205" s="1"/>
      <c r="F205" s="33" t="s">
        <v>1442</v>
      </c>
      <c r="G205" s="21">
        <v>55</v>
      </c>
      <c r="H205" s="2"/>
      <c r="I205" s="1"/>
      <c r="J205" s="4"/>
      <c r="K205" s="5"/>
      <c r="L205" s="58">
        <f>Таблица37589101114[[#This Row],[OLINGAN NARXI $]]+Таблица37589101114[[#This Row],[RASXOD]]</f>
        <v>0</v>
      </c>
      <c r="M205" s="1"/>
      <c r="N205" s="4">
        <f>Таблица37589101114[[#This Row],[SOTILGAN NARXI]]-Таблица37589101114[[#This Row],[OLINGAN NARXI $]]-Таблица37589101114[[#This Row],[RASXOD]]</f>
        <v>0</v>
      </c>
      <c r="O205" s="6"/>
    </row>
    <row r="206" spans="1:15" x14ac:dyDescent="0.3">
      <c r="A206" s="113"/>
      <c r="B206" s="23"/>
      <c r="C206" s="6" t="s">
        <v>1132</v>
      </c>
      <c r="D206" s="23" t="s">
        <v>1549</v>
      </c>
      <c r="E206" s="1"/>
      <c r="F206" s="33" t="s">
        <v>1325</v>
      </c>
      <c r="G206" s="21">
        <v>600</v>
      </c>
      <c r="H206" s="2"/>
      <c r="I206" s="1"/>
      <c r="J206" s="4"/>
      <c r="K206" s="5"/>
      <c r="L206" s="58">
        <f>Таблица37589101114[[#This Row],[OLINGAN NARXI $]]+Таблица37589101114[[#This Row],[RASXOD]]</f>
        <v>0</v>
      </c>
      <c r="M206" s="1"/>
      <c r="N206" s="4">
        <f>Таблица37589101114[[#This Row],[SOTILGAN NARXI]]-Таблица37589101114[[#This Row],[OLINGAN NARXI $]]-Таблица37589101114[[#This Row],[RASXOD]]</f>
        <v>0</v>
      </c>
      <c r="O206" s="6"/>
    </row>
    <row r="207" spans="1:15" x14ac:dyDescent="0.3">
      <c r="A207" s="113"/>
      <c r="B207" s="23"/>
      <c r="C207" s="6" t="s">
        <v>1450</v>
      </c>
      <c r="D207" s="23">
        <v>870</v>
      </c>
      <c r="E207" s="1"/>
      <c r="F207" s="33" t="s">
        <v>1504</v>
      </c>
      <c r="G207" s="21">
        <v>7.8</v>
      </c>
      <c r="H207" s="2"/>
      <c r="I207" s="1"/>
      <c r="J207" s="4"/>
      <c r="K207" s="5"/>
      <c r="L207" s="58">
        <f>Таблица37589101114[[#This Row],[OLINGAN NARXI $]]+Таблица37589101114[[#This Row],[RASXOD]]</f>
        <v>0</v>
      </c>
      <c r="M207" s="1"/>
      <c r="N207" s="4">
        <f>Таблица37589101114[[#This Row],[SOTILGAN NARXI]]-Таблица37589101114[[#This Row],[OLINGAN NARXI $]]-Таблица37589101114[[#This Row],[RASXOD]]</f>
        <v>0</v>
      </c>
      <c r="O207" s="6"/>
    </row>
    <row r="208" spans="1:15" x14ac:dyDescent="0.3">
      <c r="A208" s="113"/>
      <c r="B208" s="23"/>
      <c r="C208" s="6" t="s">
        <v>1133</v>
      </c>
      <c r="D208" s="23" t="s">
        <v>1550</v>
      </c>
      <c r="E208" s="1"/>
      <c r="F208" s="33" t="s">
        <v>1519</v>
      </c>
      <c r="G208" s="21">
        <v>21.8</v>
      </c>
      <c r="H208" s="2"/>
      <c r="I208" s="1"/>
      <c r="J208" s="4"/>
      <c r="K208" s="5"/>
      <c r="L208" s="58">
        <f>Таблица37589101114[[#This Row],[OLINGAN NARXI $]]+Таблица37589101114[[#This Row],[RASXOD]]</f>
        <v>0</v>
      </c>
      <c r="M208" s="1"/>
      <c r="N208" s="4">
        <f>Таблица37589101114[[#This Row],[SOTILGAN NARXI]]-Таблица37589101114[[#This Row],[OLINGAN NARXI $]]-Таблица37589101114[[#This Row],[RASXOD]]</f>
        <v>0</v>
      </c>
      <c r="O208" s="6"/>
    </row>
    <row r="209" spans="1:15" x14ac:dyDescent="0.3">
      <c r="A209" s="113"/>
      <c r="B209" s="23"/>
      <c r="C209" s="6"/>
      <c r="D209" s="1"/>
      <c r="E209" s="1"/>
      <c r="F209" s="19" t="s">
        <v>1526</v>
      </c>
      <c r="G209" s="21">
        <v>11</v>
      </c>
      <c r="H209" s="2"/>
      <c r="I209" s="1"/>
      <c r="J209" s="4"/>
      <c r="K209" s="5"/>
      <c r="L209" s="58">
        <f>Таблица37589101114[[#This Row],[OLINGAN NARXI $]]+Таблица37589101114[[#This Row],[RASXOD]]</f>
        <v>0</v>
      </c>
      <c r="M209" s="1"/>
      <c r="N209" s="4">
        <f>Таблица37589101114[[#This Row],[SOTILGAN NARXI]]-Таблица37589101114[[#This Row],[OLINGAN NARXI $]]-Таблица37589101114[[#This Row],[RASXOD]]</f>
        <v>0</v>
      </c>
      <c r="O209" s="6"/>
    </row>
    <row r="210" spans="1:15" x14ac:dyDescent="0.3">
      <c r="A210" s="113"/>
      <c r="B210" s="23"/>
      <c r="C210" s="6"/>
      <c r="D210" s="1"/>
      <c r="E210" s="1"/>
      <c r="F210" s="33" t="s">
        <v>1546</v>
      </c>
      <c r="G210" s="21">
        <v>100</v>
      </c>
      <c r="H210" s="2"/>
      <c r="I210" s="1"/>
      <c r="J210" s="4"/>
      <c r="K210" s="28"/>
      <c r="L210" s="58">
        <f>Таблица37589101114[[#This Row],[OLINGAN NARXI $]]+Таблица37589101114[[#This Row],[RASXOD]]</f>
        <v>0</v>
      </c>
      <c r="M210" s="1"/>
      <c r="N210" s="4">
        <f>Таблица37589101114[[#This Row],[SOTILGAN NARXI]]-Таблица37589101114[[#This Row],[OLINGAN NARXI $]]-Таблица37589101114[[#This Row],[RASXOD]]</f>
        <v>0</v>
      </c>
      <c r="O210" s="6"/>
    </row>
    <row r="211" spans="1:15" x14ac:dyDescent="0.3">
      <c r="A211" s="113"/>
      <c r="B211" s="23"/>
      <c r="C211" s="6"/>
      <c r="D211" s="1"/>
      <c r="E211" s="1"/>
      <c r="F211" s="33" t="s">
        <v>1551</v>
      </c>
      <c r="G211" s="18">
        <v>1000</v>
      </c>
      <c r="H211" s="2"/>
      <c r="I211" s="1"/>
      <c r="J211" s="4"/>
      <c r="K211" s="28"/>
      <c r="L211" s="58">
        <f>Таблица37589101114[[#This Row],[OLINGAN NARXI $]]+Таблица37589101114[[#This Row],[RASXOD]]</f>
        <v>0</v>
      </c>
      <c r="M211" s="1"/>
      <c r="N211" s="4">
        <f>Таблица37589101114[[#This Row],[SOTILGAN NARXI]]-Таблица37589101114[[#This Row],[OLINGAN NARXI $]]-Таблица37589101114[[#This Row],[RASXOD]]</f>
        <v>0</v>
      </c>
      <c r="O211" s="6"/>
    </row>
    <row r="212" spans="1:15" x14ac:dyDescent="0.3">
      <c r="A212" s="113"/>
      <c r="B212" s="23"/>
      <c r="C212" s="6"/>
      <c r="D212" s="1"/>
      <c r="E212" s="1"/>
      <c r="F212" s="33" t="s">
        <v>1552</v>
      </c>
      <c r="G212" s="18">
        <v>100</v>
      </c>
      <c r="H212" s="2"/>
      <c r="I212" s="1"/>
      <c r="J212" s="4"/>
      <c r="K212" s="5"/>
      <c r="L212" s="58">
        <f>Таблица37589101114[[#This Row],[OLINGAN NARXI $]]+Таблица37589101114[[#This Row],[RASXOD]]</f>
        <v>0</v>
      </c>
      <c r="M212" s="1"/>
      <c r="N212" s="4">
        <f>Таблица37589101114[[#This Row],[SOTILGAN NARXI]]-Таблица37589101114[[#This Row],[OLINGAN NARXI $]]-Таблица37589101114[[#This Row],[RASXOD]]</f>
        <v>0</v>
      </c>
      <c r="O212" s="6"/>
    </row>
    <row r="213" spans="1:15" x14ac:dyDescent="0.3">
      <c r="A213" s="113"/>
      <c r="B213" s="23"/>
      <c r="C213" s="6"/>
      <c r="D213" s="1"/>
      <c r="E213" s="1"/>
      <c r="F213" s="155"/>
      <c r="G213" s="18"/>
      <c r="H213" s="2"/>
      <c r="I213" s="1"/>
      <c r="J213" s="4"/>
      <c r="K213" s="5"/>
      <c r="L213" s="58">
        <f>Таблица37589101114[[#This Row],[OLINGAN NARXI $]]+Таблица37589101114[[#This Row],[RASXOD]]</f>
        <v>0</v>
      </c>
      <c r="M213" s="1"/>
      <c r="N213" s="4">
        <f>Таблица37589101114[[#This Row],[SOTILGAN NARXI]]-Таблица37589101114[[#This Row],[OLINGAN NARXI $]]-Таблица37589101114[[#This Row],[RASXOD]]</f>
        <v>0</v>
      </c>
      <c r="O213" s="6"/>
    </row>
    <row r="214" spans="1:15" x14ac:dyDescent="0.3">
      <c r="A214" s="113"/>
      <c r="B214" s="23"/>
      <c r="C214" s="6"/>
      <c r="D214" s="1"/>
      <c r="E214" s="1"/>
      <c r="F214" s="33" t="s">
        <v>226</v>
      </c>
      <c r="G214" s="18">
        <v>2337</v>
      </c>
      <c r="H214" s="2"/>
      <c r="I214" s="1"/>
      <c r="J214" s="4"/>
      <c r="K214" s="28"/>
      <c r="L214" s="58">
        <f>Таблица37589101114[[#This Row],[OLINGAN NARXI $]]+Таблица37589101114[[#This Row],[RASXOD]]</f>
        <v>0</v>
      </c>
      <c r="M214" s="1"/>
      <c r="N214" s="4">
        <f>Таблица37589101114[[#This Row],[SOTILGAN NARXI]]-Таблица37589101114[[#This Row],[OLINGAN NARXI $]]-Таблица37589101114[[#This Row],[RASXOD]]</f>
        <v>0</v>
      </c>
      <c r="O214" s="6"/>
    </row>
    <row r="215" spans="1:15" x14ac:dyDescent="0.3">
      <c r="A215" s="113"/>
      <c r="B215" s="23"/>
      <c r="C215" s="6"/>
      <c r="D215" s="1"/>
      <c r="E215" s="1"/>
      <c r="F215" s="33" t="s">
        <v>1439</v>
      </c>
      <c r="G215" s="18">
        <v>1342</v>
      </c>
      <c r="H215" s="2"/>
      <c r="I215" s="1"/>
      <c r="J215" s="4"/>
      <c r="K215" s="28"/>
      <c r="L215" s="58">
        <f>Таблица37589101114[[#This Row],[OLINGAN NARXI $]]+Таблица37589101114[[#This Row],[RASXOD]]</f>
        <v>0</v>
      </c>
      <c r="M215" s="1"/>
      <c r="N215" s="4">
        <f>Таблица37589101114[[#This Row],[SOTILGAN NARXI]]-Таблица37589101114[[#This Row],[OLINGAN NARXI $]]-Таблица37589101114[[#This Row],[RASXOD]]</f>
        <v>0</v>
      </c>
      <c r="O215" s="6"/>
    </row>
    <row r="216" spans="1:15" x14ac:dyDescent="0.3">
      <c r="A216" s="113"/>
      <c r="B216" s="23"/>
      <c r="C216" s="6"/>
      <c r="D216" s="1"/>
      <c r="E216" s="1"/>
      <c r="F216" s="157"/>
      <c r="G216" s="156"/>
      <c r="H216" s="2"/>
      <c r="I216" s="1"/>
      <c r="J216" s="4"/>
      <c r="K216" s="5"/>
      <c r="L216" s="58">
        <f>Таблица37589101114[[#This Row],[OLINGAN NARXI $]]+Таблица37589101114[[#This Row],[RASXOD]]</f>
        <v>0</v>
      </c>
      <c r="M216" s="1"/>
      <c r="N216" s="4">
        <f>Таблица37589101114[[#This Row],[SOTILGAN NARXI]]-Таблица37589101114[[#This Row],[OLINGAN NARXI $]]-Таблица37589101114[[#This Row],[RASXOD]]</f>
        <v>0</v>
      </c>
      <c r="O216" s="6"/>
    </row>
    <row r="217" spans="1:15" x14ac:dyDescent="0.3">
      <c r="A217" s="113"/>
      <c r="B217" s="23"/>
      <c r="C217" s="6"/>
      <c r="D217" s="1"/>
      <c r="E217" s="1"/>
      <c r="F217" s="44" t="s">
        <v>981</v>
      </c>
      <c r="G217" s="45">
        <f>SUM(G199:G215)</f>
        <v>6763.3</v>
      </c>
      <c r="H217" s="2"/>
      <c r="I217" s="1"/>
      <c r="J217" s="4"/>
      <c r="K217" s="28"/>
      <c r="L217" s="58">
        <f>Таблица37589101114[[#This Row],[OLINGAN NARXI $]]+Таблица37589101114[[#This Row],[RASXOD]]</f>
        <v>0</v>
      </c>
      <c r="M217" s="1"/>
      <c r="N217" s="4">
        <f>Таблица37589101114[[#This Row],[SOTILGAN NARXI]]-Таблица37589101114[[#This Row],[OLINGAN NARXI $]]-Таблица37589101114[[#This Row],[RASXOD]]</f>
        <v>0</v>
      </c>
      <c r="O217" s="6"/>
    </row>
    <row r="218" spans="1:15" x14ac:dyDescent="0.3">
      <c r="A218" s="113"/>
      <c r="B218" s="111"/>
      <c r="C218" s="12"/>
      <c r="D218" s="11"/>
      <c r="E218" s="46"/>
      <c r="F218" s="47"/>
      <c r="G218" s="48"/>
      <c r="H218" s="49"/>
      <c r="I218" s="14"/>
      <c r="J218" s="14">
        <f>SUBTOTAL(109,J2:J198)</f>
        <v>747.8</v>
      </c>
      <c r="K218" s="13"/>
      <c r="L218" s="59">
        <f>SUM(L2:L217)</f>
        <v>75707.069999999992</v>
      </c>
      <c r="M218" s="14">
        <f>SUM(M2:M217)</f>
        <v>101669</v>
      </c>
      <c r="N218" s="14">
        <f>SUBTOTAL(109,N2:N217)</f>
        <v>11383.7</v>
      </c>
      <c r="O218" s="12"/>
    </row>
    <row r="219" spans="1:15" x14ac:dyDescent="0.3">
      <c r="B219" s="23"/>
      <c r="C219" s="6"/>
      <c r="D219" s="1"/>
      <c r="E219" s="1"/>
      <c r="F219" s="23"/>
      <c r="G219" s="4"/>
      <c r="H219" s="5"/>
      <c r="I219" s="4"/>
      <c r="J219" s="4"/>
      <c r="K219" s="5"/>
      <c r="L219" s="58"/>
      <c r="M219" s="4"/>
      <c r="N219" s="4">
        <f>Таблица37589101114[[#This Row],[SOTILGAN NARXI]]-Таблица37589101114[[#This Row],[OLINGAN NARXI $]]-Таблица37589101114[[#This Row],[RASXOD]]</f>
        <v>0</v>
      </c>
      <c r="O219" s="6"/>
    </row>
    <row r="220" spans="1:15" x14ac:dyDescent="0.3">
      <c r="B220" s="23"/>
      <c r="C220" s="6"/>
      <c r="D220" s="1"/>
      <c r="E220" s="1"/>
      <c r="F220" s="23"/>
      <c r="G220" s="4"/>
      <c r="H220" s="5"/>
      <c r="I220" s="4"/>
      <c r="J220" s="4"/>
      <c r="K220" s="5"/>
      <c r="L220" s="58"/>
      <c r="M220" s="158" t="s">
        <v>1555</v>
      </c>
      <c r="N220" s="158">
        <v>-374</v>
      </c>
      <c r="O220" s="6"/>
    </row>
    <row r="221" spans="1:15" x14ac:dyDescent="0.3">
      <c r="B221" s="23"/>
      <c r="C221" s="6"/>
      <c r="D221" s="1"/>
      <c r="E221" s="1"/>
      <c r="F221" s="23"/>
      <c r="G221" s="4"/>
      <c r="H221" s="5"/>
      <c r="I221" s="4"/>
      <c r="J221" s="4"/>
      <c r="K221" s="5"/>
      <c r="L221" s="58"/>
      <c r="M221" s="4"/>
      <c r="N221" s="4">
        <f>Таблица37589101114[[#This Row],[SOTILGAN NARXI]]-Таблица37589101114[[#This Row],[OLINGAN NARXI $]]-Таблица37589101114[[#This Row],[RASXOD]]</f>
        <v>0</v>
      </c>
      <c r="O221" s="6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CE9F2-57AE-4B28-A94C-BEF09522C5AE}">
  <sheetPr codeName="Лист6"/>
  <dimension ref="A1:O219"/>
  <sheetViews>
    <sheetView topLeftCell="A185" zoomScale="70" zoomScaleNormal="70" workbookViewId="0">
      <selection activeCell="G212" sqref="G201:G212"/>
    </sheetView>
  </sheetViews>
  <sheetFormatPr defaultRowHeight="14.4" x14ac:dyDescent="0.3"/>
  <cols>
    <col min="1" max="1" width="4.44140625" style="114" bestFit="1" customWidth="1"/>
    <col min="2" max="2" width="11.5546875" bestFit="1" customWidth="1"/>
    <col min="3" max="3" width="15.6640625" customWidth="1"/>
    <col min="4" max="4" width="18.88671875" bestFit="1" customWidth="1"/>
    <col min="5" max="5" width="14.109375" bestFit="1" customWidth="1"/>
    <col min="6" max="6" width="28.88671875" customWidth="1"/>
    <col min="7" max="7" width="21.5546875" customWidth="1"/>
    <col min="8" max="8" width="15.88671875" customWidth="1"/>
    <col min="9" max="9" width="14" customWidth="1"/>
    <col min="10" max="10" width="11.88671875" customWidth="1"/>
    <col min="11" max="11" width="16.88671875" customWidth="1"/>
    <col min="12" max="12" width="13.88671875" customWidth="1"/>
    <col min="13" max="13" width="15.88671875" customWidth="1"/>
    <col min="14" max="14" width="13.88671875" bestFit="1" customWidth="1"/>
    <col min="15" max="15" width="50.109375" bestFit="1" customWidth="1"/>
  </cols>
  <sheetData>
    <row r="1" spans="1:15" ht="13.5" customHeight="1" x14ac:dyDescent="0.3">
      <c r="A1" s="116"/>
      <c r="B1" s="1" t="s">
        <v>0</v>
      </c>
      <c r="C1" s="6" t="s">
        <v>2</v>
      </c>
      <c r="D1" s="1" t="s">
        <v>1</v>
      </c>
      <c r="E1" s="1" t="s">
        <v>3</v>
      </c>
      <c r="F1" s="3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2" t="s">
        <v>10</v>
      </c>
      <c r="L1" s="2" t="s">
        <v>980</v>
      </c>
      <c r="M1" s="1" t="s">
        <v>9</v>
      </c>
      <c r="N1" s="1" t="s">
        <v>11</v>
      </c>
      <c r="O1" s="1" t="s">
        <v>12</v>
      </c>
    </row>
    <row r="2" spans="1:15" s="99" customFormat="1" x14ac:dyDescent="0.3">
      <c r="A2" s="116">
        <v>1</v>
      </c>
      <c r="B2" s="92" t="s">
        <v>13</v>
      </c>
      <c r="C2" s="93" t="s">
        <v>1241</v>
      </c>
      <c r="D2" s="94" t="s">
        <v>65</v>
      </c>
      <c r="E2" s="94" t="s">
        <v>15</v>
      </c>
      <c r="F2" s="95">
        <v>353182201724688</v>
      </c>
      <c r="G2" s="94"/>
      <c r="H2" s="96">
        <v>45798</v>
      </c>
      <c r="I2" s="97">
        <v>70</v>
      </c>
      <c r="J2" s="97"/>
      <c r="K2" s="96">
        <v>45809</v>
      </c>
      <c r="L2" s="98">
        <f>Таблица3[[#This Row],[OLINGAN NARXI $]]+Таблица3[[#This Row],[RASXOD]]</f>
        <v>28</v>
      </c>
      <c r="M2" s="97">
        <v>100</v>
      </c>
      <c r="N2" s="97">
        <v>30</v>
      </c>
      <c r="O2" s="93" t="s">
        <v>1242</v>
      </c>
    </row>
    <row r="3" spans="1:15" s="56" customFormat="1" x14ac:dyDescent="0.3">
      <c r="A3" s="116">
        <v>2</v>
      </c>
      <c r="B3" s="50" t="s">
        <v>16</v>
      </c>
      <c r="C3" s="51" t="s">
        <v>703</v>
      </c>
      <c r="D3" s="52" t="s">
        <v>65</v>
      </c>
      <c r="E3" s="52" t="s">
        <v>22</v>
      </c>
      <c r="F3" s="53">
        <v>357447884372451</v>
      </c>
      <c r="G3" s="52"/>
      <c r="H3" s="54">
        <v>45792</v>
      </c>
      <c r="I3" s="55">
        <v>585</v>
      </c>
      <c r="J3" s="55"/>
      <c r="K3" s="54">
        <v>45809</v>
      </c>
      <c r="L3" s="72">
        <f>Таблица3[[#This Row],[OLINGAN NARXI $]]+Таблица3[[#This Row],[RASXOD]]</f>
        <v>349</v>
      </c>
      <c r="M3" s="55">
        <v>600</v>
      </c>
      <c r="N3" s="55">
        <v>15</v>
      </c>
      <c r="O3" s="51" t="s">
        <v>262</v>
      </c>
    </row>
    <row r="4" spans="1:15" s="56" customFormat="1" x14ac:dyDescent="0.3">
      <c r="A4" s="116">
        <v>3</v>
      </c>
      <c r="B4" s="50" t="s">
        <v>13</v>
      </c>
      <c r="C4" s="51" t="s">
        <v>1265</v>
      </c>
      <c r="D4" s="52" t="s">
        <v>884</v>
      </c>
      <c r="E4" s="52" t="s">
        <v>15</v>
      </c>
      <c r="F4" s="53">
        <v>351562312872207</v>
      </c>
      <c r="G4" s="52"/>
      <c r="H4" s="54">
        <v>45804</v>
      </c>
      <c r="I4" s="55">
        <v>370</v>
      </c>
      <c r="J4" s="55"/>
      <c r="K4" s="54">
        <v>45809</v>
      </c>
      <c r="L4" s="72">
        <f>Таблица3[[#This Row],[OLINGAN NARXI $]]+Таблица3[[#This Row],[RASXOD]]</f>
        <v>0</v>
      </c>
      <c r="M4" s="55">
        <v>415</v>
      </c>
      <c r="N4" s="55">
        <v>45</v>
      </c>
      <c r="O4" s="51" t="s">
        <v>1260</v>
      </c>
    </row>
    <row r="5" spans="1:15" s="105" customFormat="1" x14ac:dyDescent="0.3">
      <c r="A5" s="116">
        <v>4</v>
      </c>
      <c r="B5" s="100" t="s">
        <v>16</v>
      </c>
      <c r="C5" s="101" t="s">
        <v>1000</v>
      </c>
      <c r="D5" s="102" t="s">
        <v>583</v>
      </c>
      <c r="E5" s="102" t="s">
        <v>22</v>
      </c>
      <c r="F5" s="10">
        <v>359340245819989</v>
      </c>
      <c r="G5" s="102"/>
      <c r="H5" s="103">
        <v>45807</v>
      </c>
      <c r="I5" s="26">
        <v>1080</v>
      </c>
      <c r="J5" s="26"/>
      <c r="K5" s="103">
        <v>45809</v>
      </c>
      <c r="L5" s="104">
        <f>Таблица3[[#This Row],[OLINGAN NARXI $]]+Таблица3[[#This Row],[RASXOD]]</f>
        <v>237</v>
      </c>
      <c r="M5" s="26">
        <v>1160</v>
      </c>
      <c r="N5" s="26">
        <v>80</v>
      </c>
      <c r="O5" s="101" t="s">
        <v>1281</v>
      </c>
    </row>
    <row r="6" spans="1:15" s="105" customFormat="1" x14ac:dyDescent="0.3">
      <c r="A6" s="116">
        <v>5</v>
      </c>
      <c r="B6" s="100" t="s">
        <v>16</v>
      </c>
      <c r="C6" s="101" t="s">
        <v>1201</v>
      </c>
      <c r="D6" s="102" t="s">
        <v>107</v>
      </c>
      <c r="E6" s="102" t="s">
        <v>15</v>
      </c>
      <c r="F6" s="10">
        <v>354084301262727</v>
      </c>
      <c r="G6" s="102"/>
      <c r="H6" s="103">
        <v>45789</v>
      </c>
      <c r="I6" s="26">
        <v>525</v>
      </c>
      <c r="J6" s="26">
        <v>27</v>
      </c>
      <c r="K6" s="103">
        <v>45809</v>
      </c>
      <c r="L6" s="104">
        <f>Таблица3[[#This Row],[OLINGAN NARXI $]]+Таблица3[[#This Row],[RASXOD]]</f>
        <v>256</v>
      </c>
      <c r="M6" s="26">
        <v>610</v>
      </c>
      <c r="N6" s="26">
        <v>58</v>
      </c>
      <c r="O6" s="101" t="s">
        <v>147</v>
      </c>
    </row>
    <row r="7" spans="1:15" s="56" customFormat="1" x14ac:dyDescent="0.3">
      <c r="A7" s="116">
        <v>6</v>
      </c>
      <c r="B7" s="50" t="s">
        <v>13</v>
      </c>
      <c r="C7" s="51" t="s">
        <v>115</v>
      </c>
      <c r="D7" s="52" t="s">
        <v>35</v>
      </c>
      <c r="E7" s="52" t="s">
        <v>15</v>
      </c>
      <c r="F7" s="53">
        <v>354773803644412</v>
      </c>
      <c r="G7" s="52"/>
      <c r="H7" s="54">
        <v>45790</v>
      </c>
      <c r="I7" s="55">
        <v>155</v>
      </c>
      <c r="J7" s="55">
        <v>27</v>
      </c>
      <c r="K7" s="54">
        <v>45809</v>
      </c>
      <c r="L7" s="72">
        <f>Таблица3[[#This Row],[OLINGAN NARXI $]]+Таблица3[[#This Row],[RASXOD]]</f>
        <v>468</v>
      </c>
      <c r="M7" s="55">
        <v>215</v>
      </c>
      <c r="N7" s="55">
        <v>33</v>
      </c>
      <c r="O7" s="51" t="s">
        <v>147</v>
      </c>
    </row>
    <row r="8" spans="1:15" s="105" customFormat="1" x14ac:dyDescent="0.3">
      <c r="A8" s="116">
        <v>7</v>
      </c>
      <c r="B8" s="100" t="s">
        <v>16</v>
      </c>
      <c r="C8" s="101" t="s">
        <v>106</v>
      </c>
      <c r="D8" s="102" t="s">
        <v>35</v>
      </c>
      <c r="E8" s="102" t="s">
        <v>15</v>
      </c>
      <c r="F8" s="10">
        <v>352895110710818</v>
      </c>
      <c r="G8" s="102"/>
      <c r="H8" s="103">
        <v>45799</v>
      </c>
      <c r="I8" s="26">
        <v>190</v>
      </c>
      <c r="J8" s="26"/>
      <c r="K8" s="103">
        <v>45809</v>
      </c>
      <c r="L8" s="104">
        <f>Таблица3[[#This Row],[OLINGAN NARXI $]]+Таблица3[[#This Row],[RASXOD]]</f>
        <v>155</v>
      </c>
      <c r="M8" s="26">
        <v>220</v>
      </c>
      <c r="N8" s="26">
        <v>30</v>
      </c>
      <c r="O8" s="101" t="s">
        <v>1245</v>
      </c>
    </row>
    <row r="9" spans="1:15" s="99" customFormat="1" x14ac:dyDescent="0.3">
      <c r="A9" s="116">
        <v>8</v>
      </c>
      <c r="B9" s="92" t="s">
        <v>16</v>
      </c>
      <c r="C9" s="93" t="s">
        <v>1000</v>
      </c>
      <c r="D9" s="94" t="s">
        <v>583</v>
      </c>
      <c r="E9" s="94" t="s">
        <v>22</v>
      </c>
      <c r="F9" s="95">
        <v>357988120724906</v>
      </c>
      <c r="G9" s="94"/>
      <c r="H9" s="96">
        <v>45803</v>
      </c>
      <c r="I9" s="97">
        <v>1070</v>
      </c>
      <c r="J9" s="97"/>
      <c r="K9" s="96">
        <v>45809</v>
      </c>
      <c r="L9" s="98">
        <f>Таблица3[[#This Row],[OLINGAN NARXI $]]+Таблица3[[#This Row],[RASXOD]]</f>
        <v>190</v>
      </c>
      <c r="M9" s="97">
        <v>1130</v>
      </c>
      <c r="N9" s="97">
        <v>60</v>
      </c>
      <c r="O9" s="93">
        <v>936128748</v>
      </c>
    </row>
    <row r="10" spans="1:15" s="56" customFormat="1" x14ac:dyDescent="0.3">
      <c r="A10" s="116">
        <v>9</v>
      </c>
      <c r="B10" s="50" t="s">
        <v>13</v>
      </c>
      <c r="C10" s="51" t="s">
        <v>124</v>
      </c>
      <c r="D10" s="52" t="s">
        <v>21</v>
      </c>
      <c r="E10" s="52" t="s">
        <v>15</v>
      </c>
      <c r="F10" s="53">
        <v>355859111238572</v>
      </c>
      <c r="G10" s="52"/>
      <c r="H10" s="54">
        <v>45767</v>
      </c>
      <c r="I10" s="55">
        <v>270</v>
      </c>
      <c r="J10" s="55"/>
      <c r="K10" s="54">
        <v>45809</v>
      </c>
      <c r="L10" s="72">
        <f>Таблица3[[#This Row],[OLINGAN NARXI $]]+Таблица3[[#This Row],[RASXOD]]</f>
        <v>473</v>
      </c>
      <c r="M10" s="55">
        <v>310</v>
      </c>
      <c r="N10" s="55">
        <v>40</v>
      </c>
      <c r="O10" s="51" t="s">
        <v>1068</v>
      </c>
    </row>
    <row r="11" spans="1:15" s="56" customFormat="1" x14ac:dyDescent="0.3">
      <c r="A11" s="116">
        <v>10</v>
      </c>
      <c r="B11" s="50" t="s">
        <v>13</v>
      </c>
      <c r="C11" s="51" t="s">
        <v>1207</v>
      </c>
      <c r="D11" s="52" t="s">
        <v>65</v>
      </c>
      <c r="E11" s="52" t="s">
        <v>15</v>
      </c>
      <c r="F11" s="53">
        <v>355595473483642</v>
      </c>
      <c r="G11" s="52"/>
      <c r="H11" s="54">
        <v>45789</v>
      </c>
      <c r="I11" s="55">
        <v>73</v>
      </c>
      <c r="J11" s="55"/>
      <c r="K11" s="54">
        <v>45810</v>
      </c>
      <c r="L11" s="72">
        <f>Таблица3[[#This Row],[OLINGAN NARXI $]]+Таблица3[[#This Row],[RASXOD]]</f>
        <v>400</v>
      </c>
      <c r="M11" s="55">
        <v>108</v>
      </c>
      <c r="N11" s="55">
        <v>35</v>
      </c>
      <c r="O11" s="51" t="s">
        <v>1208</v>
      </c>
    </row>
    <row r="12" spans="1:15" s="83" customFormat="1" x14ac:dyDescent="0.3">
      <c r="A12" s="116">
        <v>11</v>
      </c>
      <c r="B12" s="76" t="s">
        <v>13</v>
      </c>
      <c r="C12" s="77" t="s">
        <v>255</v>
      </c>
      <c r="D12" s="78" t="s">
        <v>21</v>
      </c>
      <c r="E12" s="78" t="s">
        <v>15</v>
      </c>
      <c r="F12" s="79">
        <v>352208774475910</v>
      </c>
      <c r="G12" s="78"/>
      <c r="H12" s="80">
        <v>45806</v>
      </c>
      <c r="I12" s="81">
        <v>600</v>
      </c>
      <c r="J12" s="81"/>
      <c r="K12" s="80">
        <v>45810</v>
      </c>
      <c r="L12" s="82">
        <f>Таблица3[[#This Row],[OLINGAN NARXI $]]+Таблица3[[#This Row],[RASXOD]]</f>
        <v>323.3</v>
      </c>
      <c r="M12" s="81">
        <v>670</v>
      </c>
      <c r="N12" s="81">
        <v>70</v>
      </c>
      <c r="O12" s="77" t="s">
        <v>1272</v>
      </c>
    </row>
    <row r="13" spans="1:15" s="56" customFormat="1" x14ac:dyDescent="0.3">
      <c r="A13" s="116">
        <v>12</v>
      </c>
      <c r="B13" s="50" t="s">
        <v>16</v>
      </c>
      <c r="C13" s="51" t="s">
        <v>83</v>
      </c>
      <c r="D13" s="52" t="s">
        <v>65</v>
      </c>
      <c r="E13" s="52" t="s">
        <v>15</v>
      </c>
      <c r="F13" s="53">
        <v>355196751261063</v>
      </c>
      <c r="G13" s="52"/>
      <c r="H13" s="54">
        <v>45789</v>
      </c>
      <c r="I13" s="55">
        <v>370</v>
      </c>
      <c r="J13" s="55">
        <v>16</v>
      </c>
      <c r="K13" s="54">
        <v>45810</v>
      </c>
      <c r="L13" s="72">
        <f>Таблица3[[#This Row],[OLINGAN NARXI $]]+Таблица3[[#This Row],[RASXOD]]</f>
        <v>307</v>
      </c>
      <c r="M13" s="55">
        <v>450</v>
      </c>
      <c r="N13" s="55">
        <v>64</v>
      </c>
      <c r="O13" s="51" t="s">
        <v>147</v>
      </c>
    </row>
    <row r="14" spans="1:15" s="56" customFormat="1" x14ac:dyDescent="0.3">
      <c r="A14" s="116">
        <v>13</v>
      </c>
      <c r="B14" s="50" t="s">
        <v>1077</v>
      </c>
      <c r="C14" s="51" t="s">
        <v>1102</v>
      </c>
      <c r="D14" s="52" t="s">
        <v>65</v>
      </c>
      <c r="E14" s="52" t="s">
        <v>22</v>
      </c>
      <c r="F14" s="53">
        <v>866380069585825</v>
      </c>
      <c r="G14" s="52"/>
      <c r="H14" s="54">
        <v>45800</v>
      </c>
      <c r="I14" s="55">
        <v>96</v>
      </c>
      <c r="J14" s="55"/>
      <c r="K14" s="54">
        <v>45810</v>
      </c>
      <c r="L14" s="72">
        <f>Таблица3[[#This Row],[OLINGAN NARXI $]]+Таблица3[[#This Row],[RASXOD]]</f>
        <v>30</v>
      </c>
      <c r="M14" s="55">
        <v>124</v>
      </c>
      <c r="N14" s="55">
        <v>28</v>
      </c>
      <c r="O14" s="51" t="s">
        <v>262</v>
      </c>
    </row>
    <row r="15" spans="1:15" s="83" customFormat="1" x14ac:dyDescent="0.3">
      <c r="A15" s="116">
        <v>14</v>
      </c>
      <c r="B15" s="76" t="s">
        <v>207</v>
      </c>
      <c r="C15" s="77" t="s">
        <v>1177</v>
      </c>
      <c r="D15" s="78" t="s">
        <v>89</v>
      </c>
      <c r="E15" s="78" t="s">
        <v>22</v>
      </c>
      <c r="F15" s="79"/>
      <c r="G15" s="78"/>
      <c r="H15" s="80">
        <v>45784</v>
      </c>
      <c r="I15" s="81">
        <v>85</v>
      </c>
      <c r="J15" s="81"/>
      <c r="K15" s="80">
        <v>45810</v>
      </c>
      <c r="L15" s="82">
        <f>Таблица3[[#This Row],[OLINGAN NARXI $]]+Таблица3[[#This Row],[RASXOD]]</f>
        <v>16</v>
      </c>
      <c r="M15" s="81">
        <v>130</v>
      </c>
      <c r="N15" s="81">
        <v>45</v>
      </c>
      <c r="O15" s="77" t="s">
        <v>1178</v>
      </c>
    </row>
    <row r="16" spans="1:15" s="99" customFormat="1" x14ac:dyDescent="0.3">
      <c r="A16" s="116">
        <v>15</v>
      </c>
      <c r="B16" s="92" t="s">
        <v>16</v>
      </c>
      <c r="C16" s="93" t="s">
        <v>81</v>
      </c>
      <c r="D16" s="94" t="s">
        <v>21</v>
      </c>
      <c r="E16" s="94" t="s">
        <v>15</v>
      </c>
      <c r="F16" s="95">
        <v>359984986666776</v>
      </c>
      <c r="G16" s="94"/>
      <c r="H16" s="96">
        <v>45806</v>
      </c>
      <c r="I16" s="97">
        <v>385</v>
      </c>
      <c r="J16" s="97"/>
      <c r="K16" s="96">
        <v>45810</v>
      </c>
      <c r="L16" s="98">
        <f>Таблица3[[#This Row],[OLINGAN NARXI $]]+Таблица3[[#This Row],[RASXOD]]</f>
        <v>387</v>
      </c>
      <c r="M16" s="97">
        <v>450</v>
      </c>
      <c r="N16" s="97">
        <v>65</v>
      </c>
      <c r="O16" s="93" t="s">
        <v>1274</v>
      </c>
    </row>
    <row r="17" spans="1:15" s="83" customFormat="1" x14ac:dyDescent="0.3">
      <c r="A17" s="116">
        <v>16</v>
      </c>
      <c r="B17" s="76" t="s">
        <v>16</v>
      </c>
      <c r="C17" s="77" t="s">
        <v>496</v>
      </c>
      <c r="D17" s="78" t="s">
        <v>65</v>
      </c>
      <c r="E17" s="78" t="s">
        <v>15</v>
      </c>
      <c r="F17" s="79">
        <v>350852693321291</v>
      </c>
      <c r="G17" s="78"/>
      <c r="H17" s="80">
        <v>45788</v>
      </c>
      <c r="I17" s="81">
        <v>260</v>
      </c>
      <c r="J17" s="81"/>
      <c r="K17" s="80">
        <v>45810</v>
      </c>
      <c r="L17" s="82">
        <f>Таблица3[[#This Row],[OLINGAN NARXI $]]+Таблица3[[#This Row],[RASXOD]]</f>
        <v>320</v>
      </c>
      <c r="M17" s="81">
        <v>310</v>
      </c>
      <c r="N17" s="81">
        <v>50</v>
      </c>
      <c r="O17" s="77"/>
    </row>
    <row r="18" spans="1:15" s="83" customFormat="1" x14ac:dyDescent="0.3">
      <c r="A18" s="116">
        <v>17</v>
      </c>
      <c r="B18" s="76" t="s">
        <v>16</v>
      </c>
      <c r="C18" s="77" t="s">
        <v>88</v>
      </c>
      <c r="D18" s="78" t="s">
        <v>89</v>
      </c>
      <c r="E18" s="78" t="s">
        <v>15</v>
      </c>
      <c r="F18" s="79">
        <v>357573490781841</v>
      </c>
      <c r="G18" s="78"/>
      <c r="H18" s="80">
        <v>45809</v>
      </c>
      <c r="I18" s="81">
        <v>370</v>
      </c>
      <c r="J18" s="81"/>
      <c r="K18" s="80">
        <v>45810</v>
      </c>
      <c r="L18" s="82">
        <f>Таблица3[[#This Row],[OLINGAN NARXI $]]+Таблица3[[#This Row],[RASXOD]]</f>
        <v>223</v>
      </c>
      <c r="M18" s="81">
        <v>425</v>
      </c>
      <c r="N18" s="81">
        <v>55</v>
      </c>
      <c r="O18" s="77" t="s">
        <v>1295</v>
      </c>
    </row>
    <row r="19" spans="1:15" s="105" customFormat="1" x14ac:dyDescent="0.3">
      <c r="A19" s="116">
        <v>18</v>
      </c>
      <c r="B19" s="100" t="s">
        <v>13</v>
      </c>
      <c r="C19" s="101" t="s">
        <v>117</v>
      </c>
      <c r="D19" s="102" t="s">
        <v>21</v>
      </c>
      <c r="E19" s="102" t="s">
        <v>15</v>
      </c>
      <c r="F19" s="10">
        <v>351424776927862</v>
      </c>
      <c r="G19" s="102"/>
      <c r="H19" s="103">
        <v>45799</v>
      </c>
      <c r="I19" s="26">
        <v>210</v>
      </c>
      <c r="J19" s="26">
        <v>19.2</v>
      </c>
      <c r="K19" s="103">
        <v>45811</v>
      </c>
      <c r="L19" s="104">
        <f>Таблица3[[#This Row],[OLINGAN NARXI $]]+Таблица3[[#This Row],[RASXOD]]</f>
        <v>251.5</v>
      </c>
      <c r="M19" s="26">
        <v>270</v>
      </c>
      <c r="N19" s="26">
        <v>40.799999999999997</v>
      </c>
      <c r="O19" s="101" t="s">
        <v>147</v>
      </c>
    </row>
    <row r="20" spans="1:15" s="83" customFormat="1" ht="14.25" customHeight="1" x14ac:dyDescent="0.3">
      <c r="A20" s="116">
        <v>19</v>
      </c>
      <c r="B20" s="76" t="s">
        <v>13</v>
      </c>
      <c r="C20" s="77" t="s">
        <v>124</v>
      </c>
      <c r="D20" s="78" t="s">
        <v>295</v>
      </c>
      <c r="E20" s="78" t="s">
        <v>15</v>
      </c>
      <c r="F20" s="79">
        <v>355857118969231</v>
      </c>
      <c r="G20" s="78"/>
      <c r="H20" s="80">
        <v>45811</v>
      </c>
      <c r="I20" s="81">
        <v>200</v>
      </c>
      <c r="J20" s="81"/>
      <c r="K20" s="80">
        <v>45811</v>
      </c>
      <c r="L20" s="82">
        <f>Таблица3[[#This Row],[OLINGAN NARXI $]]+Таблица3[[#This Row],[RASXOD]]</f>
        <v>1080</v>
      </c>
      <c r="M20" s="81">
        <v>300</v>
      </c>
      <c r="N20" s="81">
        <v>100</v>
      </c>
      <c r="O20" s="77" t="s">
        <v>1300</v>
      </c>
    </row>
    <row r="21" spans="1:15" s="105" customFormat="1" x14ac:dyDescent="0.3">
      <c r="A21" s="116">
        <v>20</v>
      </c>
      <c r="B21" s="100" t="s">
        <v>16</v>
      </c>
      <c r="C21" s="101" t="s">
        <v>312</v>
      </c>
      <c r="D21" s="102" t="s">
        <v>65</v>
      </c>
      <c r="E21" s="102" t="s">
        <v>15</v>
      </c>
      <c r="F21" s="10">
        <v>355380254468470</v>
      </c>
      <c r="G21" s="102"/>
      <c r="H21" s="103">
        <v>45779</v>
      </c>
      <c r="I21" s="26">
        <v>505</v>
      </c>
      <c r="J21" s="26"/>
      <c r="K21" s="103">
        <v>45811</v>
      </c>
      <c r="L21" s="104">
        <f>Таблица3[[#This Row],[OLINGAN NARXI $]]+Таблица3[[#This Row],[RASXOD]]</f>
        <v>600</v>
      </c>
      <c r="M21" s="26">
        <v>565</v>
      </c>
      <c r="N21" s="26">
        <v>60</v>
      </c>
      <c r="O21" s="101" t="s">
        <v>1140</v>
      </c>
    </row>
    <row r="22" spans="1:15" s="83" customFormat="1" x14ac:dyDescent="0.3">
      <c r="A22" s="116">
        <v>21</v>
      </c>
      <c r="B22" s="76" t="s">
        <v>13</v>
      </c>
      <c r="C22" s="77" t="s">
        <v>1055</v>
      </c>
      <c r="D22" s="78" t="s">
        <v>97</v>
      </c>
      <c r="E22" s="78" t="s">
        <v>15</v>
      </c>
      <c r="F22" s="79">
        <v>350309332301176</v>
      </c>
      <c r="G22" s="78"/>
      <c r="H22" s="80">
        <v>45793</v>
      </c>
      <c r="I22" s="81">
        <v>325</v>
      </c>
      <c r="J22" s="81"/>
      <c r="K22" s="80">
        <v>45811</v>
      </c>
      <c r="L22" s="82">
        <f>Таблица3[[#This Row],[OLINGAN NARXI $]]+Таблица3[[#This Row],[RASXOD]]</f>
        <v>271</v>
      </c>
      <c r="M22" s="81">
        <v>408</v>
      </c>
      <c r="N22" s="81">
        <v>83</v>
      </c>
      <c r="O22" s="77" t="s">
        <v>147</v>
      </c>
    </row>
    <row r="23" spans="1:15" s="105" customFormat="1" x14ac:dyDescent="0.3">
      <c r="A23" s="116">
        <v>22</v>
      </c>
      <c r="B23" s="100" t="s">
        <v>16</v>
      </c>
      <c r="C23" s="101" t="s">
        <v>148</v>
      </c>
      <c r="D23" s="102" t="s">
        <v>21</v>
      </c>
      <c r="E23" s="102" t="s">
        <v>15</v>
      </c>
      <c r="F23" s="10">
        <v>352798292634576</v>
      </c>
      <c r="G23" s="102" t="s">
        <v>556</v>
      </c>
      <c r="H23" s="103">
        <v>45806</v>
      </c>
      <c r="I23" s="26">
        <v>200</v>
      </c>
      <c r="J23" s="26"/>
      <c r="K23" s="103">
        <v>45811</v>
      </c>
      <c r="L23" s="104">
        <f>Таблица3[[#This Row],[OLINGAN NARXI $]]+Таблица3[[#This Row],[RASXOD]]</f>
        <v>366</v>
      </c>
      <c r="M23" s="26">
        <v>250</v>
      </c>
      <c r="N23" s="26">
        <v>50</v>
      </c>
      <c r="O23" s="101" t="s">
        <v>1279</v>
      </c>
    </row>
    <row r="24" spans="1:15" s="56" customFormat="1" x14ac:dyDescent="0.3">
      <c r="A24" s="116">
        <v>23</v>
      </c>
      <c r="B24" s="50" t="s">
        <v>1077</v>
      </c>
      <c r="C24" s="51" t="s">
        <v>1287</v>
      </c>
      <c r="D24" s="52" t="s">
        <v>21</v>
      </c>
      <c r="E24" s="52" t="s">
        <v>22</v>
      </c>
      <c r="F24" s="53">
        <v>869253060452245</v>
      </c>
      <c r="G24" s="52"/>
      <c r="H24" s="54">
        <v>45808</v>
      </c>
      <c r="I24" s="55">
        <v>50</v>
      </c>
      <c r="J24" s="55"/>
      <c r="K24" s="54">
        <v>45811</v>
      </c>
      <c r="L24" s="72">
        <f>Таблица3[[#This Row],[OLINGAN NARXI $]]+Таблица3[[#This Row],[RASXOD]]</f>
        <v>381</v>
      </c>
      <c r="M24" s="55">
        <v>77</v>
      </c>
      <c r="N24" s="55">
        <v>27</v>
      </c>
      <c r="O24" s="51" t="s">
        <v>1288</v>
      </c>
    </row>
    <row r="25" spans="1:15" s="56" customFormat="1" x14ac:dyDescent="0.3">
      <c r="A25" s="116">
        <v>24</v>
      </c>
      <c r="B25" s="50" t="s">
        <v>13</v>
      </c>
      <c r="C25" s="51" t="s">
        <v>115</v>
      </c>
      <c r="D25" s="52" t="s">
        <v>93</v>
      </c>
      <c r="E25" s="52" t="s">
        <v>15</v>
      </c>
      <c r="F25" s="53">
        <v>351376417739561</v>
      </c>
      <c r="G25" s="52"/>
      <c r="H25" s="54">
        <v>45796</v>
      </c>
      <c r="I25" s="55">
        <v>170</v>
      </c>
      <c r="J25" s="55"/>
      <c r="K25" s="54">
        <v>45811</v>
      </c>
      <c r="L25" s="72">
        <f>Таблица3[[#This Row],[OLINGAN NARXI $]]+Таблица3[[#This Row],[RASXOD]]</f>
        <v>540</v>
      </c>
      <c r="M25" s="55">
        <v>210</v>
      </c>
      <c r="N25" s="55">
        <v>40</v>
      </c>
      <c r="O25" s="51" t="s">
        <v>1226</v>
      </c>
    </row>
    <row r="26" spans="1:15" s="105" customFormat="1" x14ac:dyDescent="0.3">
      <c r="A26" s="116">
        <v>25</v>
      </c>
      <c r="B26" s="100" t="s">
        <v>16</v>
      </c>
      <c r="C26" s="101" t="s">
        <v>25</v>
      </c>
      <c r="D26" s="102" t="s">
        <v>26</v>
      </c>
      <c r="E26" s="102" t="s">
        <v>15</v>
      </c>
      <c r="F26" s="10">
        <v>354784325366970</v>
      </c>
      <c r="G26" s="102" t="s">
        <v>556</v>
      </c>
      <c r="H26" s="103">
        <v>45811</v>
      </c>
      <c r="I26" s="26">
        <v>670</v>
      </c>
      <c r="J26" s="26"/>
      <c r="K26" s="103">
        <v>45812</v>
      </c>
      <c r="L26" s="104">
        <f>Таблица3[[#This Row],[OLINGAN NARXI $]]+Таблица3[[#This Row],[RASXOD]]</f>
        <v>286</v>
      </c>
      <c r="M26" s="26">
        <v>780</v>
      </c>
      <c r="N26" s="26">
        <v>110</v>
      </c>
      <c r="O26" s="101" t="s">
        <v>1304</v>
      </c>
    </row>
    <row r="27" spans="1:15" s="83" customFormat="1" x14ac:dyDescent="0.3">
      <c r="A27" s="116">
        <v>26</v>
      </c>
      <c r="B27" s="76" t="s">
        <v>16</v>
      </c>
      <c r="C27" s="77" t="s">
        <v>25</v>
      </c>
      <c r="D27" s="78" t="s">
        <v>26</v>
      </c>
      <c r="E27" s="78"/>
      <c r="F27" s="79"/>
      <c r="G27" s="78"/>
      <c r="H27" s="80"/>
      <c r="I27" s="81"/>
      <c r="J27" s="81"/>
      <c r="K27" s="80">
        <v>45812</v>
      </c>
      <c r="L27" s="82">
        <f>Таблица375891011[[#This Row],[OLINGAN NARXI $]]+Таблица375891011[[#This Row],[RASXOD]]</f>
        <v>0</v>
      </c>
      <c r="M27" s="81">
        <v>20</v>
      </c>
      <c r="N27" s="81">
        <f>Таблица375891011[[#This Row],[SOTILGAN NARXI]]-Таблица375891011[[#This Row],[OLINGAN NARXI $]]-Таблица375891011[[#This Row],[RASXOD]]</f>
        <v>20</v>
      </c>
      <c r="O27" s="77" t="s">
        <v>446</v>
      </c>
    </row>
    <row r="28" spans="1:15" s="83" customFormat="1" x14ac:dyDescent="0.3">
      <c r="A28" s="116">
        <v>27</v>
      </c>
      <c r="B28" s="76" t="s">
        <v>13</v>
      </c>
      <c r="C28" s="77" t="s">
        <v>1082</v>
      </c>
      <c r="D28" s="78" t="s">
        <v>65</v>
      </c>
      <c r="E28" s="78" t="s">
        <v>15</v>
      </c>
      <c r="F28" s="79">
        <v>355374107756660</v>
      </c>
      <c r="G28" s="78" t="s">
        <v>1301</v>
      </c>
      <c r="H28" s="80">
        <v>45789</v>
      </c>
      <c r="I28" s="81">
        <v>130</v>
      </c>
      <c r="J28" s="81">
        <v>12</v>
      </c>
      <c r="K28" s="80">
        <v>45812</v>
      </c>
      <c r="L28" s="82">
        <f>Таблица3[[#This Row],[OLINGAN NARXI $]]+Таблица3[[#This Row],[RASXOD]]</f>
        <v>447.7</v>
      </c>
      <c r="M28" s="81">
        <v>200</v>
      </c>
      <c r="N28" s="81">
        <v>58</v>
      </c>
      <c r="O28" s="77"/>
    </row>
    <row r="29" spans="1:15" s="105" customFormat="1" x14ac:dyDescent="0.3">
      <c r="A29" s="116">
        <v>28</v>
      </c>
      <c r="B29" s="100" t="s">
        <v>16</v>
      </c>
      <c r="C29" s="101" t="s">
        <v>1083</v>
      </c>
      <c r="D29" s="102" t="s">
        <v>35</v>
      </c>
      <c r="E29" s="102" t="s">
        <v>22</v>
      </c>
      <c r="F29" s="10">
        <v>350056599425970</v>
      </c>
      <c r="G29" s="102"/>
      <c r="H29" s="103">
        <v>45806</v>
      </c>
      <c r="I29" s="26">
        <v>560</v>
      </c>
      <c r="J29" s="26"/>
      <c r="K29" s="103">
        <v>45812</v>
      </c>
      <c r="L29" s="104">
        <f>Таблица3[[#This Row],[OLINGAN NARXI $]]+Таблица3[[#This Row],[RASXOD]]</f>
        <v>400</v>
      </c>
      <c r="M29" s="26">
        <v>600</v>
      </c>
      <c r="N29" s="26">
        <v>40</v>
      </c>
      <c r="O29" s="101" t="s">
        <v>19</v>
      </c>
    </row>
    <row r="30" spans="1:15" s="83" customFormat="1" x14ac:dyDescent="0.3">
      <c r="A30" s="116">
        <v>29</v>
      </c>
      <c r="B30" s="76" t="s">
        <v>16</v>
      </c>
      <c r="C30" s="77" t="s">
        <v>81</v>
      </c>
      <c r="D30" s="78" t="s">
        <v>65</v>
      </c>
      <c r="E30" s="78" t="s">
        <v>22</v>
      </c>
      <c r="F30" s="79">
        <v>356673372675847</v>
      </c>
      <c r="G30" s="78"/>
      <c r="H30" s="80">
        <v>45805</v>
      </c>
      <c r="I30" s="81">
        <v>400</v>
      </c>
      <c r="J30" s="81"/>
      <c r="K30" s="80">
        <v>45812</v>
      </c>
      <c r="L30" s="82">
        <f>Таблица3[[#This Row],[OLINGAN NARXI $]]+Таблица3[[#This Row],[RASXOD]]</f>
        <v>240</v>
      </c>
      <c r="M30" s="81">
        <v>470</v>
      </c>
      <c r="N30" s="81">
        <v>70</v>
      </c>
      <c r="O30" s="77" t="s">
        <v>1270</v>
      </c>
    </row>
    <row r="31" spans="1:15" s="83" customFormat="1" x14ac:dyDescent="0.3">
      <c r="A31" s="116">
        <v>30</v>
      </c>
      <c r="B31" s="76" t="s">
        <v>16</v>
      </c>
      <c r="C31" s="77" t="s">
        <v>25</v>
      </c>
      <c r="D31" s="78" t="s">
        <v>26</v>
      </c>
      <c r="E31" s="78" t="s">
        <v>22</v>
      </c>
      <c r="F31" s="79">
        <v>353690162761051</v>
      </c>
      <c r="G31" s="78"/>
      <c r="H31" s="80">
        <v>45809</v>
      </c>
      <c r="I31" s="81">
        <v>810</v>
      </c>
      <c r="J31" s="81"/>
      <c r="K31" s="80">
        <v>45813</v>
      </c>
      <c r="L31" s="82">
        <f>Таблица3[[#This Row],[OLINGAN NARXI $]]+Таблица3[[#This Row],[RASXOD]]</f>
        <v>620</v>
      </c>
      <c r="M31" s="81">
        <v>880</v>
      </c>
      <c r="N31" s="81">
        <v>70</v>
      </c>
      <c r="O31" s="77" t="s">
        <v>1293</v>
      </c>
    </row>
    <row r="32" spans="1:15" s="105" customFormat="1" x14ac:dyDescent="0.3">
      <c r="A32" s="116">
        <v>31</v>
      </c>
      <c r="B32" s="100" t="s">
        <v>13</v>
      </c>
      <c r="C32" s="101" t="s">
        <v>563</v>
      </c>
      <c r="D32" s="102" t="s">
        <v>18</v>
      </c>
      <c r="E32" s="102" t="s">
        <v>15</v>
      </c>
      <c r="F32" s="10">
        <v>358725360334874</v>
      </c>
      <c r="G32" s="102"/>
      <c r="H32" s="103">
        <v>45793</v>
      </c>
      <c r="I32" s="26">
        <v>345</v>
      </c>
      <c r="J32" s="26">
        <v>32.700000000000003</v>
      </c>
      <c r="K32" s="103">
        <v>45817</v>
      </c>
      <c r="L32" s="104">
        <f>Таблица3[[#This Row],[OLINGAN NARXI $]]+Таблица3[[#This Row],[RASXOD]]</f>
        <v>365</v>
      </c>
      <c r="M32" s="26">
        <v>400</v>
      </c>
      <c r="N32" s="26">
        <v>22.3</v>
      </c>
      <c r="O32" s="101" t="s">
        <v>147</v>
      </c>
    </row>
    <row r="33" spans="1:15" s="105" customFormat="1" x14ac:dyDescent="0.3">
      <c r="A33" s="116">
        <v>32</v>
      </c>
      <c r="B33" s="100" t="s">
        <v>13</v>
      </c>
      <c r="C33" s="101" t="s">
        <v>502</v>
      </c>
      <c r="D33" s="102" t="s">
        <v>830</v>
      </c>
      <c r="E33" s="102" t="s">
        <v>15</v>
      </c>
      <c r="F33" s="10">
        <v>358088350487933</v>
      </c>
      <c r="G33" s="102"/>
      <c r="H33" s="103">
        <v>45764</v>
      </c>
      <c r="I33" s="26">
        <v>450</v>
      </c>
      <c r="J33" s="26"/>
      <c r="K33" s="103">
        <v>45813</v>
      </c>
      <c r="L33" s="104">
        <f>Таблица3[[#This Row],[OLINGAN NARXI $]]+Таблица3[[#This Row],[RASXOD]]</f>
        <v>180</v>
      </c>
      <c r="M33" s="26">
        <v>500</v>
      </c>
      <c r="N33" s="26">
        <v>50</v>
      </c>
      <c r="O33" s="101" t="s">
        <v>147</v>
      </c>
    </row>
    <row r="34" spans="1:15" s="105" customFormat="1" x14ac:dyDescent="0.3">
      <c r="A34" s="116">
        <v>33</v>
      </c>
      <c r="B34" s="100" t="s">
        <v>16</v>
      </c>
      <c r="C34" s="101" t="s">
        <v>25</v>
      </c>
      <c r="D34" s="102" t="s">
        <v>26</v>
      </c>
      <c r="E34" s="102" t="s">
        <v>22</v>
      </c>
      <c r="F34" s="10">
        <v>350069704632794</v>
      </c>
      <c r="G34" s="102"/>
      <c r="H34" s="103">
        <v>45807</v>
      </c>
      <c r="I34" s="26">
        <v>800</v>
      </c>
      <c r="J34" s="26"/>
      <c r="K34" s="103">
        <v>45813</v>
      </c>
      <c r="L34" s="104">
        <f>Таблица3[[#This Row],[OLINGAN NARXI $]]+Таблица3[[#This Row],[RASXOD]]</f>
        <v>610</v>
      </c>
      <c r="M34" s="26">
        <v>900</v>
      </c>
      <c r="N34" s="26">
        <v>100</v>
      </c>
      <c r="O34" s="101" t="s">
        <v>1284</v>
      </c>
    </row>
    <row r="35" spans="1:15" s="83" customFormat="1" x14ac:dyDescent="0.3">
      <c r="A35" s="116">
        <v>34</v>
      </c>
      <c r="B35" s="76" t="s">
        <v>13</v>
      </c>
      <c r="C35" s="77" t="s">
        <v>1094</v>
      </c>
      <c r="D35" s="78" t="s">
        <v>21</v>
      </c>
      <c r="E35" s="78" t="s">
        <v>15</v>
      </c>
      <c r="F35" s="79">
        <v>356206651003884</v>
      </c>
      <c r="G35" s="78"/>
      <c r="H35" s="80">
        <v>45771</v>
      </c>
      <c r="I35" s="81">
        <v>500</v>
      </c>
      <c r="J35" s="81"/>
      <c r="K35" s="80">
        <v>45813</v>
      </c>
      <c r="L35" s="82">
        <f>Таблица3[[#This Row],[OLINGAN NARXI $]]+Таблица3[[#This Row],[RASXOD]]</f>
        <v>610</v>
      </c>
      <c r="M35" s="81">
        <v>600</v>
      </c>
      <c r="N35" s="81">
        <v>100</v>
      </c>
      <c r="O35" s="77" t="s">
        <v>147</v>
      </c>
    </row>
    <row r="36" spans="1:15" s="105" customFormat="1" x14ac:dyDescent="0.3">
      <c r="A36" s="116">
        <v>35</v>
      </c>
      <c r="B36" s="100" t="s">
        <v>16</v>
      </c>
      <c r="C36" s="101" t="s">
        <v>129</v>
      </c>
      <c r="D36" s="102" t="s">
        <v>65</v>
      </c>
      <c r="E36" s="102" t="s">
        <v>22</v>
      </c>
      <c r="F36" s="10">
        <v>357447883439145</v>
      </c>
      <c r="G36" s="102"/>
      <c r="H36" s="103">
        <v>45812</v>
      </c>
      <c r="I36" s="26">
        <v>520</v>
      </c>
      <c r="J36" s="26"/>
      <c r="K36" s="103">
        <v>45813</v>
      </c>
      <c r="L36" s="104">
        <f>Таблица3[[#This Row],[OLINGAN NARXI $]]+Таблица3[[#This Row],[RASXOD]]</f>
        <v>645</v>
      </c>
      <c r="M36" s="26">
        <v>570</v>
      </c>
      <c r="N36" s="26">
        <v>50</v>
      </c>
      <c r="O36" s="101" t="s">
        <v>1305</v>
      </c>
    </row>
    <row r="37" spans="1:15" s="83" customFormat="1" x14ac:dyDescent="0.3">
      <c r="A37" s="116">
        <v>36</v>
      </c>
      <c r="B37" s="76" t="s">
        <v>16</v>
      </c>
      <c r="C37" s="77" t="s">
        <v>34</v>
      </c>
      <c r="D37" s="78" t="s">
        <v>35</v>
      </c>
      <c r="E37" s="78" t="s">
        <v>22</v>
      </c>
      <c r="F37" s="79">
        <v>355216226953984</v>
      </c>
      <c r="G37" s="78"/>
      <c r="H37" s="80">
        <v>45810</v>
      </c>
      <c r="I37" s="81">
        <v>620</v>
      </c>
      <c r="J37" s="81"/>
      <c r="K37" s="80">
        <v>45813</v>
      </c>
      <c r="L37" s="82">
        <f>Таблица3[[#This Row],[OLINGAN NARXI $]]+Таблица3[[#This Row],[RASXOD]]</f>
        <v>550</v>
      </c>
      <c r="M37" s="81">
        <v>680</v>
      </c>
      <c r="N37" s="81">
        <v>60</v>
      </c>
      <c r="O37" s="77" t="s">
        <v>1004</v>
      </c>
    </row>
    <row r="38" spans="1:15" s="83" customFormat="1" x14ac:dyDescent="0.3">
      <c r="A38" s="116">
        <v>37</v>
      </c>
      <c r="B38" s="76" t="s">
        <v>16</v>
      </c>
      <c r="C38" s="77" t="s">
        <v>39</v>
      </c>
      <c r="D38" s="78" t="s">
        <v>35</v>
      </c>
      <c r="E38" s="78" t="s">
        <v>22</v>
      </c>
      <c r="F38" s="79">
        <v>357132537179475</v>
      </c>
      <c r="G38" s="78"/>
      <c r="H38" s="80">
        <v>45809</v>
      </c>
      <c r="I38" s="81">
        <v>600</v>
      </c>
      <c r="J38" s="81"/>
      <c r="K38" s="80">
        <v>45813</v>
      </c>
      <c r="L38" s="82">
        <f>Таблица3[[#This Row],[OLINGAN NARXI $]]+Таблица3[[#This Row],[RASXOD]]</f>
        <v>315</v>
      </c>
      <c r="M38" s="81">
        <v>680</v>
      </c>
      <c r="N38" s="81">
        <v>80</v>
      </c>
      <c r="O38" s="77" t="s">
        <v>1292</v>
      </c>
    </row>
    <row r="39" spans="1:15" s="83" customFormat="1" x14ac:dyDescent="0.3">
      <c r="A39" s="116">
        <v>38</v>
      </c>
      <c r="B39" s="76" t="s">
        <v>16</v>
      </c>
      <c r="C39" s="77" t="s">
        <v>74</v>
      </c>
      <c r="D39" s="78" t="s">
        <v>21</v>
      </c>
      <c r="E39" s="78" t="s">
        <v>22</v>
      </c>
      <c r="F39" s="79">
        <v>354606980405928</v>
      </c>
      <c r="G39" s="78"/>
      <c r="H39" s="80">
        <v>45808</v>
      </c>
      <c r="I39" s="81">
        <v>560</v>
      </c>
      <c r="J39" s="81"/>
      <c r="K39" s="80">
        <v>45813</v>
      </c>
      <c r="L39" s="82">
        <f>Таблица3[[#This Row],[OLINGAN NARXI $]]+Таблица3[[#This Row],[RASXOD]]</f>
        <v>182</v>
      </c>
      <c r="M39" s="81">
        <v>620</v>
      </c>
      <c r="N39" s="81">
        <v>60</v>
      </c>
      <c r="O39" s="77" t="s">
        <v>19</v>
      </c>
    </row>
    <row r="40" spans="1:15" s="83" customFormat="1" x14ac:dyDescent="0.3">
      <c r="A40" s="116">
        <v>39</v>
      </c>
      <c r="B40" s="76" t="s">
        <v>16</v>
      </c>
      <c r="C40" s="77" t="s">
        <v>104</v>
      </c>
      <c r="D40" s="78" t="s">
        <v>45</v>
      </c>
      <c r="E40" s="78" t="s">
        <v>22</v>
      </c>
      <c r="F40" s="79">
        <v>353730398739438</v>
      </c>
      <c r="G40" s="78"/>
      <c r="H40" s="80">
        <v>45801</v>
      </c>
      <c r="I40" s="81">
        <v>330</v>
      </c>
      <c r="J40" s="81"/>
      <c r="K40" s="80">
        <v>45813</v>
      </c>
      <c r="L40" s="82">
        <f>Таблица3[[#This Row],[OLINGAN NARXI $]]+Таблица3[[#This Row],[RASXOD]]</f>
        <v>312.2</v>
      </c>
      <c r="M40" s="81">
        <v>385</v>
      </c>
      <c r="N40" s="81">
        <v>55</v>
      </c>
      <c r="O40" s="77" t="s">
        <v>1251</v>
      </c>
    </row>
    <row r="41" spans="1:15" s="99" customFormat="1" x14ac:dyDescent="0.3">
      <c r="A41" s="116">
        <v>40</v>
      </c>
      <c r="B41" s="92" t="s">
        <v>16</v>
      </c>
      <c r="C41" s="93" t="s">
        <v>88</v>
      </c>
      <c r="D41" s="94" t="s">
        <v>89</v>
      </c>
      <c r="E41" s="94" t="s">
        <v>22</v>
      </c>
      <c r="F41" s="95">
        <v>356706921429637</v>
      </c>
      <c r="G41" s="94"/>
      <c r="H41" s="96">
        <v>45809</v>
      </c>
      <c r="I41" s="97">
        <v>320</v>
      </c>
      <c r="J41" s="97"/>
      <c r="K41" s="96">
        <v>45813</v>
      </c>
      <c r="L41" s="98">
        <f>Таблица3[[#This Row],[OLINGAN NARXI $]]+Таблица3[[#This Row],[RASXOD]]</f>
        <v>374.2</v>
      </c>
      <c r="M41" s="97">
        <v>390</v>
      </c>
      <c r="N41" s="97">
        <v>70</v>
      </c>
      <c r="O41" s="93" t="s">
        <v>1297</v>
      </c>
    </row>
    <row r="42" spans="1:15" s="105" customFormat="1" x14ac:dyDescent="0.3">
      <c r="A42" s="116">
        <v>41</v>
      </c>
      <c r="B42" s="100" t="s">
        <v>16</v>
      </c>
      <c r="C42" s="101" t="s">
        <v>74</v>
      </c>
      <c r="D42" s="102" t="s">
        <v>21</v>
      </c>
      <c r="E42" s="102" t="s">
        <v>15</v>
      </c>
      <c r="F42" s="10">
        <v>359455905807072</v>
      </c>
      <c r="G42" s="102"/>
      <c r="H42" s="103">
        <v>45690</v>
      </c>
      <c r="I42" s="26">
        <v>540</v>
      </c>
      <c r="J42" s="26"/>
      <c r="K42" s="103">
        <v>45813</v>
      </c>
      <c r="L42" s="104">
        <f>Таблица3[[#This Row],[OLINGAN NARXI $]]+Таблица3[[#This Row],[RASXOD]]</f>
        <v>260</v>
      </c>
      <c r="M42" s="26">
        <v>540</v>
      </c>
      <c r="N42" s="26">
        <v>0</v>
      </c>
      <c r="O42" s="101" t="s">
        <v>262</v>
      </c>
    </row>
    <row r="43" spans="1:15" s="83" customFormat="1" x14ac:dyDescent="0.3">
      <c r="A43" s="116">
        <v>42</v>
      </c>
      <c r="B43" s="76" t="s">
        <v>16</v>
      </c>
      <c r="C43" s="77" t="s">
        <v>165</v>
      </c>
      <c r="D43" s="78" t="s">
        <v>45</v>
      </c>
      <c r="E43" s="78" t="s">
        <v>15</v>
      </c>
      <c r="F43" s="79">
        <v>353107101670368</v>
      </c>
      <c r="G43" s="78" t="s">
        <v>1253</v>
      </c>
      <c r="H43" s="80">
        <v>45802</v>
      </c>
      <c r="I43" s="81">
        <v>100</v>
      </c>
      <c r="J43" s="81">
        <v>8</v>
      </c>
      <c r="K43" s="80">
        <v>45815</v>
      </c>
      <c r="L43" s="82">
        <f>Таблица3[[#This Row],[OLINGAN NARXI $]]+Таблица3[[#This Row],[RASXOD]]</f>
        <v>350</v>
      </c>
      <c r="M43" s="81">
        <v>146</v>
      </c>
      <c r="N43" s="81">
        <v>38</v>
      </c>
      <c r="O43" s="77" t="s">
        <v>262</v>
      </c>
    </row>
    <row r="44" spans="1:15" s="83" customFormat="1" x14ac:dyDescent="0.3">
      <c r="A44" s="116">
        <v>43</v>
      </c>
      <c r="B44" s="76" t="s">
        <v>16</v>
      </c>
      <c r="C44" s="77" t="s">
        <v>25</v>
      </c>
      <c r="D44" s="78" t="s">
        <v>21</v>
      </c>
      <c r="E44" s="78" t="s">
        <v>15</v>
      </c>
      <c r="F44" s="79"/>
      <c r="G44" s="78"/>
      <c r="H44" s="80"/>
      <c r="I44" s="81"/>
      <c r="J44" s="81"/>
      <c r="K44" s="80">
        <v>45815</v>
      </c>
      <c r="L44" s="82">
        <f>Таблица375891011[[#This Row],[OLINGAN NARXI $]]+Таблица375891011[[#This Row],[RASXOD]]</f>
        <v>0</v>
      </c>
      <c r="M44" s="81">
        <v>20</v>
      </c>
      <c r="N44" s="81">
        <f>Таблица375891011[[#This Row],[SOTILGAN NARXI]]-Таблица375891011[[#This Row],[OLINGAN NARXI $]]-Таблица375891011[[#This Row],[RASXOD]]</f>
        <v>20</v>
      </c>
      <c r="O44" s="77" t="s">
        <v>446</v>
      </c>
    </row>
    <row r="45" spans="1:15" s="56" customFormat="1" x14ac:dyDescent="0.3">
      <c r="A45" s="116">
        <v>44</v>
      </c>
      <c r="B45" s="50" t="s">
        <v>13</v>
      </c>
      <c r="C45" s="51" t="s">
        <v>124</v>
      </c>
      <c r="D45" s="52" t="s">
        <v>295</v>
      </c>
      <c r="E45" s="52" t="s">
        <v>15</v>
      </c>
      <c r="F45" s="53">
        <v>355857116104716</v>
      </c>
      <c r="G45" s="52"/>
      <c r="H45" s="54">
        <v>45792</v>
      </c>
      <c r="I45" s="55">
        <v>250</v>
      </c>
      <c r="J45" s="55"/>
      <c r="K45" s="54">
        <v>45815</v>
      </c>
      <c r="L45" s="72">
        <f>Таблица3[[#This Row],[OLINGAN NARXI $]]+Таблица3[[#This Row],[RASXOD]]</f>
        <v>865</v>
      </c>
      <c r="M45" s="55">
        <v>316</v>
      </c>
      <c r="N45" s="55">
        <v>66</v>
      </c>
      <c r="O45" s="51">
        <v>900222422</v>
      </c>
    </row>
    <row r="46" spans="1:15" s="56" customFormat="1" x14ac:dyDescent="0.3">
      <c r="A46" s="116">
        <v>45</v>
      </c>
      <c r="B46" s="50" t="s">
        <v>16</v>
      </c>
      <c r="C46" s="51" t="s">
        <v>148</v>
      </c>
      <c r="D46" s="52" t="s">
        <v>21</v>
      </c>
      <c r="E46" s="52" t="s">
        <v>15</v>
      </c>
      <c r="F46" s="53">
        <v>356740914798146</v>
      </c>
      <c r="G46" s="52"/>
      <c r="H46" s="54">
        <v>45800</v>
      </c>
      <c r="I46" s="55">
        <v>280</v>
      </c>
      <c r="J46" s="55"/>
      <c r="K46" s="54">
        <v>45815</v>
      </c>
      <c r="L46" s="72">
        <f>Таблица3[[#This Row],[OLINGAN NARXI $]]+Таблица3[[#This Row],[RASXOD]]</f>
        <v>145</v>
      </c>
      <c r="M46" s="55">
        <v>330</v>
      </c>
      <c r="N46" s="55">
        <v>50</v>
      </c>
      <c r="O46" s="51">
        <v>997994443</v>
      </c>
    </row>
    <row r="47" spans="1:15" s="83" customFormat="1" x14ac:dyDescent="0.3">
      <c r="A47" s="116">
        <v>46</v>
      </c>
      <c r="B47" s="76" t="s">
        <v>16</v>
      </c>
      <c r="C47" s="77" t="s">
        <v>327</v>
      </c>
      <c r="D47" s="78" t="s">
        <v>21</v>
      </c>
      <c r="E47" s="78" t="s">
        <v>15</v>
      </c>
      <c r="F47" s="79">
        <v>351335411281467</v>
      </c>
      <c r="G47" s="78"/>
      <c r="H47" s="80">
        <v>45806</v>
      </c>
      <c r="I47" s="81">
        <v>430</v>
      </c>
      <c r="J47" s="81"/>
      <c r="K47" s="80">
        <v>45815</v>
      </c>
      <c r="L47" s="82">
        <f>Таблица3[[#This Row],[OLINGAN NARXI $]]+Таблица3[[#This Row],[RASXOD]]</f>
        <v>390</v>
      </c>
      <c r="M47" s="81">
        <v>500</v>
      </c>
      <c r="N47" s="81">
        <v>70</v>
      </c>
      <c r="O47" s="77" t="s">
        <v>147</v>
      </c>
    </row>
    <row r="48" spans="1:15" s="105" customFormat="1" x14ac:dyDescent="0.3">
      <c r="A48" s="116">
        <v>47</v>
      </c>
      <c r="B48" s="100" t="s">
        <v>1077</v>
      </c>
      <c r="C48" s="101" t="s">
        <v>527</v>
      </c>
      <c r="D48" s="102" t="s">
        <v>21</v>
      </c>
      <c r="E48" s="102" t="s">
        <v>15</v>
      </c>
      <c r="F48" s="10">
        <v>863507056285844</v>
      </c>
      <c r="G48" s="102"/>
      <c r="H48" s="103">
        <v>45813</v>
      </c>
      <c r="I48" s="26">
        <v>62</v>
      </c>
      <c r="J48" s="26"/>
      <c r="K48" s="103">
        <v>45816</v>
      </c>
      <c r="L48" s="104">
        <f>Таблица3[[#This Row],[OLINGAN NARXI $]]+Таблица3[[#This Row],[RASXOD]]</f>
        <v>63</v>
      </c>
      <c r="M48" s="26">
        <v>100</v>
      </c>
      <c r="N48" s="26">
        <v>38</v>
      </c>
      <c r="O48" s="101" t="s">
        <v>1306</v>
      </c>
    </row>
    <row r="49" spans="1:15" s="99" customFormat="1" x14ac:dyDescent="0.3">
      <c r="A49" s="116">
        <v>48</v>
      </c>
      <c r="B49" s="92" t="s">
        <v>16</v>
      </c>
      <c r="C49" s="93" t="s">
        <v>1000</v>
      </c>
      <c r="D49" s="94" t="s">
        <v>583</v>
      </c>
      <c r="E49" s="94" t="s">
        <v>15</v>
      </c>
      <c r="F49" s="95">
        <v>354868695468399</v>
      </c>
      <c r="G49" s="94"/>
      <c r="H49" s="96">
        <v>45807</v>
      </c>
      <c r="I49" s="97">
        <v>1000</v>
      </c>
      <c r="J49" s="97"/>
      <c r="K49" s="96">
        <v>45816</v>
      </c>
      <c r="L49" s="98">
        <f>Таблица3[[#This Row],[OLINGAN NARXI $]]+Таблица3[[#This Row],[RASXOD]]</f>
        <v>60</v>
      </c>
      <c r="M49" s="97">
        <v>1060</v>
      </c>
      <c r="N49" s="97">
        <v>60</v>
      </c>
      <c r="O49" s="93" t="s">
        <v>147</v>
      </c>
    </row>
    <row r="50" spans="1:15" s="105" customFormat="1" x14ac:dyDescent="0.3">
      <c r="A50" s="116">
        <v>49</v>
      </c>
      <c r="B50" s="100" t="s">
        <v>16</v>
      </c>
      <c r="C50" s="101" t="s">
        <v>74</v>
      </c>
      <c r="D50" s="102" t="s">
        <v>45</v>
      </c>
      <c r="E50" s="102" t="s">
        <v>22</v>
      </c>
      <c r="F50" s="10">
        <v>351942137533046</v>
      </c>
      <c r="G50" s="102"/>
      <c r="H50" s="103">
        <v>45804</v>
      </c>
      <c r="I50" s="26">
        <v>470</v>
      </c>
      <c r="J50" s="26"/>
      <c r="K50" s="103">
        <v>45816</v>
      </c>
      <c r="L50" s="104">
        <f>Таблица3[[#This Row],[OLINGAN NARXI $]]+Таблица3[[#This Row],[RASXOD]]</f>
        <v>120</v>
      </c>
      <c r="M50" s="26">
        <v>550</v>
      </c>
      <c r="N50" s="26">
        <v>80</v>
      </c>
      <c r="O50" s="101" t="s">
        <v>1262</v>
      </c>
    </row>
    <row r="51" spans="1:15" s="83" customFormat="1" x14ac:dyDescent="0.3">
      <c r="A51" s="116">
        <v>50</v>
      </c>
      <c r="B51" s="76" t="s">
        <v>16</v>
      </c>
      <c r="C51" s="77" t="s">
        <v>81</v>
      </c>
      <c r="D51" s="78" t="s">
        <v>21</v>
      </c>
      <c r="E51" s="78" t="s">
        <v>15</v>
      </c>
      <c r="F51" s="79">
        <v>355786374842560</v>
      </c>
      <c r="G51" s="78" t="s">
        <v>61</v>
      </c>
      <c r="H51" s="80">
        <v>45800</v>
      </c>
      <c r="I51" s="81">
        <v>350</v>
      </c>
      <c r="J51" s="81"/>
      <c r="K51" s="80">
        <v>45816</v>
      </c>
      <c r="L51" s="82">
        <f>Таблица3[[#This Row],[OLINGAN NARXI $]]+Таблица3[[#This Row],[RASXOD]]</f>
        <v>380</v>
      </c>
      <c r="M51" s="81">
        <v>430</v>
      </c>
      <c r="N51" s="81">
        <v>80</v>
      </c>
      <c r="O51" s="77" t="s">
        <v>1249</v>
      </c>
    </row>
    <row r="52" spans="1:15" s="56" customFormat="1" x14ac:dyDescent="0.3">
      <c r="A52" s="116">
        <v>51</v>
      </c>
      <c r="B52" s="50" t="s">
        <v>13</v>
      </c>
      <c r="C52" s="51" t="s">
        <v>1055</v>
      </c>
      <c r="D52" s="52" t="s">
        <v>21</v>
      </c>
      <c r="E52" s="52" t="s">
        <v>22</v>
      </c>
      <c r="F52" s="53">
        <v>354709483437453</v>
      </c>
      <c r="G52" s="52"/>
      <c r="H52" s="54">
        <v>45765</v>
      </c>
      <c r="I52" s="55">
        <v>285</v>
      </c>
      <c r="J52" s="55"/>
      <c r="K52" s="54">
        <v>45816</v>
      </c>
      <c r="L52" s="72">
        <f>Таблица3[[#This Row],[OLINGAN NARXI $]]+Таблица3[[#This Row],[RASXOD]]</f>
        <v>635</v>
      </c>
      <c r="M52" s="55">
        <v>354</v>
      </c>
      <c r="N52" s="55">
        <v>69</v>
      </c>
      <c r="O52" s="51" t="s">
        <v>1056</v>
      </c>
    </row>
    <row r="53" spans="1:15" s="56" customFormat="1" x14ac:dyDescent="0.3">
      <c r="A53" s="116">
        <v>52</v>
      </c>
      <c r="B53" s="50" t="s">
        <v>13</v>
      </c>
      <c r="C53" s="51" t="s">
        <v>455</v>
      </c>
      <c r="D53" s="52" t="s">
        <v>1123</v>
      </c>
      <c r="E53" s="52" t="s">
        <v>15</v>
      </c>
      <c r="F53" s="53">
        <v>359008931258263</v>
      </c>
      <c r="G53" s="52"/>
      <c r="H53" s="54">
        <v>45776</v>
      </c>
      <c r="I53" s="55">
        <v>295</v>
      </c>
      <c r="J53" s="55"/>
      <c r="K53" s="54">
        <v>45817</v>
      </c>
      <c r="L53" s="72">
        <f>Таблица3[[#This Row],[OLINGAN NARXI $]]+Таблица3[[#This Row],[RASXOD]]</f>
        <v>1185</v>
      </c>
      <c r="M53" s="55">
        <v>330</v>
      </c>
      <c r="N53" s="55">
        <v>35</v>
      </c>
      <c r="O53" s="51" t="s">
        <v>147</v>
      </c>
    </row>
    <row r="54" spans="1:15" s="83" customFormat="1" x14ac:dyDescent="0.3">
      <c r="A54" s="116">
        <v>53</v>
      </c>
      <c r="B54" s="76" t="s">
        <v>13</v>
      </c>
      <c r="C54" s="77" t="s">
        <v>115</v>
      </c>
      <c r="D54" s="78" t="s">
        <v>18</v>
      </c>
      <c r="E54" s="78" t="s">
        <v>15</v>
      </c>
      <c r="F54" s="79">
        <v>351376414109024</v>
      </c>
      <c r="G54" s="78"/>
      <c r="H54" s="80">
        <v>45803</v>
      </c>
      <c r="I54" s="81">
        <v>170</v>
      </c>
      <c r="J54" s="81"/>
      <c r="K54" s="80">
        <v>45818</v>
      </c>
      <c r="L54" s="82">
        <f>Таблица3[[#This Row],[OLINGAN NARXI $]]+Таблица3[[#This Row],[RASXOD]]</f>
        <v>156</v>
      </c>
      <c r="M54" s="81">
        <v>220</v>
      </c>
      <c r="N54" s="81">
        <v>50</v>
      </c>
      <c r="O54" s="77"/>
    </row>
    <row r="55" spans="1:15" s="83" customFormat="1" x14ac:dyDescent="0.3">
      <c r="A55" s="116">
        <v>54</v>
      </c>
      <c r="B55" s="76" t="s">
        <v>13</v>
      </c>
      <c r="C55" s="77" t="s">
        <v>502</v>
      </c>
      <c r="D55" s="78" t="s">
        <v>65</v>
      </c>
      <c r="E55" s="78" t="s">
        <v>22</v>
      </c>
      <c r="F55" s="79">
        <v>351247573181767</v>
      </c>
      <c r="G55" s="78" t="s">
        <v>103</v>
      </c>
      <c r="H55" s="80">
        <v>45797</v>
      </c>
      <c r="I55" s="81">
        <v>400</v>
      </c>
      <c r="J55" s="81">
        <v>13</v>
      </c>
      <c r="K55" s="80">
        <v>45818</v>
      </c>
      <c r="L55" s="82">
        <f>Таблица3[[#This Row],[OLINGAN NARXI $]]+Таблица3[[#This Row],[RASXOD]]</f>
        <v>1030</v>
      </c>
      <c r="M55" s="81">
        <v>475</v>
      </c>
      <c r="N55" s="81">
        <v>62</v>
      </c>
      <c r="O55" s="77" t="s">
        <v>1234</v>
      </c>
    </row>
    <row r="56" spans="1:15" s="99" customFormat="1" x14ac:dyDescent="0.3">
      <c r="A56" s="116">
        <v>55</v>
      </c>
      <c r="B56" s="92" t="s">
        <v>16</v>
      </c>
      <c r="C56" s="93" t="s">
        <v>1000</v>
      </c>
      <c r="D56" s="94" t="s">
        <v>583</v>
      </c>
      <c r="E56" s="94" t="s">
        <v>22</v>
      </c>
      <c r="F56" s="95"/>
      <c r="G56" s="94"/>
      <c r="H56" s="96"/>
      <c r="I56" s="97"/>
      <c r="J56" s="97"/>
      <c r="K56" s="96">
        <v>45818</v>
      </c>
      <c r="L56" s="98">
        <f>Таблица375891011[[#This Row],[OLINGAN NARXI $]]+Таблица375891011[[#This Row],[RASXOD]]</f>
        <v>0</v>
      </c>
      <c r="M56" s="97">
        <v>20</v>
      </c>
      <c r="N56" s="97">
        <f>Таблица375891011[[#This Row],[SOTILGAN NARXI]]-Таблица375891011[[#This Row],[OLINGAN NARXI $]]-Таблица375891011[[#This Row],[RASXOD]]</f>
        <v>20</v>
      </c>
      <c r="O56" s="93" t="s">
        <v>1322</v>
      </c>
    </row>
    <row r="57" spans="1:15" s="99" customFormat="1" x14ac:dyDescent="0.3">
      <c r="A57" s="116">
        <v>56</v>
      </c>
      <c r="B57" s="92" t="s">
        <v>16</v>
      </c>
      <c r="C57" s="93" t="s">
        <v>173</v>
      </c>
      <c r="D57" s="94" t="s">
        <v>21</v>
      </c>
      <c r="E57" s="94" t="s">
        <v>15</v>
      </c>
      <c r="F57" s="95">
        <v>356724087545054</v>
      </c>
      <c r="G57" s="94" t="s">
        <v>1302</v>
      </c>
      <c r="H57" s="96">
        <v>45811</v>
      </c>
      <c r="I57" s="97">
        <v>78</v>
      </c>
      <c r="J57" s="97"/>
      <c r="K57" s="96">
        <v>45818</v>
      </c>
      <c r="L57" s="98">
        <f>Таблица3[[#This Row],[OLINGAN NARXI $]]+Таблица3[[#This Row],[RASXOD]]</f>
        <v>190</v>
      </c>
      <c r="M57" s="97">
        <v>100</v>
      </c>
      <c r="N57" s="97">
        <v>22</v>
      </c>
      <c r="O57" s="93" t="s">
        <v>1303</v>
      </c>
    </row>
    <row r="58" spans="1:15" s="83" customFormat="1" x14ac:dyDescent="0.3">
      <c r="A58" s="116">
        <v>57</v>
      </c>
      <c r="B58" s="76" t="s">
        <v>16</v>
      </c>
      <c r="C58" s="77" t="s">
        <v>128</v>
      </c>
      <c r="D58" s="78" t="s">
        <v>26</v>
      </c>
      <c r="E58" s="78" t="s">
        <v>22</v>
      </c>
      <c r="F58" s="79">
        <v>358819901652843</v>
      </c>
      <c r="G58" s="78" t="s">
        <v>556</v>
      </c>
      <c r="H58" s="80">
        <v>45816</v>
      </c>
      <c r="I58" s="81">
        <v>570</v>
      </c>
      <c r="J58" s="81"/>
      <c r="K58" s="80">
        <v>45819</v>
      </c>
      <c r="L58" s="82">
        <f>Таблица3[[#This Row],[OLINGAN NARXI $]]+Таблица3[[#This Row],[RASXOD]]</f>
        <v>394.16</v>
      </c>
      <c r="M58" s="81">
        <v>680</v>
      </c>
      <c r="N58" s="81">
        <v>110</v>
      </c>
      <c r="O58" s="77" t="s">
        <v>1062</v>
      </c>
    </row>
    <row r="59" spans="1:15" s="83" customFormat="1" x14ac:dyDescent="0.3">
      <c r="A59" s="116">
        <v>58</v>
      </c>
      <c r="B59" s="76" t="s">
        <v>13</v>
      </c>
      <c r="C59" s="77" t="s">
        <v>255</v>
      </c>
      <c r="D59" s="78" t="s">
        <v>26</v>
      </c>
      <c r="E59" s="78" t="s">
        <v>22</v>
      </c>
      <c r="F59" s="79">
        <v>9814</v>
      </c>
      <c r="G59" s="78"/>
      <c r="H59" s="80"/>
      <c r="I59" s="81">
        <v>720</v>
      </c>
      <c r="J59" s="81"/>
      <c r="K59" s="80">
        <v>45819</v>
      </c>
      <c r="L59" s="82">
        <f>Таблица375891011[[#This Row],[OLINGAN NARXI $]]+Таблица375891011[[#This Row],[RASXOD]]</f>
        <v>720</v>
      </c>
      <c r="M59" s="81">
        <v>740</v>
      </c>
      <c r="N59" s="81">
        <f>Таблица375891011[[#This Row],[SOTILGAN NARXI]]-Таблица375891011[[#This Row],[OLINGAN NARXI $]]-Таблица375891011[[#This Row],[RASXOD]]</f>
        <v>20</v>
      </c>
      <c r="O59" s="77" t="s">
        <v>1322</v>
      </c>
    </row>
    <row r="60" spans="1:15" s="56" customFormat="1" x14ac:dyDescent="0.3">
      <c r="A60" s="116">
        <v>59</v>
      </c>
      <c r="B60" s="50" t="s">
        <v>13</v>
      </c>
      <c r="C60" s="51" t="s">
        <v>793</v>
      </c>
      <c r="D60" s="52" t="s">
        <v>21</v>
      </c>
      <c r="E60" s="52" t="s">
        <v>22</v>
      </c>
      <c r="F60" s="53">
        <v>352539591464970</v>
      </c>
      <c r="G60" s="52"/>
      <c r="H60" s="54">
        <v>45815</v>
      </c>
      <c r="I60" s="55">
        <v>218</v>
      </c>
      <c r="J60" s="55"/>
      <c r="K60" s="54">
        <v>45819</v>
      </c>
      <c r="L60" s="72">
        <f>Таблица3[[#This Row],[OLINGAN NARXI $]]+Таблица3[[#This Row],[RASXOD]]</f>
        <v>135</v>
      </c>
      <c r="M60" s="55">
        <v>280</v>
      </c>
      <c r="N60" s="55">
        <v>62</v>
      </c>
      <c r="O60" s="51" t="s">
        <v>1308</v>
      </c>
    </row>
    <row r="61" spans="1:15" s="83" customFormat="1" x14ac:dyDescent="0.3">
      <c r="A61" s="116">
        <v>60</v>
      </c>
      <c r="B61" s="76" t="s">
        <v>16</v>
      </c>
      <c r="C61" s="77" t="s">
        <v>111</v>
      </c>
      <c r="D61" s="78" t="s">
        <v>89</v>
      </c>
      <c r="E61" s="78" t="s">
        <v>15</v>
      </c>
      <c r="F61" s="79">
        <v>354628822794533</v>
      </c>
      <c r="G61" s="78"/>
      <c r="H61" s="80">
        <v>45760</v>
      </c>
      <c r="I61" s="81">
        <v>203</v>
      </c>
      <c r="J61" s="81">
        <v>27</v>
      </c>
      <c r="K61" s="80">
        <v>45819</v>
      </c>
      <c r="L61" s="82">
        <f>Таблица3[[#This Row],[OLINGAN NARXI $]]+Таблица3[[#This Row],[RASXOD]]</f>
        <v>60</v>
      </c>
      <c r="M61" s="81">
        <v>270</v>
      </c>
      <c r="N61" s="81">
        <v>40</v>
      </c>
      <c r="O61" s="77" t="s">
        <v>147</v>
      </c>
    </row>
    <row r="62" spans="1:15" s="56" customFormat="1" x14ac:dyDescent="0.3">
      <c r="A62" s="116">
        <v>61</v>
      </c>
      <c r="B62" s="50" t="s">
        <v>16</v>
      </c>
      <c r="C62" s="51" t="s">
        <v>149</v>
      </c>
      <c r="D62" s="52" t="s">
        <v>35</v>
      </c>
      <c r="E62" s="52" t="s">
        <v>15</v>
      </c>
      <c r="F62" s="53">
        <v>356564104698696</v>
      </c>
      <c r="G62" s="52"/>
      <c r="H62" s="54">
        <v>45634</v>
      </c>
      <c r="I62" s="55">
        <v>200</v>
      </c>
      <c r="J62" s="55"/>
      <c r="K62" s="54">
        <v>45819</v>
      </c>
      <c r="L62" s="72">
        <f>Таблица3[[#This Row],[OLINGAN NARXI $]]+Таблица3[[#This Row],[RASXOD]]</f>
        <v>172.7</v>
      </c>
      <c r="M62" s="55">
        <v>228</v>
      </c>
      <c r="N62" s="55">
        <v>28</v>
      </c>
      <c r="O62" s="51" t="s">
        <v>147</v>
      </c>
    </row>
    <row r="63" spans="1:15" s="56" customFormat="1" x14ac:dyDescent="0.3">
      <c r="A63" s="116">
        <v>62</v>
      </c>
      <c r="B63" s="50" t="s">
        <v>13</v>
      </c>
      <c r="C63" s="51" t="s">
        <v>502</v>
      </c>
      <c r="D63" s="52" t="s">
        <v>21</v>
      </c>
      <c r="E63" s="52" t="s">
        <v>15</v>
      </c>
      <c r="F63" s="53">
        <v>351747952078229</v>
      </c>
      <c r="G63" s="52"/>
      <c r="H63" s="54">
        <v>45813</v>
      </c>
      <c r="I63" s="55">
        <v>475</v>
      </c>
      <c r="J63" s="55"/>
      <c r="K63" s="54">
        <v>45819</v>
      </c>
      <c r="L63" s="72">
        <f>Таблица3[[#This Row],[OLINGAN NARXI $]]+Таблица3[[#This Row],[RASXOD]]</f>
        <v>164.7</v>
      </c>
      <c r="M63" s="55">
        <v>508</v>
      </c>
      <c r="N63" s="55">
        <v>33</v>
      </c>
      <c r="O63" s="51" t="s">
        <v>19</v>
      </c>
    </row>
    <row r="64" spans="1:15" s="83" customFormat="1" x14ac:dyDescent="0.3">
      <c r="A64" s="116">
        <v>63</v>
      </c>
      <c r="B64" s="76" t="s">
        <v>16</v>
      </c>
      <c r="C64" s="77" t="s">
        <v>34</v>
      </c>
      <c r="D64" s="78" t="s">
        <v>35</v>
      </c>
      <c r="E64" s="78" t="s">
        <v>15</v>
      </c>
      <c r="F64" s="79">
        <v>358457889447645</v>
      </c>
      <c r="G64" s="78"/>
      <c r="H64" s="80">
        <v>45809</v>
      </c>
      <c r="I64" s="81">
        <v>600</v>
      </c>
      <c r="J64" s="81"/>
      <c r="K64" s="80">
        <v>45819</v>
      </c>
      <c r="L64" s="82">
        <f>Таблица3[[#This Row],[OLINGAN NARXI $]]+Таблица3[[#This Row],[RASXOD]]</f>
        <v>164.7</v>
      </c>
      <c r="M64" s="81">
        <v>670</v>
      </c>
      <c r="N64" s="81">
        <v>70</v>
      </c>
      <c r="O64" s="77" t="s">
        <v>1292</v>
      </c>
    </row>
    <row r="65" spans="1:15" s="83" customFormat="1" x14ac:dyDescent="0.3">
      <c r="A65" s="116">
        <v>64</v>
      </c>
      <c r="B65" s="76" t="s">
        <v>16</v>
      </c>
      <c r="C65" s="77" t="s">
        <v>160</v>
      </c>
      <c r="D65" s="78" t="s">
        <v>21</v>
      </c>
      <c r="E65" s="78" t="s">
        <v>15</v>
      </c>
      <c r="F65" s="79">
        <v>358564741278686</v>
      </c>
      <c r="G65" s="78"/>
      <c r="H65" s="80">
        <v>45813</v>
      </c>
      <c r="I65" s="81">
        <v>850</v>
      </c>
      <c r="J65" s="81"/>
      <c r="K65" s="80">
        <v>45819</v>
      </c>
      <c r="L65" s="82">
        <f>Таблица3[[#This Row],[OLINGAN NARXI $]]+Таблица3[[#This Row],[RASXOD]]</f>
        <v>1100</v>
      </c>
      <c r="M65" s="81">
        <v>960</v>
      </c>
      <c r="N65" s="81">
        <v>110</v>
      </c>
      <c r="O65" s="77" t="s">
        <v>19</v>
      </c>
    </row>
    <row r="66" spans="1:15" s="83" customFormat="1" x14ac:dyDescent="0.3">
      <c r="A66" s="116">
        <v>65</v>
      </c>
      <c r="B66" s="76" t="s">
        <v>16</v>
      </c>
      <c r="C66" s="77" t="s">
        <v>25</v>
      </c>
      <c r="D66" s="78" t="s">
        <v>26</v>
      </c>
      <c r="E66" s="78" t="s">
        <v>22</v>
      </c>
      <c r="F66" s="79">
        <v>350069704969543</v>
      </c>
      <c r="G66" s="78"/>
      <c r="H66" s="80">
        <v>45809</v>
      </c>
      <c r="I66" s="81">
        <v>760</v>
      </c>
      <c r="J66" s="81"/>
      <c r="K66" s="80">
        <v>45819</v>
      </c>
      <c r="L66" s="82">
        <f>Таблица3[[#This Row],[OLINGAN NARXI $]]+Таблица3[[#This Row],[RASXOD]]</f>
        <v>1200</v>
      </c>
      <c r="M66" s="81">
        <v>820</v>
      </c>
      <c r="N66" s="81">
        <v>60</v>
      </c>
      <c r="O66" s="77" t="s">
        <v>1290</v>
      </c>
    </row>
    <row r="67" spans="1:15" s="83" customFormat="1" x14ac:dyDescent="0.3">
      <c r="A67" s="116">
        <v>66</v>
      </c>
      <c r="B67" s="76" t="s">
        <v>16</v>
      </c>
      <c r="C67" s="77" t="s">
        <v>148</v>
      </c>
      <c r="D67" s="78" t="s">
        <v>65</v>
      </c>
      <c r="E67" s="78" t="s">
        <v>22</v>
      </c>
      <c r="F67" s="79">
        <v>351194966608727</v>
      </c>
      <c r="G67" s="78"/>
      <c r="H67" s="80">
        <v>45691</v>
      </c>
      <c r="I67" s="81">
        <v>200</v>
      </c>
      <c r="J67" s="81">
        <v>40</v>
      </c>
      <c r="K67" s="80">
        <v>45819</v>
      </c>
      <c r="L67" s="82">
        <f>Таблица3[[#This Row],[OLINGAN NARXI $]]+Таблица3[[#This Row],[RASXOD]]</f>
        <v>210</v>
      </c>
      <c r="M67" s="81">
        <v>290</v>
      </c>
      <c r="N67" s="81">
        <v>50</v>
      </c>
      <c r="O67" s="77" t="s">
        <v>837</v>
      </c>
    </row>
    <row r="68" spans="1:15" s="83" customFormat="1" x14ac:dyDescent="0.3">
      <c r="A68" s="116">
        <v>67</v>
      </c>
      <c r="B68" s="76" t="s">
        <v>16</v>
      </c>
      <c r="C68" s="77" t="s">
        <v>81</v>
      </c>
      <c r="D68" s="78" t="s">
        <v>45</v>
      </c>
      <c r="E68" s="78" t="s">
        <v>22</v>
      </c>
      <c r="F68" s="79">
        <v>350283161340276</v>
      </c>
      <c r="G68" s="78"/>
      <c r="H68" s="80">
        <v>45799</v>
      </c>
      <c r="I68" s="81">
        <v>465</v>
      </c>
      <c r="J68" s="81"/>
      <c r="K68" s="80">
        <v>45819</v>
      </c>
      <c r="L68" s="82">
        <f>Таблица3[[#This Row],[OLINGAN NARXI $]]+Таблица3[[#This Row],[RASXOD]]</f>
        <v>570</v>
      </c>
      <c r="M68" s="81">
        <v>500</v>
      </c>
      <c r="N68" s="81">
        <v>35</v>
      </c>
      <c r="O68" s="77" t="s">
        <v>19</v>
      </c>
    </row>
    <row r="69" spans="1:15" s="99" customFormat="1" ht="14.25" customHeight="1" x14ac:dyDescent="0.3">
      <c r="A69" s="116">
        <v>68</v>
      </c>
      <c r="B69" s="92" t="s">
        <v>16</v>
      </c>
      <c r="C69" s="93" t="s">
        <v>32</v>
      </c>
      <c r="D69" s="94" t="s">
        <v>21</v>
      </c>
      <c r="E69" s="94" t="s">
        <v>22</v>
      </c>
      <c r="F69" s="95">
        <v>354408271902980</v>
      </c>
      <c r="G69" s="94"/>
      <c r="H69" s="96">
        <v>45809</v>
      </c>
      <c r="I69" s="97">
        <v>670</v>
      </c>
      <c r="J69" s="97"/>
      <c r="K69" s="96">
        <v>45819</v>
      </c>
      <c r="L69" s="98">
        <f>Таблица3[[#This Row],[OLINGAN NARXI $]]+Таблица3[[#This Row],[RASXOD]]</f>
        <v>850</v>
      </c>
      <c r="M69" s="97">
        <v>700</v>
      </c>
      <c r="N69" s="97">
        <v>30</v>
      </c>
      <c r="O69" s="93" t="s">
        <v>1291</v>
      </c>
    </row>
    <row r="70" spans="1:15" s="56" customFormat="1" x14ac:dyDescent="0.3">
      <c r="A70" s="116">
        <v>69</v>
      </c>
      <c r="B70" s="50" t="s">
        <v>16</v>
      </c>
      <c r="C70" s="51" t="s">
        <v>74</v>
      </c>
      <c r="D70" s="52" t="s">
        <v>18</v>
      </c>
      <c r="E70" s="52" t="s">
        <v>15</v>
      </c>
      <c r="F70" s="53">
        <v>354606983985587</v>
      </c>
      <c r="G70" s="52"/>
      <c r="H70" s="54">
        <v>45810</v>
      </c>
      <c r="I70" s="55">
        <v>530</v>
      </c>
      <c r="J70" s="55"/>
      <c r="K70" s="54">
        <v>45820</v>
      </c>
      <c r="L70" s="72">
        <f>Таблица3[[#This Row],[OLINGAN NARXI $]]+Таблица3[[#This Row],[RASXOD]]</f>
        <v>550</v>
      </c>
      <c r="M70" s="55">
        <v>580</v>
      </c>
      <c r="N70" s="55">
        <v>50</v>
      </c>
      <c r="O70" s="51">
        <v>200074867</v>
      </c>
    </row>
    <row r="71" spans="1:15" s="83" customFormat="1" x14ac:dyDescent="0.3">
      <c r="A71" s="116">
        <v>70</v>
      </c>
      <c r="B71" s="76" t="s">
        <v>16</v>
      </c>
      <c r="C71" s="77" t="s">
        <v>32</v>
      </c>
      <c r="D71" s="78" t="s">
        <v>26</v>
      </c>
      <c r="E71" s="78" t="s">
        <v>15</v>
      </c>
      <c r="F71" s="79">
        <v>359368232631653</v>
      </c>
      <c r="G71" s="78"/>
      <c r="H71" s="80">
        <v>45813</v>
      </c>
      <c r="I71" s="81">
        <v>670</v>
      </c>
      <c r="J71" s="81"/>
      <c r="K71" s="80">
        <v>45820</v>
      </c>
      <c r="L71" s="82">
        <f>Таблица3[[#This Row],[OLINGAN NARXI $]]+Таблица3[[#This Row],[RASXOD]]</f>
        <v>720</v>
      </c>
      <c r="M71" s="81">
        <v>710</v>
      </c>
      <c r="N71" s="81">
        <v>40</v>
      </c>
      <c r="O71" s="77" t="s">
        <v>19</v>
      </c>
    </row>
    <row r="72" spans="1:15" s="99" customFormat="1" x14ac:dyDescent="0.3">
      <c r="A72" s="116">
        <v>71</v>
      </c>
      <c r="B72" s="92" t="s">
        <v>16</v>
      </c>
      <c r="C72" s="93" t="s">
        <v>25</v>
      </c>
      <c r="D72" s="94" t="s">
        <v>26</v>
      </c>
      <c r="E72" s="94" t="s">
        <v>22</v>
      </c>
      <c r="F72" s="95">
        <v>354673798580300</v>
      </c>
      <c r="G72" s="94"/>
      <c r="H72" s="96">
        <v>45806</v>
      </c>
      <c r="I72" s="97">
        <v>800</v>
      </c>
      <c r="J72" s="97"/>
      <c r="K72" s="96">
        <v>45820</v>
      </c>
      <c r="L72" s="98">
        <f>Таблица3[[#This Row],[OLINGAN NARXI $]]+Таблица3[[#This Row],[RASXOD]]</f>
        <v>464</v>
      </c>
      <c r="M72" s="97">
        <v>850</v>
      </c>
      <c r="N72" s="97">
        <v>50</v>
      </c>
      <c r="O72" s="93" t="s">
        <v>1277</v>
      </c>
    </row>
    <row r="73" spans="1:15" s="83" customFormat="1" x14ac:dyDescent="0.3">
      <c r="A73" s="116">
        <v>72</v>
      </c>
      <c r="B73" s="76" t="s">
        <v>16</v>
      </c>
      <c r="C73" s="77" t="s">
        <v>148</v>
      </c>
      <c r="D73" s="78" t="s">
        <v>65</v>
      </c>
      <c r="E73" s="78" t="s">
        <v>22</v>
      </c>
      <c r="F73" s="79">
        <v>355103311095551</v>
      </c>
      <c r="G73" s="78"/>
      <c r="H73" s="80">
        <v>45790</v>
      </c>
      <c r="I73" s="81">
        <v>275</v>
      </c>
      <c r="J73" s="81"/>
      <c r="K73" s="80">
        <v>45821</v>
      </c>
      <c r="L73" s="82">
        <f>Таблица3[[#This Row],[OLINGAN NARXI $]]+Таблица3[[#This Row],[RASXOD]]</f>
        <v>330</v>
      </c>
      <c r="M73" s="81">
        <v>320</v>
      </c>
      <c r="N73" s="81">
        <v>45</v>
      </c>
      <c r="O73" s="77" t="s">
        <v>1209</v>
      </c>
    </row>
    <row r="74" spans="1:15" s="99" customFormat="1" x14ac:dyDescent="0.3">
      <c r="A74" s="116">
        <v>73</v>
      </c>
      <c r="B74" s="92" t="s">
        <v>16</v>
      </c>
      <c r="C74" s="93" t="s">
        <v>25</v>
      </c>
      <c r="D74" s="94" t="s">
        <v>26</v>
      </c>
      <c r="E74" s="94" t="s">
        <v>22</v>
      </c>
      <c r="F74" s="95">
        <v>355945143934260</v>
      </c>
      <c r="G74" s="94"/>
      <c r="H74" s="96">
        <v>45813</v>
      </c>
      <c r="I74" s="97">
        <v>830</v>
      </c>
      <c r="J74" s="97"/>
      <c r="K74" s="96">
        <v>45821</v>
      </c>
      <c r="L74" s="98">
        <f>Таблица3[[#This Row],[OLINGAN NARXI $]]+Таблица3[[#This Row],[RASXOD]]</f>
        <v>565</v>
      </c>
      <c r="M74" s="97">
        <v>930</v>
      </c>
      <c r="N74" s="97">
        <v>100</v>
      </c>
      <c r="O74" s="93" t="s">
        <v>209</v>
      </c>
    </row>
    <row r="75" spans="1:15" s="83" customFormat="1" x14ac:dyDescent="0.3">
      <c r="A75" s="116">
        <v>74</v>
      </c>
      <c r="B75" s="76" t="s">
        <v>16</v>
      </c>
      <c r="C75" s="77" t="s">
        <v>1084</v>
      </c>
      <c r="D75" s="78" t="s">
        <v>21</v>
      </c>
      <c r="E75" s="78" t="s">
        <v>22</v>
      </c>
      <c r="F75" s="79">
        <v>354427911737655</v>
      </c>
      <c r="G75" s="78"/>
      <c r="H75" s="80">
        <v>45816</v>
      </c>
      <c r="I75" s="81">
        <v>680</v>
      </c>
      <c r="J75" s="81"/>
      <c r="K75" s="80">
        <v>45821</v>
      </c>
      <c r="L75" s="82">
        <f>Таблица3[[#This Row],[OLINGAN NARXI $]]+Таблица3[[#This Row],[RASXOD]]</f>
        <v>550</v>
      </c>
      <c r="M75" s="81">
        <v>720</v>
      </c>
      <c r="N75" s="81">
        <v>40</v>
      </c>
      <c r="O75" s="77">
        <v>990052055</v>
      </c>
    </row>
    <row r="76" spans="1:15" s="99" customFormat="1" x14ac:dyDescent="0.3">
      <c r="A76" s="116">
        <v>75</v>
      </c>
      <c r="B76" s="92" t="s">
        <v>16</v>
      </c>
      <c r="C76" s="93" t="s">
        <v>32</v>
      </c>
      <c r="D76" s="94" t="s">
        <v>26</v>
      </c>
      <c r="E76" s="94" t="s">
        <v>22</v>
      </c>
      <c r="F76" s="95">
        <v>358571319941637</v>
      </c>
      <c r="G76" s="94"/>
      <c r="H76" s="96">
        <v>45819</v>
      </c>
      <c r="I76" s="97">
        <v>670</v>
      </c>
      <c r="J76" s="97"/>
      <c r="K76" s="96">
        <v>45821</v>
      </c>
      <c r="L76" s="98">
        <f>Таблица3[[#This Row],[OLINGAN NARXI $]]+Таблица3[[#This Row],[RASXOD]]</f>
        <v>330</v>
      </c>
      <c r="M76" s="97">
        <v>750</v>
      </c>
      <c r="N76" s="97">
        <v>80</v>
      </c>
      <c r="O76" s="93">
        <v>999838048</v>
      </c>
    </row>
    <row r="77" spans="1:15" s="99" customFormat="1" x14ac:dyDescent="0.3">
      <c r="A77" s="116">
        <v>76</v>
      </c>
      <c r="B77" s="92" t="s">
        <v>16</v>
      </c>
      <c r="C77" s="93" t="s">
        <v>312</v>
      </c>
      <c r="D77" s="94" t="s">
        <v>65</v>
      </c>
      <c r="E77" s="94" t="s">
        <v>15</v>
      </c>
      <c r="F77" s="95">
        <v>352996435918498</v>
      </c>
      <c r="G77" s="94"/>
      <c r="H77" s="96">
        <v>45796</v>
      </c>
      <c r="I77" s="97">
        <v>500</v>
      </c>
      <c r="J77" s="97"/>
      <c r="K77" s="96">
        <v>45821</v>
      </c>
      <c r="L77" s="98">
        <f>Таблица3[[#This Row],[OLINGAN NARXI $]]+Таблица3[[#This Row],[RASXOD]]</f>
        <v>160</v>
      </c>
      <c r="M77" s="97">
        <v>538</v>
      </c>
      <c r="N77" s="97">
        <v>38</v>
      </c>
      <c r="O77" s="93" t="s">
        <v>1227</v>
      </c>
    </row>
    <row r="78" spans="1:15" s="56" customFormat="1" x14ac:dyDescent="0.3">
      <c r="A78" s="116">
        <v>77</v>
      </c>
      <c r="B78" s="50" t="s">
        <v>13</v>
      </c>
      <c r="C78" s="51" t="s">
        <v>1082</v>
      </c>
      <c r="D78" s="52" t="s">
        <v>217</v>
      </c>
      <c r="E78" s="52" t="s">
        <v>15</v>
      </c>
      <c r="F78" s="53">
        <v>355374102527025</v>
      </c>
      <c r="G78" s="52"/>
      <c r="H78" s="54">
        <v>45769</v>
      </c>
      <c r="I78" s="55">
        <v>160</v>
      </c>
      <c r="J78" s="55">
        <v>27</v>
      </c>
      <c r="K78" s="54">
        <v>45821</v>
      </c>
      <c r="L78" s="72">
        <f>Таблица3[[#This Row],[OLINGAN NARXI $]]+Таблица3[[#This Row],[RASXOD]]</f>
        <v>450</v>
      </c>
      <c r="M78" s="55">
        <v>209</v>
      </c>
      <c r="N78" s="55">
        <v>22</v>
      </c>
      <c r="O78" s="51" t="s">
        <v>147</v>
      </c>
    </row>
    <row r="79" spans="1:15" s="83" customFormat="1" x14ac:dyDescent="0.3">
      <c r="A79" s="116">
        <v>78</v>
      </c>
      <c r="B79" s="76" t="s">
        <v>16</v>
      </c>
      <c r="C79" s="77" t="s">
        <v>39</v>
      </c>
      <c r="D79" s="78" t="s">
        <v>21</v>
      </c>
      <c r="E79" s="78" t="s">
        <v>15</v>
      </c>
      <c r="F79" s="79">
        <v>350636590433980</v>
      </c>
      <c r="G79" s="78"/>
      <c r="H79" s="80">
        <v>45812</v>
      </c>
      <c r="I79" s="81">
        <v>560</v>
      </c>
      <c r="J79" s="81"/>
      <c r="K79" s="80" t="s">
        <v>1335</v>
      </c>
      <c r="L79" s="82">
        <f>Таблица3[[#This Row],[OLINGAN NARXI $]]+Таблица3[[#This Row],[RASXOD]]</f>
        <v>900</v>
      </c>
      <c r="M79" s="81">
        <v>650</v>
      </c>
      <c r="N79" s="81">
        <v>90</v>
      </c>
      <c r="O79" s="77" t="s">
        <v>147</v>
      </c>
    </row>
    <row r="80" spans="1:15" s="99" customFormat="1" x14ac:dyDescent="0.3">
      <c r="A80" s="116">
        <v>79</v>
      </c>
      <c r="B80" s="92" t="s">
        <v>16</v>
      </c>
      <c r="C80" s="93" t="s">
        <v>1000</v>
      </c>
      <c r="D80" s="94" t="s">
        <v>583</v>
      </c>
      <c r="E80" s="94" t="s">
        <v>22</v>
      </c>
      <c r="F80" s="95">
        <v>350970404147142</v>
      </c>
      <c r="G80" s="94"/>
      <c r="H80" s="96">
        <v>45820</v>
      </c>
      <c r="I80" s="97">
        <v>1080</v>
      </c>
      <c r="J80" s="97"/>
      <c r="K80" s="96">
        <v>45821</v>
      </c>
      <c r="L80" s="98">
        <f>Таблица3[[#This Row],[OLINGAN NARXI $]]+Таблица3[[#This Row],[RASXOD]]</f>
        <v>700</v>
      </c>
      <c r="M80" s="97">
        <v>1100</v>
      </c>
      <c r="N80" s="97">
        <v>20</v>
      </c>
      <c r="O80" s="93" t="s">
        <v>1331</v>
      </c>
    </row>
    <row r="81" spans="1:15" s="83" customFormat="1" x14ac:dyDescent="0.3">
      <c r="A81" s="116">
        <v>80</v>
      </c>
      <c r="B81" s="76" t="s">
        <v>13</v>
      </c>
      <c r="C81" s="77" t="s">
        <v>117</v>
      </c>
      <c r="D81" s="78" t="s">
        <v>89</v>
      </c>
      <c r="E81" s="78" t="s">
        <v>15</v>
      </c>
      <c r="F81" s="79">
        <v>351424775061796</v>
      </c>
      <c r="G81" s="78"/>
      <c r="H81" s="80">
        <v>45799</v>
      </c>
      <c r="I81" s="81">
        <v>210</v>
      </c>
      <c r="J81" s="81"/>
      <c r="K81" s="80">
        <v>45822</v>
      </c>
      <c r="L81" s="82">
        <f>Таблица3[[#This Row],[OLINGAN NARXI $]]+Таблица3[[#This Row],[RASXOD]]</f>
        <v>1080</v>
      </c>
      <c r="M81" s="81">
        <v>278</v>
      </c>
      <c r="N81" s="81">
        <v>68</v>
      </c>
      <c r="O81" s="77" t="s">
        <v>147</v>
      </c>
    </row>
    <row r="82" spans="1:15" s="56" customFormat="1" x14ac:dyDescent="0.3">
      <c r="A82" s="116">
        <v>81</v>
      </c>
      <c r="B82" s="50" t="s">
        <v>16</v>
      </c>
      <c r="C82" s="51" t="s">
        <v>34</v>
      </c>
      <c r="D82" s="52" t="s">
        <v>35</v>
      </c>
      <c r="E82" s="52" t="s">
        <v>15</v>
      </c>
      <c r="F82" s="53">
        <v>350321531055131</v>
      </c>
      <c r="G82" s="52"/>
      <c r="H82" s="54">
        <v>45820</v>
      </c>
      <c r="I82" s="55">
        <v>550</v>
      </c>
      <c r="J82" s="55"/>
      <c r="K82" s="54">
        <v>45822</v>
      </c>
      <c r="L82" s="72">
        <f>Таблица3[[#This Row],[OLINGAN NARXI $]]+Таблица3[[#This Row],[RASXOD]]</f>
        <v>850</v>
      </c>
      <c r="M82" s="55">
        <v>610</v>
      </c>
      <c r="N82" s="55">
        <v>60</v>
      </c>
      <c r="O82" s="51" t="s">
        <v>1332</v>
      </c>
    </row>
    <row r="83" spans="1:15" s="83" customFormat="1" x14ac:dyDescent="0.3">
      <c r="A83" s="116">
        <v>82</v>
      </c>
      <c r="B83" s="76" t="s">
        <v>16</v>
      </c>
      <c r="C83" s="77" t="s">
        <v>639</v>
      </c>
      <c r="D83" s="78" t="s">
        <v>35</v>
      </c>
      <c r="E83" s="78" t="s">
        <v>22</v>
      </c>
      <c r="F83" s="79">
        <v>356041407193139</v>
      </c>
      <c r="G83" s="78"/>
      <c r="H83" s="80">
        <v>45821</v>
      </c>
      <c r="I83" s="81">
        <v>469</v>
      </c>
      <c r="J83" s="81"/>
      <c r="K83" s="80">
        <v>45822</v>
      </c>
      <c r="L83" s="82">
        <f>Таблица3[[#This Row],[OLINGAN NARXI $]]+Таблица3[[#This Row],[RASXOD]]</f>
        <v>0</v>
      </c>
      <c r="M83" s="81">
        <v>570</v>
      </c>
      <c r="N83" s="81">
        <v>101</v>
      </c>
      <c r="O83" s="77">
        <v>948683607</v>
      </c>
    </row>
    <row r="84" spans="1:15" s="105" customFormat="1" x14ac:dyDescent="0.3">
      <c r="A84" s="116">
        <v>83</v>
      </c>
      <c r="B84" s="100" t="s">
        <v>16</v>
      </c>
      <c r="C84" s="101" t="s">
        <v>552</v>
      </c>
      <c r="D84" s="102" t="s">
        <v>18</v>
      </c>
      <c r="E84" s="102" t="s">
        <v>15</v>
      </c>
      <c r="F84" s="10">
        <v>353843104432212</v>
      </c>
      <c r="G84" s="102" t="s">
        <v>61</v>
      </c>
      <c r="H84" s="103">
        <v>45808</v>
      </c>
      <c r="I84" s="26">
        <v>200</v>
      </c>
      <c r="J84" s="26"/>
      <c r="K84" s="103">
        <v>45822</v>
      </c>
      <c r="L84" s="104">
        <f>Таблица3[[#This Row],[OLINGAN NARXI $]]+Таблица3[[#This Row],[RASXOD]]</f>
        <v>860</v>
      </c>
      <c r="M84" s="26">
        <v>250</v>
      </c>
      <c r="N84" s="26">
        <v>50</v>
      </c>
      <c r="O84" s="101" t="s">
        <v>1285</v>
      </c>
    </row>
    <row r="85" spans="1:15" s="56" customFormat="1" x14ac:dyDescent="0.3">
      <c r="A85" s="116">
        <v>84</v>
      </c>
      <c r="B85" s="50" t="s">
        <v>16</v>
      </c>
      <c r="C85" s="51" t="s">
        <v>552</v>
      </c>
      <c r="D85" s="52" t="s">
        <v>97</v>
      </c>
      <c r="E85" s="52" t="s">
        <v>15</v>
      </c>
      <c r="F85" s="53">
        <v>352822114377113</v>
      </c>
      <c r="G85" s="52"/>
      <c r="H85" s="54">
        <v>45793</v>
      </c>
      <c r="I85" s="55">
        <v>200</v>
      </c>
      <c r="J85" s="55">
        <v>32.6</v>
      </c>
      <c r="K85" s="54">
        <v>45822</v>
      </c>
      <c r="L85" s="72">
        <f>Таблица3[[#This Row],[OLINGAN NARXI $]]+Таблица3[[#This Row],[RASXOD]]</f>
        <v>427.7</v>
      </c>
      <c r="M85" s="55">
        <v>265</v>
      </c>
      <c r="N85" s="55">
        <v>32.4</v>
      </c>
      <c r="O85" s="51" t="s">
        <v>147</v>
      </c>
    </row>
    <row r="86" spans="1:15" s="99" customFormat="1" x14ac:dyDescent="0.3">
      <c r="A86" s="116">
        <v>85</v>
      </c>
      <c r="B86" s="92" t="s">
        <v>16</v>
      </c>
      <c r="C86" s="93" t="s">
        <v>1326</v>
      </c>
      <c r="D86" s="94" t="s">
        <v>45</v>
      </c>
      <c r="E86" s="94" t="s">
        <v>15</v>
      </c>
      <c r="F86" s="95">
        <v>357306090476540</v>
      </c>
      <c r="G86" s="94" t="s">
        <v>556</v>
      </c>
      <c r="H86" s="96">
        <v>45819</v>
      </c>
      <c r="I86" s="97">
        <v>120</v>
      </c>
      <c r="J86" s="97"/>
      <c r="K86" s="96">
        <v>45822</v>
      </c>
      <c r="L86" s="98">
        <f>Таблица3[[#This Row],[OLINGAN NARXI $]]+Таблица3[[#This Row],[RASXOD]]</f>
        <v>560</v>
      </c>
      <c r="M86" s="97">
        <v>180</v>
      </c>
      <c r="N86" s="97">
        <v>60</v>
      </c>
      <c r="O86" s="93"/>
    </row>
    <row r="87" spans="1:15" s="105" customFormat="1" x14ac:dyDescent="0.3">
      <c r="A87" s="116">
        <v>86</v>
      </c>
      <c r="B87" s="100" t="s">
        <v>13</v>
      </c>
      <c r="C87" s="101" t="s">
        <v>1189</v>
      </c>
      <c r="D87" s="102" t="s">
        <v>21</v>
      </c>
      <c r="E87" s="102" t="s">
        <v>22</v>
      </c>
      <c r="F87" s="10">
        <v>357950542817015</v>
      </c>
      <c r="G87" s="102"/>
      <c r="H87" s="103">
        <v>45786</v>
      </c>
      <c r="I87" s="26">
        <v>38</v>
      </c>
      <c r="J87" s="26"/>
      <c r="K87" s="103">
        <v>45822</v>
      </c>
      <c r="L87" s="104">
        <f>Таблица3[[#This Row],[OLINGAN NARXI $]]+Таблица3[[#This Row],[RASXOD]]</f>
        <v>210</v>
      </c>
      <c r="M87" s="26">
        <v>65</v>
      </c>
      <c r="N87" s="26">
        <v>27</v>
      </c>
      <c r="O87" s="101">
        <v>900849757</v>
      </c>
    </row>
    <row r="88" spans="1:15" s="99" customFormat="1" x14ac:dyDescent="0.3">
      <c r="A88" s="116">
        <v>87</v>
      </c>
      <c r="B88" s="92" t="s">
        <v>16</v>
      </c>
      <c r="C88" s="93" t="s">
        <v>1192</v>
      </c>
      <c r="D88" s="94" t="s">
        <v>21</v>
      </c>
      <c r="E88" s="94" t="s">
        <v>15</v>
      </c>
      <c r="F88" s="95">
        <v>35538072659865</v>
      </c>
      <c r="G88" s="94"/>
      <c r="H88" s="96">
        <v>45787</v>
      </c>
      <c r="I88" s="97">
        <v>38</v>
      </c>
      <c r="J88" s="97"/>
      <c r="K88" s="96">
        <v>45822</v>
      </c>
      <c r="L88" s="98">
        <f>Таблица3[[#This Row],[OLINGAN NARXI $]]+Таблица3[[#This Row],[RASXOD]]</f>
        <v>210</v>
      </c>
      <c r="M88" s="97">
        <v>42</v>
      </c>
      <c r="N88" s="97">
        <v>4</v>
      </c>
      <c r="O88" s="93"/>
    </row>
    <row r="89" spans="1:15" s="83" customFormat="1" x14ac:dyDescent="0.3">
      <c r="A89" s="116">
        <v>88</v>
      </c>
      <c r="B89" s="76" t="s">
        <v>16</v>
      </c>
      <c r="C89" s="77" t="s">
        <v>128</v>
      </c>
      <c r="D89" s="78" t="s">
        <v>26</v>
      </c>
      <c r="E89" s="78" t="s">
        <v>22</v>
      </c>
      <c r="F89" s="79">
        <v>5370</v>
      </c>
      <c r="G89" s="78"/>
      <c r="H89" s="80">
        <v>45822</v>
      </c>
      <c r="I89" s="81">
        <v>740</v>
      </c>
      <c r="J89" s="81"/>
      <c r="K89" s="80">
        <v>45822</v>
      </c>
      <c r="L89" s="82">
        <f>Таблица375891011[[#This Row],[OLINGAN NARXI $]]+Таблица375891011[[#This Row],[RASXOD]]</f>
        <v>740</v>
      </c>
      <c r="M89" s="81">
        <v>780</v>
      </c>
      <c r="N89" s="81">
        <f>Таблица375891011[[#This Row],[SOTILGAN NARXI]]-Таблица375891011[[#This Row],[OLINGAN NARXI $]]-Таблица375891011[[#This Row],[RASXOD]]</f>
        <v>40</v>
      </c>
      <c r="O89" s="77" t="s">
        <v>1347</v>
      </c>
    </row>
    <row r="90" spans="1:15" s="83" customFormat="1" x14ac:dyDescent="0.3">
      <c r="A90" s="116">
        <v>89</v>
      </c>
      <c r="B90" s="76" t="s">
        <v>16</v>
      </c>
      <c r="C90" s="77" t="s">
        <v>83</v>
      </c>
      <c r="D90" s="78" t="s">
        <v>21</v>
      </c>
      <c r="E90" s="78" t="s">
        <v>22</v>
      </c>
      <c r="F90" s="79">
        <v>356133316314516</v>
      </c>
      <c r="G90" s="78"/>
      <c r="H90" s="80">
        <v>45808</v>
      </c>
      <c r="I90" s="81">
        <v>430</v>
      </c>
      <c r="J90" s="81"/>
      <c r="K90" s="80">
        <v>45823</v>
      </c>
      <c r="L90" s="82">
        <f>Таблица3[[#This Row],[OLINGAN NARXI $]]+Таблица3[[#This Row],[RASXOD]]</f>
        <v>420</v>
      </c>
      <c r="M90" s="81">
        <v>480</v>
      </c>
      <c r="N90" s="81">
        <v>50</v>
      </c>
      <c r="O90" s="77" t="s">
        <v>1285</v>
      </c>
    </row>
    <row r="91" spans="1:15" s="105" customFormat="1" x14ac:dyDescent="0.3">
      <c r="A91" s="116">
        <v>90</v>
      </c>
      <c r="B91" s="100" t="s">
        <v>13</v>
      </c>
      <c r="C91" s="101" t="s">
        <v>166</v>
      </c>
      <c r="D91" s="102" t="s">
        <v>217</v>
      </c>
      <c r="E91" s="102" t="s">
        <v>15</v>
      </c>
      <c r="F91" s="10">
        <v>357660105931208</v>
      </c>
      <c r="G91" s="102" t="s">
        <v>282</v>
      </c>
      <c r="H91" s="103">
        <v>45592</v>
      </c>
      <c r="I91" s="26">
        <v>150</v>
      </c>
      <c r="J91" s="26">
        <v>30</v>
      </c>
      <c r="K91" s="103">
        <v>45823</v>
      </c>
      <c r="L91" s="104">
        <f>Таблица3[[#This Row],[OLINGAN NARXI $]]+Таблица3[[#This Row],[RASXOD]]</f>
        <v>470</v>
      </c>
      <c r="M91" s="26">
        <v>160</v>
      </c>
      <c r="N91" s="26">
        <v>-20</v>
      </c>
      <c r="O91" s="101" t="s">
        <v>283</v>
      </c>
    </row>
    <row r="92" spans="1:15" s="105" customFormat="1" x14ac:dyDescent="0.3">
      <c r="A92" s="116">
        <v>91</v>
      </c>
      <c r="B92" s="100" t="s">
        <v>13</v>
      </c>
      <c r="C92" s="101" t="s">
        <v>216</v>
      </c>
      <c r="D92" s="102" t="s">
        <v>295</v>
      </c>
      <c r="E92" s="102" t="s">
        <v>15</v>
      </c>
      <c r="F92" s="10">
        <v>355347583842089</v>
      </c>
      <c r="G92" s="102"/>
      <c r="H92" s="103">
        <v>45813</v>
      </c>
      <c r="I92" s="26">
        <v>180</v>
      </c>
      <c r="J92" s="26"/>
      <c r="K92" s="103">
        <v>45823</v>
      </c>
      <c r="L92" s="104">
        <f>Таблица3[[#This Row],[OLINGAN NARXI $]]+Таблица3[[#This Row],[RASXOD]]</f>
        <v>320</v>
      </c>
      <c r="M92" s="26">
        <v>220</v>
      </c>
      <c r="N92" s="26">
        <v>40</v>
      </c>
      <c r="O92" s="101" t="s">
        <v>19</v>
      </c>
    </row>
    <row r="93" spans="1:15" s="105" customFormat="1" x14ac:dyDescent="0.3">
      <c r="A93" s="116">
        <v>92</v>
      </c>
      <c r="B93" s="100" t="s">
        <v>16</v>
      </c>
      <c r="C93" s="101" t="s">
        <v>83</v>
      </c>
      <c r="D93" s="102" t="s">
        <v>97</v>
      </c>
      <c r="E93" s="102" t="s">
        <v>22</v>
      </c>
      <c r="F93" s="10">
        <v>355843803360340</v>
      </c>
      <c r="G93" s="102"/>
      <c r="H93" s="103">
        <v>45822</v>
      </c>
      <c r="I93" s="26">
        <v>430</v>
      </c>
      <c r="J93" s="26"/>
      <c r="K93" s="103">
        <v>45823</v>
      </c>
      <c r="L93" s="104">
        <f>Таблица3[[#This Row],[OLINGAN NARXI $]]+Таблица3[[#This Row],[RASXOD]]</f>
        <v>700</v>
      </c>
      <c r="M93" s="26">
        <v>540</v>
      </c>
      <c r="N93" s="26">
        <v>110</v>
      </c>
      <c r="O93" s="101" t="s">
        <v>1345</v>
      </c>
    </row>
    <row r="94" spans="1:15" s="83" customFormat="1" x14ac:dyDescent="0.3">
      <c r="A94" s="116">
        <v>93</v>
      </c>
      <c r="B94" s="76" t="s">
        <v>16</v>
      </c>
      <c r="C94" s="77" t="s">
        <v>312</v>
      </c>
      <c r="D94" s="78" t="s">
        <v>21</v>
      </c>
      <c r="E94" s="78" t="s">
        <v>22</v>
      </c>
      <c r="F94" s="79">
        <v>352996434084045</v>
      </c>
      <c r="G94" s="78"/>
      <c r="H94" s="80">
        <v>45823</v>
      </c>
      <c r="I94" s="81">
        <v>510</v>
      </c>
      <c r="J94" s="81"/>
      <c r="K94" s="80">
        <v>45823</v>
      </c>
      <c r="L94" s="82">
        <f>Таблица3[[#This Row],[OLINGAN NARXI $]]+Таблица3[[#This Row],[RASXOD]]</f>
        <v>1190</v>
      </c>
      <c r="M94" s="81">
        <v>570</v>
      </c>
      <c r="N94" s="81">
        <v>60</v>
      </c>
      <c r="O94" s="77">
        <v>888202021</v>
      </c>
    </row>
    <row r="95" spans="1:15" s="83" customFormat="1" x14ac:dyDescent="0.3">
      <c r="A95" s="116">
        <v>94</v>
      </c>
      <c r="B95" s="76" t="s">
        <v>16</v>
      </c>
      <c r="C95" s="77" t="s">
        <v>109</v>
      </c>
      <c r="D95" s="78" t="s">
        <v>18</v>
      </c>
      <c r="E95" s="78" t="s">
        <v>15</v>
      </c>
      <c r="F95" s="79">
        <v>357219093813595</v>
      </c>
      <c r="G95" s="78"/>
      <c r="H95" s="80">
        <v>45818</v>
      </c>
      <c r="I95" s="81">
        <v>130</v>
      </c>
      <c r="J95" s="81"/>
      <c r="K95" s="80">
        <v>45823</v>
      </c>
      <c r="L95" s="82">
        <f>Таблица3[[#This Row],[OLINGAN NARXI $]]+Таблица3[[#This Row],[RASXOD]]</f>
        <v>250</v>
      </c>
      <c r="M95" s="81">
        <v>160</v>
      </c>
      <c r="N95" s="81">
        <v>30</v>
      </c>
      <c r="O95" s="77" t="s">
        <v>1321</v>
      </c>
    </row>
    <row r="96" spans="1:15" s="105" customFormat="1" x14ac:dyDescent="0.3">
      <c r="A96" s="116">
        <v>95</v>
      </c>
      <c r="B96" s="100" t="s">
        <v>16</v>
      </c>
      <c r="C96" s="101" t="s">
        <v>129</v>
      </c>
      <c r="D96" s="102" t="s">
        <v>45</v>
      </c>
      <c r="E96" s="102" t="s">
        <v>22</v>
      </c>
      <c r="F96" s="10">
        <v>356755854146171</v>
      </c>
      <c r="G96" s="102"/>
      <c r="H96" s="103">
        <v>45822</v>
      </c>
      <c r="I96" s="26">
        <v>520</v>
      </c>
      <c r="J96" s="26"/>
      <c r="K96" s="103">
        <v>45823</v>
      </c>
      <c r="L96" s="104">
        <f>Таблица3[[#This Row],[OLINGAN NARXI $]]+Таблица3[[#This Row],[RASXOD]]</f>
        <v>220</v>
      </c>
      <c r="M96" s="26">
        <v>600</v>
      </c>
      <c r="N96" s="26">
        <v>80</v>
      </c>
      <c r="O96" s="101">
        <v>977331156</v>
      </c>
    </row>
    <row r="97" spans="1:15" s="105" customFormat="1" x14ac:dyDescent="0.3">
      <c r="A97" s="116">
        <v>96</v>
      </c>
      <c r="B97" s="100" t="s">
        <v>16</v>
      </c>
      <c r="C97" s="101" t="s">
        <v>30</v>
      </c>
      <c r="D97" s="102" t="s">
        <v>21</v>
      </c>
      <c r="E97" s="102" t="s">
        <v>22</v>
      </c>
      <c r="F97" s="10">
        <v>352676522552877</v>
      </c>
      <c r="G97" s="102"/>
      <c r="H97" s="103">
        <v>45823</v>
      </c>
      <c r="I97" s="26">
        <v>750</v>
      </c>
      <c r="J97" s="26">
        <v>5</v>
      </c>
      <c r="K97" s="103">
        <v>45823</v>
      </c>
      <c r="L97" s="104">
        <f>Таблица3[[#This Row],[OLINGAN NARXI $]]+Таблица3[[#This Row],[RASXOD]]</f>
        <v>575</v>
      </c>
      <c r="M97" s="26">
        <v>805</v>
      </c>
      <c r="N97" s="26">
        <v>50</v>
      </c>
      <c r="O97" s="101" t="s">
        <v>1351</v>
      </c>
    </row>
    <row r="98" spans="1:15" s="83" customFormat="1" x14ac:dyDescent="0.3">
      <c r="A98" s="116">
        <v>97</v>
      </c>
      <c r="B98" s="76" t="s">
        <v>16</v>
      </c>
      <c r="C98" s="77" t="s">
        <v>104</v>
      </c>
      <c r="D98" s="78" t="s">
        <v>65</v>
      </c>
      <c r="E98" s="78" t="s">
        <v>15</v>
      </c>
      <c r="F98" s="79">
        <v>354245331710734</v>
      </c>
      <c r="G98" s="78"/>
      <c r="H98" s="80">
        <v>45821</v>
      </c>
      <c r="I98" s="81">
        <v>300</v>
      </c>
      <c r="J98" s="81"/>
      <c r="K98" s="80">
        <v>45823</v>
      </c>
      <c r="L98" s="82">
        <f>Таблица3[[#This Row],[OLINGAN NARXI $]]+Таблица3[[#This Row],[RASXOD]]</f>
        <v>600</v>
      </c>
      <c r="M98" s="81">
        <v>350</v>
      </c>
      <c r="N98" s="81">
        <v>50</v>
      </c>
      <c r="O98" s="77" t="s">
        <v>1339</v>
      </c>
    </row>
    <row r="99" spans="1:15" s="83" customFormat="1" x14ac:dyDescent="0.3">
      <c r="A99" s="116">
        <v>98</v>
      </c>
      <c r="B99" s="76" t="s">
        <v>13</v>
      </c>
      <c r="C99" s="77" t="s">
        <v>565</v>
      </c>
      <c r="D99" s="78" t="s">
        <v>18</v>
      </c>
      <c r="E99" s="78" t="s">
        <v>15</v>
      </c>
      <c r="F99" s="79">
        <v>352730630655658</v>
      </c>
      <c r="G99" s="78"/>
      <c r="H99" s="80">
        <v>45793</v>
      </c>
      <c r="I99" s="81">
        <v>345</v>
      </c>
      <c r="J99" s="81">
        <v>19.2</v>
      </c>
      <c r="K99" s="80">
        <v>45823</v>
      </c>
      <c r="L99" s="82">
        <f>Таблица3[[#This Row],[OLINGAN NARXI $]]+Таблица3[[#This Row],[RASXOD]]</f>
        <v>430</v>
      </c>
      <c r="M99" s="81">
        <v>410</v>
      </c>
      <c r="N99" s="81">
        <v>45.8</v>
      </c>
      <c r="O99" s="77" t="s">
        <v>147</v>
      </c>
    </row>
    <row r="100" spans="1:15" s="83" customFormat="1" x14ac:dyDescent="0.3">
      <c r="A100" s="116">
        <v>99</v>
      </c>
      <c r="B100" s="76" t="s">
        <v>16</v>
      </c>
      <c r="C100" s="77" t="s">
        <v>32</v>
      </c>
      <c r="D100" s="78" t="s">
        <v>65</v>
      </c>
      <c r="E100" s="78" t="s">
        <v>15</v>
      </c>
      <c r="F100" s="79">
        <v>351080476610297</v>
      </c>
      <c r="G100" s="78"/>
      <c r="H100" s="80">
        <v>45813</v>
      </c>
      <c r="I100" s="81">
        <v>670</v>
      </c>
      <c r="J100" s="81"/>
      <c r="K100" s="80">
        <v>45823</v>
      </c>
      <c r="L100" s="82">
        <f>Таблица3[[#This Row],[OLINGAN NARXI $]]+Таблица3[[#This Row],[RASXOD]]</f>
        <v>1160</v>
      </c>
      <c r="M100" s="81">
        <v>700</v>
      </c>
      <c r="N100" s="81">
        <v>30</v>
      </c>
      <c r="O100" s="77" t="s">
        <v>19</v>
      </c>
    </row>
    <row r="101" spans="1:15" s="56" customFormat="1" x14ac:dyDescent="0.3">
      <c r="A101" s="116">
        <v>100</v>
      </c>
      <c r="B101" s="50" t="s">
        <v>16</v>
      </c>
      <c r="C101" s="51" t="s">
        <v>128</v>
      </c>
      <c r="D101" s="52" t="s">
        <v>18</v>
      </c>
      <c r="E101" s="52" t="s">
        <v>15</v>
      </c>
      <c r="F101" s="53">
        <v>356116985820830</v>
      </c>
      <c r="G101" s="52" t="s">
        <v>556</v>
      </c>
      <c r="H101" s="54">
        <v>45820</v>
      </c>
      <c r="I101" s="55">
        <v>600</v>
      </c>
      <c r="J101" s="55"/>
      <c r="K101" s="54">
        <v>45823</v>
      </c>
      <c r="L101" s="72">
        <f>Таблица3[[#This Row],[OLINGAN NARXI $]]+Таблица3[[#This Row],[RASXOD]]</f>
        <v>340</v>
      </c>
      <c r="M101" s="55">
        <v>675</v>
      </c>
      <c r="N101" s="55">
        <v>75</v>
      </c>
      <c r="O101" s="51" t="s">
        <v>1329</v>
      </c>
    </row>
    <row r="102" spans="1:15" s="99" customFormat="1" ht="14.25" customHeight="1" x14ac:dyDescent="0.3">
      <c r="A102" s="116">
        <v>101</v>
      </c>
      <c r="B102" s="92" t="s">
        <v>1077</v>
      </c>
      <c r="C102" s="93" t="s">
        <v>1310</v>
      </c>
      <c r="D102" s="94" t="s">
        <v>21</v>
      </c>
      <c r="E102" s="94" t="s">
        <v>22</v>
      </c>
      <c r="F102" s="95">
        <v>860232063336646</v>
      </c>
      <c r="G102" s="94"/>
      <c r="H102" s="96">
        <v>45816</v>
      </c>
      <c r="I102" s="97">
        <v>100</v>
      </c>
      <c r="J102" s="97"/>
      <c r="K102" s="96">
        <v>45823</v>
      </c>
      <c r="L102" s="98">
        <f>Таблица3[[#This Row],[OLINGAN NARXI $]]+Таблица3[[#This Row],[RASXOD]]</f>
        <v>508</v>
      </c>
      <c r="M102" s="97">
        <v>125</v>
      </c>
      <c r="N102" s="97">
        <v>25</v>
      </c>
      <c r="O102" s="93" t="s">
        <v>1311</v>
      </c>
    </row>
    <row r="103" spans="1:15" s="83" customFormat="1" x14ac:dyDescent="0.3">
      <c r="A103" s="116">
        <v>102</v>
      </c>
      <c r="B103" s="76" t="s">
        <v>13</v>
      </c>
      <c r="C103" s="77" t="s">
        <v>1344</v>
      </c>
      <c r="D103" s="78" t="s">
        <v>21</v>
      </c>
      <c r="E103" s="78" t="s">
        <v>22</v>
      </c>
      <c r="F103" s="79">
        <v>352659958015239</v>
      </c>
      <c r="G103" s="78"/>
      <c r="H103" s="80">
        <v>45822</v>
      </c>
      <c r="I103" s="81">
        <v>110</v>
      </c>
      <c r="J103" s="81"/>
      <c r="K103" s="80">
        <v>45823</v>
      </c>
      <c r="L103" s="82">
        <f>Таблица3[[#This Row],[OLINGAN NARXI $]]+Таблица3[[#This Row],[RASXOD]]</f>
        <v>130</v>
      </c>
      <c r="M103" s="81">
        <v>200</v>
      </c>
      <c r="N103" s="81">
        <v>90</v>
      </c>
      <c r="O103" s="77">
        <v>977331156</v>
      </c>
    </row>
    <row r="104" spans="1:15" s="99" customFormat="1" x14ac:dyDescent="0.3">
      <c r="A104" s="116">
        <v>103</v>
      </c>
      <c r="B104" s="92" t="s">
        <v>16</v>
      </c>
      <c r="C104" s="93" t="s">
        <v>25</v>
      </c>
      <c r="D104" s="94" t="s">
        <v>26</v>
      </c>
      <c r="E104" s="94" t="s">
        <v>22</v>
      </c>
      <c r="F104" s="95">
        <v>358797334085338</v>
      </c>
      <c r="G104" s="94"/>
      <c r="H104" s="96">
        <v>45823</v>
      </c>
      <c r="I104" s="97">
        <v>880</v>
      </c>
      <c r="J104" s="97"/>
      <c r="K104" s="96">
        <v>45823</v>
      </c>
      <c r="L104" s="98">
        <f>Таблица3[[#This Row],[OLINGAN NARXI $]]+Таблица3[[#This Row],[RASXOD]]</f>
        <v>650</v>
      </c>
      <c r="M104" s="97">
        <v>930</v>
      </c>
      <c r="N104" s="97">
        <v>50</v>
      </c>
      <c r="O104" s="93" t="s">
        <v>1354</v>
      </c>
    </row>
    <row r="105" spans="1:15" s="83" customFormat="1" x14ac:dyDescent="0.3">
      <c r="A105" s="116">
        <v>104</v>
      </c>
      <c r="B105" s="76" t="s">
        <v>16</v>
      </c>
      <c r="C105" s="77" t="s">
        <v>81</v>
      </c>
      <c r="D105" s="78" t="s">
        <v>65</v>
      </c>
      <c r="E105" s="78" t="s">
        <v>15</v>
      </c>
      <c r="F105" s="79">
        <v>354073552888710</v>
      </c>
      <c r="G105" s="78"/>
      <c r="H105" s="80">
        <v>45771</v>
      </c>
      <c r="I105" s="81">
        <v>380</v>
      </c>
      <c r="J105" s="81"/>
      <c r="K105" s="80">
        <v>45824</v>
      </c>
      <c r="L105" s="82">
        <f>Таблица3[[#This Row],[OLINGAN NARXI $]]+Таблица3[[#This Row],[RASXOD]]</f>
        <v>600</v>
      </c>
      <c r="M105" s="81">
        <v>430</v>
      </c>
      <c r="N105" s="81">
        <v>50</v>
      </c>
      <c r="O105" s="77" t="s">
        <v>1101</v>
      </c>
    </row>
    <row r="106" spans="1:15" s="83" customFormat="1" x14ac:dyDescent="0.3">
      <c r="A106" s="116">
        <v>105</v>
      </c>
      <c r="B106" s="76" t="s">
        <v>16</v>
      </c>
      <c r="C106" s="77" t="s">
        <v>81</v>
      </c>
      <c r="D106" s="78" t="s">
        <v>18</v>
      </c>
      <c r="E106" s="78" t="s">
        <v>15</v>
      </c>
      <c r="F106" s="79">
        <v>350283164027557</v>
      </c>
      <c r="G106" s="78"/>
      <c r="H106" s="80">
        <v>45797</v>
      </c>
      <c r="I106" s="81">
        <v>370</v>
      </c>
      <c r="J106" s="81"/>
      <c r="K106" s="80">
        <v>45824</v>
      </c>
      <c r="L106" s="82">
        <f>Таблица3[[#This Row],[OLINGAN NARXI $]]+Таблица3[[#This Row],[RASXOD]]</f>
        <v>410</v>
      </c>
      <c r="M106" s="81">
        <v>420</v>
      </c>
      <c r="N106" s="81">
        <v>50</v>
      </c>
      <c r="O106" s="77">
        <v>948368488</v>
      </c>
    </row>
    <row r="107" spans="1:15" s="105" customFormat="1" x14ac:dyDescent="0.3">
      <c r="A107" s="116">
        <v>106</v>
      </c>
      <c r="B107" s="100" t="s">
        <v>207</v>
      </c>
      <c r="C107" s="101" t="s">
        <v>969</v>
      </c>
      <c r="D107" s="102" t="s">
        <v>18</v>
      </c>
      <c r="E107" s="102" t="s">
        <v>15</v>
      </c>
      <c r="F107" s="10"/>
      <c r="G107" s="102"/>
      <c r="H107" s="103">
        <v>45824</v>
      </c>
      <c r="I107" s="26">
        <v>80</v>
      </c>
      <c r="J107" s="26"/>
      <c r="K107" s="103">
        <v>45824</v>
      </c>
      <c r="L107" s="104">
        <f>Таблица375891011[[#This Row],[OLINGAN NARXI $]]+Таблица375891011[[#This Row],[RASXOD]]</f>
        <v>80</v>
      </c>
      <c r="M107" s="26">
        <v>85</v>
      </c>
      <c r="N107" s="26">
        <v>5</v>
      </c>
      <c r="O107" s="101"/>
    </row>
    <row r="108" spans="1:15" s="99" customFormat="1" x14ac:dyDescent="0.3">
      <c r="A108" s="116">
        <v>107</v>
      </c>
      <c r="B108" s="92" t="s">
        <v>16</v>
      </c>
      <c r="C108" s="93" t="s">
        <v>74</v>
      </c>
      <c r="D108" s="94" t="s">
        <v>35</v>
      </c>
      <c r="E108" s="94" t="s">
        <v>15</v>
      </c>
      <c r="F108" s="95">
        <v>354569169916372</v>
      </c>
      <c r="G108" s="94"/>
      <c r="H108" s="96">
        <v>45819</v>
      </c>
      <c r="I108" s="97">
        <v>480</v>
      </c>
      <c r="J108" s="97"/>
      <c r="K108" s="96">
        <v>45824</v>
      </c>
      <c r="L108" s="98">
        <f>Таблица3[[#This Row],[OLINGAN NARXI $]]+Таблица3[[#This Row],[RASXOD]]</f>
        <v>212.24</v>
      </c>
      <c r="M108" s="97">
        <v>530</v>
      </c>
      <c r="N108" s="97">
        <v>50</v>
      </c>
      <c r="O108" s="93">
        <v>971114030</v>
      </c>
    </row>
    <row r="109" spans="1:15" s="105" customFormat="1" x14ac:dyDescent="0.3">
      <c r="A109" s="116">
        <v>108</v>
      </c>
      <c r="B109" s="100" t="s">
        <v>13</v>
      </c>
      <c r="C109" s="101" t="s">
        <v>1229</v>
      </c>
      <c r="D109" s="102" t="s">
        <v>97</v>
      </c>
      <c r="E109" s="102" t="s">
        <v>22</v>
      </c>
      <c r="F109" s="10">
        <v>350320366473393</v>
      </c>
      <c r="G109" s="102" t="s">
        <v>556</v>
      </c>
      <c r="H109" s="103">
        <v>45762</v>
      </c>
      <c r="I109" s="26">
        <v>133</v>
      </c>
      <c r="J109" s="26"/>
      <c r="K109" s="103">
        <v>45824</v>
      </c>
      <c r="L109" s="104">
        <f>Таблица3[[#This Row],[OLINGAN NARXI $]]+Таблица3[[#This Row],[RASXOD]]</f>
        <v>920</v>
      </c>
      <c r="M109" s="26">
        <v>185</v>
      </c>
      <c r="N109" s="26">
        <v>52</v>
      </c>
      <c r="O109" s="101" t="s">
        <v>1230</v>
      </c>
    </row>
    <row r="110" spans="1:15" s="83" customFormat="1" x14ac:dyDescent="0.3">
      <c r="A110" s="116">
        <v>109</v>
      </c>
      <c r="B110" s="76" t="s">
        <v>16</v>
      </c>
      <c r="C110" s="77" t="s">
        <v>132</v>
      </c>
      <c r="D110" s="78" t="s">
        <v>21</v>
      </c>
      <c r="E110" s="78" t="s">
        <v>15</v>
      </c>
      <c r="F110" s="79">
        <v>353653121157639</v>
      </c>
      <c r="G110" s="78"/>
      <c r="H110" s="80">
        <v>45819</v>
      </c>
      <c r="I110" s="81">
        <v>220</v>
      </c>
      <c r="J110" s="81"/>
      <c r="K110" s="80">
        <v>45824</v>
      </c>
      <c r="L110" s="82">
        <f>Таблица3[[#This Row],[OLINGAN NARXI $]]+Таблица3[[#This Row],[RASXOD]]</f>
        <v>900</v>
      </c>
      <c r="M110" s="81">
        <v>260</v>
      </c>
      <c r="N110" s="81">
        <v>40</v>
      </c>
      <c r="O110" s="77" t="s">
        <v>1323</v>
      </c>
    </row>
    <row r="111" spans="1:15" s="83" customFormat="1" x14ac:dyDescent="0.3">
      <c r="A111" s="116">
        <v>110</v>
      </c>
      <c r="B111" s="76" t="s">
        <v>16</v>
      </c>
      <c r="C111" s="77" t="s">
        <v>74</v>
      </c>
      <c r="D111" s="78" t="s">
        <v>35</v>
      </c>
      <c r="E111" s="78" t="s">
        <v>22</v>
      </c>
      <c r="F111" s="79">
        <v>359666223963617</v>
      </c>
      <c r="G111" s="78"/>
      <c r="H111" s="80">
        <v>45816</v>
      </c>
      <c r="I111" s="81">
        <v>555</v>
      </c>
      <c r="J111" s="81"/>
      <c r="K111" s="80">
        <v>45825</v>
      </c>
      <c r="L111" s="82">
        <f>Таблица3[[#This Row],[OLINGAN NARXI $]]+Таблица3[[#This Row],[RASXOD]]</f>
        <v>850</v>
      </c>
      <c r="M111" s="81">
        <v>590</v>
      </c>
      <c r="N111" s="81">
        <v>35</v>
      </c>
      <c r="O111" s="77" t="s">
        <v>1313</v>
      </c>
    </row>
    <row r="112" spans="1:15" s="83" customFormat="1" x14ac:dyDescent="0.3">
      <c r="A112" s="116">
        <v>111</v>
      </c>
      <c r="B112" s="76" t="s">
        <v>13</v>
      </c>
      <c r="C112" s="77" t="s">
        <v>1182</v>
      </c>
      <c r="D112" s="78" t="s">
        <v>21</v>
      </c>
      <c r="E112" s="78" t="s">
        <v>22</v>
      </c>
      <c r="F112" s="79">
        <v>351424282699971</v>
      </c>
      <c r="G112" s="78"/>
      <c r="H112" s="80">
        <v>45786</v>
      </c>
      <c r="I112" s="81">
        <v>61</v>
      </c>
      <c r="J112" s="81"/>
      <c r="K112" s="80">
        <v>45825</v>
      </c>
      <c r="L112" s="82">
        <f>Таблица3[[#This Row],[OLINGAN NARXI $]]+Таблица3[[#This Row],[RASXOD]]</f>
        <v>500</v>
      </c>
      <c r="M112" s="81">
        <v>90</v>
      </c>
      <c r="N112" s="81">
        <v>29</v>
      </c>
      <c r="O112" s="77" t="s">
        <v>1183</v>
      </c>
    </row>
    <row r="113" spans="1:15" s="83" customFormat="1" x14ac:dyDescent="0.3">
      <c r="A113" s="116">
        <v>112</v>
      </c>
      <c r="B113" s="76" t="s">
        <v>16</v>
      </c>
      <c r="C113" s="77" t="s">
        <v>157</v>
      </c>
      <c r="D113" s="78" t="s">
        <v>45</v>
      </c>
      <c r="E113" s="78" t="s">
        <v>22</v>
      </c>
      <c r="F113" s="79">
        <v>358611746581158</v>
      </c>
      <c r="G113" s="78"/>
      <c r="H113" s="80">
        <v>45823</v>
      </c>
      <c r="I113" s="81">
        <v>273</v>
      </c>
      <c r="J113" s="81"/>
      <c r="K113" s="80">
        <v>45825</v>
      </c>
      <c r="L113" s="82">
        <f>Таблица3[[#This Row],[OLINGAN NARXI $]]+Таблица3[[#This Row],[RASXOD]]</f>
        <v>660</v>
      </c>
      <c r="M113" s="81">
        <v>330</v>
      </c>
      <c r="N113" s="81">
        <v>57</v>
      </c>
      <c r="O113" s="77" t="s">
        <v>1350</v>
      </c>
    </row>
    <row r="114" spans="1:15" s="105" customFormat="1" x14ac:dyDescent="0.3">
      <c r="A114" s="116">
        <v>113</v>
      </c>
      <c r="B114" s="100" t="s">
        <v>13</v>
      </c>
      <c r="C114" s="101" t="s">
        <v>1055</v>
      </c>
      <c r="D114" s="102"/>
      <c r="E114" s="102" t="s">
        <v>15</v>
      </c>
      <c r="F114" s="10">
        <v>350309332627224</v>
      </c>
      <c r="G114" s="102"/>
      <c r="H114" s="103">
        <v>45813</v>
      </c>
      <c r="I114" s="26">
        <v>365</v>
      </c>
      <c r="J114" s="26"/>
      <c r="K114" s="103">
        <v>45825</v>
      </c>
      <c r="L114" s="104">
        <f>Таблица3[[#This Row],[OLINGAN NARXI $]]+Таблица3[[#This Row],[RASXOD]]</f>
        <v>640</v>
      </c>
      <c r="M114" s="26">
        <v>406</v>
      </c>
      <c r="N114" s="26">
        <v>41</v>
      </c>
      <c r="O114" s="101" t="s">
        <v>19</v>
      </c>
    </row>
    <row r="115" spans="1:15" s="105" customFormat="1" x14ac:dyDescent="0.3">
      <c r="A115" s="116">
        <v>114</v>
      </c>
      <c r="B115" s="100" t="s">
        <v>13</v>
      </c>
      <c r="C115" s="101" t="s">
        <v>1110</v>
      </c>
      <c r="D115" s="102" t="s">
        <v>18</v>
      </c>
      <c r="E115" s="102" t="s">
        <v>22</v>
      </c>
      <c r="F115" s="10">
        <v>356388243488243</v>
      </c>
      <c r="G115" s="102"/>
      <c r="H115" s="103">
        <v>45774</v>
      </c>
      <c r="I115" s="26">
        <v>450</v>
      </c>
      <c r="J115" s="26"/>
      <c r="K115" s="103">
        <v>45825</v>
      </c>
      <c r="L115" s="104">
        <f>Таблица3[[#This Row],[OLINGAN NARXI $]]+Таблица3[[#This Row],[RASXOD]]</f>
        <v>670</v>
      </c>
      <c r="M115" s="26">
        <v>490</v>
      </c>
      <c r="N115" s="26">
        <v>40</v>
      </c>
      <c r="O115" s="101" t="s">
        <v>1111</v>
      </c>
    </row>
    <row r="116" spans="1:15" s="83" customFormat="1" x14ac:dyDescent="0.3">
      <c r="A116" s="116">
        <v>115</v>
      </c>
      <c r="B116" s="76" t="s">
        <v>13</v>
      </c>
      <c r="C116" s="77" t="s">
        <v>124</v>
      </c>
      <c r="D116" s="78" t="s">
        <v>295</v>
      </c>
      <c r="E116" s="78" t="s">
        <v>15</v>
      </c>
      <c r="F116" s="79">
        <v>355857116425343</v>
      </c>
      <c r="G116" s="78"/>
      <c r="H116" s="80">
        <v>45789</v>
      </c>
      <c r="I116" s="81">
        <v>230</v>
      </c>
      <c r="J116" s="81">
        <v>32.6</v>
      </c>
      <c r="K116" s="80">
        <v>45826</v>
      </c>
      <c r="L116" s="82">
        <f>Таблица3[[#This Row],[OLINGAN NARXI $]]+Таблица3[[#This Row],[RASXOD]]</f>
        <v>610</v>
      </c>
      <c r="M116" s="81">
        <v>300</v>
      </c>
      <c r="N116" s="81">
        <v>37.4</v>
      </c>
      <c r="O116" s="77" t="s">
        <v>147</v>
      </c>
    </row>
    <row r="117" spans="1:15" s="83" customFormat="1" x14ac:dyDescent="0.3">
      <c r="A117" s="116">
        <v>116</v>
      </c>
      <c r="B117" s="76" t="s">
        <v>16</v>
      </c>
      <c r="C117" s="77" t="s">
        <v>148</v>
      </c>
      <c r="D117" s="78" t="s">
        <v>65</v>
      </c>
      <c r="E117" s="78" t="s">
        <v>22</v>
      </c>
      <c r="F117" s="79">
        <v>351194968094702</v>
      </c>
      <c r="G117" s="78"/>
      <c r="H117" s="80">
        <v>45824</v>
      </c>
      <c r="I117" s="81">
        <v>300</v>
      </c>
      <c r="J117" s="81"/>
      <c r="K117" s="80">
        <v>45826</v>
      </c>
      <c r="L117" s="82">
        <f>Таблица3[[#This Row],[OLINGAN NARXI $]]+Таблица3[[#This Row],[RASXOD]]</f>
        <v>410</v>
      </c>
      <c r="M117" s="81">
        <v>340</v>
      </c>
      <c r="N117" s="81">
        <v>40</v>
      </c>
      <c r="O117" s="77">
        <v>932710200</v>
      </c>
    </row>
    <row r="118" spans="1:15" s="105" customFormat="1" x14ac:dyDescent="0.3">
      <c r="A118" s="116">
        <v>117</v>
      </c>
      <c r="B118" s="100" t="s">
        <v>16</v>
      </c>
      <c r="C118" s="101" t="s">
        <v>32</v>
      </c>
      <c r="D118" s="102" t="s">
        <v>26</v>
      </c>
      <c r="E118" s="102" t="s">
        <v>22</v>
      </c>
      <c r="F118" s="10">
        <v>356927173191044</v>
      </c>
      <c r="G118" s="102" t="s">
        <v>66</v>
      </c>
      <c r="H118" s="103">
        <v>45808</v>
      </c>
      <c r="I118" s="26">
        <v>325</v>
      </c>
      <c r="J118" s="26">
        <v>245</v>
      </c>
      <c r="K118" s="103">
        <v>45826</v>
      </c>
      <c r="L118" s="104">
        <f>Таблица3[[#This Row],[OLINGAN NARXI $]]+Таблица3[[#This Row],[RASXOD]]</f>
        <v>32</v>
      </c>
      <c r="M118" s="26">
        <v>670</v>
      </c>
      <c r="N118" s="26">
        <v>100</v>
      </c>
      <c r="O118" s="101" t="s">
        <v>1286</v>
      </c>
    </row>
    <row r="119" spans="1:15" s="105" customFormat="1" ht="14.25" customHeight="1" x14ac:dyDescent="0.3">
      <c r="A119" s="116">
        <v>118</v>
      </c>
      <c r="B119" s="100" t="s">
        <v>1077</v>
      </c>
      <c r="C119" s="101" t="s">
        <v>1319</v>
      </c>
      <c r="D119" s="102" t="s">
        <v>65</v>
      </c>
      <c r="E119" s="102" t="s">
        <v>22</v>
      </c>
      <c r="F119" s="10">
        <v>861329057904444</v>
      </c>
      <c r="G119" s="102"/>
      <c r="H119" s="103">
        <v>45818</v>
      </c>
      <c r="I119" s="26">
        <v>35</v>
      </c>
      <c r="J119" s="26"/>
      <c r="K119" s="103">
        <v>45826</v>
      </c>
      <c r="L119" s="104">
        <f>Таблица3[[#This Row],[OLINGAN NARXI $]]+Таблица3[[#This Row],[RASXOD]]</f>
        <v>585</v>
      </c>
      <c r="M119" s="26">
        <v>60</v>
      </c>
      <c r="N119" s="26">
        <v>25</v>
      </c>
      <c r="O119" s="101">
        <v>935248833</v>
      </c>
    </row>
    <row r="120" spans="1:15" s="83" customFormat="1" x14ac:dyDescent="0.3">
      <c r="A120" s="116">
        <v>119</v>
      </c>
      <c r="B120" s="76" t="s">
        <v>16</v>
      </c>
      <c r="C120" s="77" t="s">
        <v>74</v>
      </c>
      <c r="D120" s="78" t="s">
        <v>21</v>
      </c>
      <c r="E120" s="78" t="s">
        <v>15</v>
      </c>
      <c r="F120" s="79">
        <v>359666229369744</v>
      </c>
      <c r="G120" s="78"/>
      <c r="H120" s="80">
        <v>45816</v>
      </c>
      <c r="I120" s="81">
        <v>565</v>
      </c>
      <c r="J120" s="81"/>
      <c r="K120" s="80">
        <v>45826</v>
      </c>
      <c r="L120" s="82">
        <f>Таблица3[[#This Row],[OLINGAN NARXI $]]+Таблица3[[#This Row],[RASXOD]]</f>
        <v>190</v>
      </c>
      <c r="M120" s="81">
        <v>610</v>
      </c>
      <c r="N120" s="81">
        <v>45</v>
      </c>
      <c r="O120" s="77" t="s">
        <v>1316</v>
      </c>
    </row>
    <row r="121" spans="1:15" s="83" customFormat="1" x14ac:dyDescent="0.3">
      <c r="A121" s="116">
        <v>120</v>
      </c>
      <c r="B121" s="76" t="s">
        <v>16</v>
      </c>
      <c r="C121" s="77" t="s">
        <v>104</v>
      </c>
      <c r="D121" s="78" t="s">
        <v>45</v>
      </c>
      <c r="E121" s="78" t="s">
        <v>22</v>
      </c>
      <c r="F121" s="79">
        <v>356712114838592</v>
      </c>
      <c r="G121" s="78" t="s">
        <v>66</v>
      </c>
      <c r="H121" s="80">
        <v>45819</v>
      </c>
      <c r="I121" s="81">
        <v>210</v>
      </c>
      <c r="J121" s="81"/>
      <c r="K121" s="80">
        <v>45827</v>
      </c>
      <c r="L121" s="82">
        <f>Таблица3[[#This Row],[OLINGAN NARXI $]]+Таблица3[[#This Row],[RASXOD]]</f>
        <v>990</v>
      </c>
      <c r="M121" s="81">
        <v>300</v>
      </c>
      <c r="N121" s="81">
        <v>90</v>
      </c>
      <c r="O121" s="77" t="s">
        <v>1327</v>
      </c>
    </row>
    <row r="122" spans="1:15" s="56" customFormat="1" x14ac:dyDescent="0.3">
      <c r="A122" s="116">
        <v>121</v>
      </c>
      <c r="B122" s="50" t="s">
        <v>13</v>
      </c>
      <c r="C122" s="51" t="s">
        <v>455</v>
      </c>
      <c r="D122" s="52" t="s">
        <v>21</v>
      </c>
      <c r="E122" s="52" t="s">
        <v>15</v>
      </c>
      <c r="F122" s="53">
        <v>352412370550593</v>
      </c>
      <c r="G122" s="52"/>
      <c r="H122" s="54">
        <v>45789</v>
      </c>
      <c r="I122" s="55">
        <v>258</v>
      </c>
      <c r="J122" s="55"/>
      <c r="K122" s="54">
        <v>45827</v>
      </c>
      <c r="L122" s="72">
        <f>Таблица3[[#This Row],[OLINGAN NARXI $]]+Таблица3[[#This Row],[RASXOD]]</f>
        <v>560</v>
      </c>
      <c r="M122" s="55">
        <v>340</v>
      </c>
      <c r="N122" s="55">
        <v>82</v>
      </c>
      <c r="O122" s="51" t="s">
        <v>147</v>
      </c>
    </row>
    <row r="123" spans="1:15" s="83" customFormat="1" x14ac:dyDescent="0.3">
      <c r="A123" s="116">
        <v>122</v>
      </c>
      <c r="B123" s="76" t="s">
        <v>16</v>
      </c>
      <c r="C123" s="77" t="s">
        <v>25</v>
      </c>
      <c r="D123" s="78" t="s">
        <v>26</v>
      </c>
      <c r="E123" s="78" t="s">
        <v>22</v>
      </c>
      <c r="F123" s="79">
        <v>354009447965149</v>
      </c>
      <c r="G123" s="78"/>
      <c r="H123" s="80">
        <v>45826</v>
      </c>
      <c r="I123" s="81">
        <v>820</v>
      </c>
      <c r="J123" s="81"/>
      <c r="K123" s="80">
        <v>45827</v>
      </c>
      <c r="L123" s="82">
        <f>Таблица3[[#This Row],[OLINGAN NARXI $]]+Таблица3[[#This Row],[RASXOD]]</f>
        <v>330</v>
      </c>
      <c r="M123" s="81">
        <v>870</v>
      </c>
      <c r="N123" s="81">
        <v>50</v>
      </c>
      <c r="O123" s="77">
        <v>917361919</v>
      </c>
    </row>
    <row r="124" spans="1:15" s="83" customFormat="1" x14ac:dyDescent="0.3">
      <c r="A124" s="116">
        <v>123</v>
      </c>
      <c r="B124" s="76" t="s">
        <v>16</v>
      </c>
      <c r="C124" s="77" t="s">
        <v>81</v>
      </c>
      <c r="D124" s="78" t="s">
        <v>65</v>
      </c>
      <c r="E124" s="78" t="s">
        <v>15</v>
      </c>
      <c r="F124" s="79">
        <v>359206407689082</v>
      </c>
      <c r="G124" s="78"/>
      <c r="H124" s="80">
        <v>45803</v>
      </c>
      <c r="I124" s="81">
        <v>370</v>
      </c>
      <c r="J124" s="81"/>
      <c r="K124" s="80">
        <v>45827</v>
      </c>
      <c r="L124" s="82">
        <f>Таблица3[[#This Row],[OLINGAN NARXI $]]+Таблица3[[#This Row],[RASXOD]]</f>
        <v>520</v>
      </c>
      <c r="M124" s="81">
        <v>420</v>
      </c>
      <c r="N124" s="81">
        <v>50</v>
      </c>
      <c r="O124" s="77" t="s">
        <v>262</v>
      </c>
    </row>
    <row r="125" spans="1:15" s="56" customFormat="1" x14ac:dyDescent="0.3">
      <c r="A125" s="116">
        <v>124</v>
      </c>
      <c r="B125" s="50" t="s">
        <v>13</v>
      </c>
      <c r="C125" s="51" t="s">
        <v>502</v>
      </c>
      <c r="D125" s="52" t="s">
        <v>21</v>
      </c>
      <c r="E125" s="52" t="s">
        <v>15</v>
      </c>
      <c r="F125" s="53">
        <v>351747954387651</v>
      </c>
      <c r="G125" s="52"/>
      <c r="H125" s="54">
        <v>45813</v>
      </c>
      <c r="I125" s="55">
        <v>475</v>
      </c>
      <c r="J125" s="55"/>
      <c r="K125" s="54">
        <v>45828</v>
      </c>
      <c r="L125" s="72">
        <f>Таблица3[[#This Row],[OLINGAN NARXI $]]+Таблица3[[#This Row],[RASXOD]]</f>
        <v>370</v>
      </c>
      <c r="M125" s="55">
        <v>520</v>
      </c>
      <c r="N125" s="55">
        <v>45</v>
      </c>
      <c r="O125" s="51" t="s">
        <v>19</v>
      </c>
    </row>
    <row r="126" spans="1:15" s="83" customFormat="1" x14ac:dyDescent="0.3">
      <c r="A126" s="116">
        <v>125</v>
      </c>
      <c r="B126" s="76" t="s">
        <v>16</v>
      </c>
      <c r="C126" s="77" t="s">
        <v>1326</v>
      </c>
      <c r="D126" s="78" t="s">
        <v>45</v>
      </c>
      <c r="E126" s="78" t="s">
        <v>15</v>
      </c>
      <c r="F126" s="79">
        <v>357287093625590</v>
      </c>
      <c r="G126" s="78" t="s">
        <v>1362</v>
      </c>
      <c r="H126" s="80">
        <v>45827</v>
      </c>
      <c r="I126" s="81">
        <v>100</v>
      </c>
      <c r="J126" s="81"/>
      <c r="K126" s="80">
        <v>45828</v>
      </c>
      <c r="L126" s="82">
        <f>Таблица3[[#This Row],[OLINGAN NARXI $]]+Таблица3[[#This Row],[RASXOD]]</f>
        <v>64</v>
      </c>
      <c r="M126" s="81">
        <v>150</v>
      </c>
      <c r="N126" s="81">
        <v>50</v>
      </c>
      <c r="O126" s="77"/>
    </row>
    <row r="127" spans="1:15" s="99" customFormat="1" x14ac:dyDescent="0.3">
      <c r="A127" s="116">
        <v>126</v>
      </c>
      <c r="B127" s="92" t="s">
        <v>16</v>
      </c>
      <c r="C127" s="93" t="s">
        <v>1083</v>
      </c>
      <c r="D127" s="94" t="s">
        <v>35</v>
      </c>
      <c r="E127" s="94" t="s">
        <v>15</v>
      </c>
      <c r="F127" s="95">
        <v>350873984725438</v>
      </c>
      <c r="G127" s="94"/>
      <c r="H127" s="96">
        <v>45786</v>
      </c>
      <c r="I127" s="97">
        <v>500</v>
      </c>
      <c r="J127" s="117">
        <v>26.5</v>
      </c>
      <c r="K127" s="96">
        <v>45828</v>
      </c>
      <c r="L127" s="98">
        <f>Таблица3[[#This Row],[OLINGAN NARXI $]]+Таблица3[[#This Row],[RASXOD]]</f>
        <v>0</v>
      </c>
      <c r="M127" s="97">
        <v>600</v>
      </c>
      <c r="N127" s="97">
        <v>73.5</v>
      </c>
      <c r="O127" s="93" t="s">
        <v>147</v>
      </c>
    </row>
    <row r="128" spans="1:15" s="56" customFormat="1" x14ac:dyDescent="0.3">
      <c r="A128" s="116">
        <v>127</v>
      </c>
      <c r="B128" s="50" t="s">
        <v>13</v>
      </c>
      <c r="C128" s="51" t="s">
        <v>455</v>
      </c>
      <c r="D128" s="52" t="s">
        <v>21</v>
      </c>
      <c r="E128" s="52" t="s">
        <v>15</v>
      </c>
      <c r="F128" s="53">
        <v>355495961004580</v>
      </c>
      <c r="G128" s="52"/>
      <c r="H128" s="54">
        <v>45789</v>
      </c>
      <c r="I128" s="55">
        <v>258</v>
      </c>
      <c r="J128" s="55">
        <v>27</v>
      </c>
      <c r="K128" s="54">
        <v>45828</v>
      </c>
      <c r="L128" s="72">
        <f>Таблица3[[#This Row],[OLINGAN NARXI $]]+Таблица3[[#This Row],[RASXOD]]</f>
        <v>0</v>
      </c>
      <c r="M128" s="55">
        <v>328</v>
      </c>
      <c r="N128" s="55">
        <v>43</v>
      </c>
      <c r="O128" s="51" t="s">
        <v>147</v>
      </c>
    </row>
    <row r="129" spans="1:15" s="56" customFormat="1" x14ac:dyDescent="0.3">
      <c r="A129" s="116">
        <v>128</v>
      </c>
      <c r="B129" s="50" t="s">
        <v>13</v>
      </c>
      <c r="C129" s="51" t="s">
        <v>1115</v>
      </c>
      <c r="D129" s="52" t="s">
        <v>123</v>
      </c>
      <c r="E129" s="52" t="s">
        <v>15</v>
      </c>
      <c r="F129" s="53">
        <v>352650110542780</v>
      </c>
      <c r="G129" s="52"/>
      <c r="H129" s="54">
        <v>45773</v>
      </c>
      <c r="I129" s="55">
        <v>240</v>
      </c>
      <c r="J129" s="55">
        <v>27</v>
      </c>
      <c r="K129" s="54">
        <v>45828</v>
      </c>
      <c r="L129" s="72">
        <f>Таблица3[[#This Row],[OLINGAN NARXI $]]+Таблица3[[#This Row],[RASXOD]]</f>
        <v>0</v>
      </c>
      <c r="M129" s="55">
        <v>300</v>
      </c>
      <c r="N129" s="55">
        <v>33</v>
      </c>
      <c r="O129" s="51" t="s">
        <v>147</v>
      </c>
    </row>
    <row r="130" spans="1:15" s="83" customFormat="1" x14ac:dyDescent="0.3">
      <c r="A130" s="116">
        <v>129</v>
      </c>
      <c r="B130" s="76" t="s">
        <v>13</v>
      </c>
      <c r="C130" s="77" t="s">
        <v>1341</v>
      </c>
      <c r="D130" s="78" t="s">
        <v>21</v>
      </c>
      <c r="E130" s="78" t="s">
        <v>22</v>
      </c>
      <c r="F130" s="79">
        <v>352407513371451</v>
      </c>
      <c r="G130" s="78"/>
      <c r="H130" s="80">
        <v>45822</v>
      </c>
      <c r="I130" s="81">
        <v>62</v>
      </c>
      <c r="J130" s="81"/>
      <c r="K130" s="80">
        <v>45828</v>
      </c>
      <c r="L130" s="82">
        <f>Таблица3[[#This Row],[OLINGAN NARXI $]]+Таблица3[[#This Row],[RASXOD]]</f>
        <v>0</v>
      </c>
      <c r="M130" s="81">
        <v>85</v>
      </c>
      <c r="N130" s="81">
        <v>23</v>
      </c>
      <c r="O130" s="77" t="s">
        <v>1342</v>
      </c>
    </row>
    <row r="131" spans="1:15" s="99" customFormat="1" x14ac:dyDescent="0.3">
      <c r="A131" s="116">
        <v>130</v>
      </c>
      <c r="B131" s="92" t="s">
        <v>16</v>
      </c>
      <c r="C131" s="93" t="s">
        <v>25</v>
      </c>
      <c r="D131" s="94" t="s">
        <v>26</v>
      </c>
      <c r="E131" s="94" t="s">
        <v>22</v>
      </c>
      <c r="F131" s="95">
        <v>356103501180709</v>
      </c>
      <c r="G131" s="94" t="s">
        <v>556</v>
      </c>
      <c r="H131" s="96">
        <v>45807</v>
      </c>
      <c r="I131" s="97">
        <v>770</v>
      </c>
      <c r="J131" s="97"/>
      <c r="K131" s="96">
        <v>45828</v>
      </c>
      <c r="L131" s="98">
        <f>Таблица3[[#This Row],[OLINGAN NARXI $]]+Таблица3[[#This Row],[RASXOD]]</f>
        <v>0</v>
      </c>
      <c r="M131" s="97">
        <v>800</v>
      </c>
      <c r="N131" s="97">
        <v>30</v>
      </c>
      <c r="O131" s="93" t="s">
        <v>262</v>
      </c>
    </row>
    <row r="132" spans="1:15" s="99" customFormat="1" x14ac:dyDescent="0.3">
      <c r="A132" s="116">
        <v>131</v>
      </c>
      <c r="B132" s="92" t="s">
        <v>1077</v>
      </c>
      <c r="C132" s="93" t="s">
        <v>393</v>
      </c>
      <c r="D132" s="94" t="s">
        <v>21</v>
      </c>
      <c r="E132" s="94" t="s">
        <v>15</v>
      </c>
      <c r="F132" s="95">
        <v>1329</v>
      </c>
      <c r="G132" s="94"/>
      <c r="H132" s="96">
        <v>45828</v>
      </c>
      <c r="I132" s="97">
        <v>78</v>
      </c>
      <c r="J132" s="97"/>
      <c r="K132" s="96">
        <v>45829</v>
      </c>
      <c r="L132" s="98">
        <f>Таблица375891011[[#This Row],[OLINGAN NARXI $]]+Таблица375891011[[#This Row],[RASXOD]]</f>
        <v>78</v>
      </c>
      <c r="M132" s="97">
        <v>100</v>
      </c>
      <c r="N132" s="97">
        <f>Таблица375891011[[#This Row],[SOTILGAN NARXI]]-Таблица375891011[[#This Row],[OLINGAN NARXI $]]-Таблица375891011[[#This Row],[RASXOD]]</f>
        <v>22</v>
      </c>
      <c r="O132" s="93" t="s">
        <v>1377</v>
      </c>
    </row>
    <row r="133" spans="1:15" s="83" customFormat="1" x14ac:dyDescent="0.3">
      <c r="A133" s="116">
        <v>132</v>
      </c>
      <c r="B133" s="76" t="s">
        <v>16</v>
      </c>
      <c r="C133" s="77" t="s">
        <v>81</v>
      </c>
      <c r="D133" s="78" t="s">
        <v>65</v>
      </c>
      <c r="E133" s="78" t="s">
        <v>15</v>
      </c>
      <c r="F133" s="79">
        <v>356885192057945</v>
      </c>
      <c r="G133" s="78" t="s">
        <v>556</v>
      </c>
      <c r="H133" s="80">
        <v>45809</v>
      </c>
      <c r="I133" s="81">
        <v>320</v>
      </c>
      <c r="J133" s="81"/>
      <c r="K133" s="80">
        <v>45829</v>
      </c>
      <c r="L133" s="82">
        <f>Таблица3[[#This Row],[OLINGAN NARXI $]]+Таблица3[[#This Row],[RASXOD]]</f>
        <v>0</v>
      </c>
      <c r="M133" s="81">
        <v>400</v>
      </c>
      <c r="N133" s="81">
        <v>80</v>
      </c>
      <c r="O133" s="77"/>
    </row>
    <row r="134" spans="1:15" s="99" customFormat="1" x14ac:dyDescent="0.3">
      <c r="A134" s="116">
        <v>133</v>
      </c>
      <c r="B134" s="92" t="s">
        <v>16</v>
      </c>
      <c r="C134" s="93" t="s">
        <v>74</v>
      </c>
      <c r="D134" s="94" t="s">
        <v>35</v>
      </c>
      <c r="E134" s="94" t="s">
        <v>15</v>
      </c>
      <c r="F134" s="95">
        <v>353730790079565</v>
      </c>
      <c r="G134" s="94"/>
      <c r="H134" s="96">
        <v>45820</v>
      </c>
      <c r="I134" s="97">
        <v>550</v>
      </c>
      <c r="J134" s="97"/>
      <c r="K134" s="96">
        <v>45829</v>
      </c>
      <c r="L134" s="98">
        <f>Таблица3[[#This Row],[OLINGAN NARXI $]]+Таблица3[[#This Row],[RASXOD]]</f>
        <v>0</v>
      </c>
      <c r="M134" s="97">
        <v>590</v>
      </c>
      <c r="N134" s="97">
        <v>40</v>
      </c>
      <c r="O134" s="93" t="s">
        <v>19</v>
      </c>
    </row>
    <row r="135" spans="1:15" s="99" customFormat="1" x14ac:dyDescent="0.3">
      <c r="A135" s="116">
        <v>134</v>
      </c>
      <c r="B135" s="92" t="s">
        <v>16</v>
      </c>
      <c r="C135" s="93" t="s">
        <v>418</v>
      </c>
      <c r="D135" s="94" t="s">
        <v>583</v>
      </c>
      <c r="E135" s="94" t="s">
        <v>15</v>
      </c>
      <c r="F135" s="95">
        <v>356366408700933</v>
      </c>
      <c r="G135" s="94"/>
      <c r="H135" s="96">
        <v>45793</v>
      </c>
      <c r="I135" s="97">
        <v>865</v>
      </c>
      <c r="J135" s="97">
        <v>19.3</v>
      </c>
      <c r="K135" s="96">
        <v>45829</v>
      </c>
      <c r="L135" s="98">
        <f>Таблица3[[#This Row],[OLINGAN NARXI $]]+Таблица3[[#This Row],[RASXOD]]</f>
        <v>0</v>
      </c>
      <c r="M135" s="97">
        <v>900</v>
      </c>
      <c r="N135" s="97">
        <v>15.7</v>
      </c>
      <c r="O135" s="93" t="s">
        <v>147</v>
      </c>
    </row>
    <row r="136" spans="1:15" s="99" customFormat="1" x14ac:dyDescent="0.3">
      <c r="A136" s="116">
        <v>135</v>
      </c>
      <c r="B136" s="92" t="s">
        <v>1077</v>
      </c>
      <c r="C136" s="93" t="s">
        <v>1266</v>
      </c>
      <c r="D136" s="94" t="s">
        <v>21</v>
      </c>
      <c r="E136" s="94" t="s">
        <v>22</v>
      </c>
      <c r="F136" s="95">
        <v>860101070704981</v>
      </c>
      <c r="G136" s="94"/>
      <c r="H136" s="96">
        <v>45822</v>
      </c>
      <c r="I136" s="97">
        <v>120</v>
      </c>
      <c r="J136" s="97"/>
      <c r="K136" s="96">
        <v>45829</v>
      </c>
      <c r="L136" s="98">
        <f>Таблица3[[#This Row],[OLINGAN NARXI $]]+Таблица3[[#This Row],[RASXOD]]</f>
        <v>0</v>
      </c>
      <c r="M136" s="97">
        <v>140</v>
      </c>
      <c r="N136" s="97">
        <v>20</v>
      </c>
      <c r="O136" s="93"/>
    </row>
    <row r="137" spans="1:15" s="99" customFormat="1" x14ac:dyDescent="0.3">
      <c r="A137" s="116">
        <v>136</v>
      </c>
      <c r="B137" s="92" t="s">
        <v>16</v>
      </c>
      <c r="C137" s="93" t="s">
        <v>1000</v>
      </c>
      <c r="D137" s="94" t="s">
        <v>583</v>
      </c>
      <c r="E137" s="94" t="s">
        <v>22</v>
      </c>
      <c r="F137" s="95">
        <v>354868695928590</v>
      </c>
      <c r="G137" s="94"/>
      <c r="H137" s="96">
        <v>45826</v>
      </c>
      <c r="I137" s="97">
        <v>1100</v>
      </c>
      <c r="J137" s="97"/>
      <c r="K137" s="96">
        <v>45829</v>
      </c>
      <c r="L137" s="98">
        <f>Таблица3[[#This Row],[OLINGAN NARXI $]]+Таблица3[[#This Row],[RASXOD]]</f>
        <v>0</v>
      </c>
      <c r="M137" s="97">
        <v>1150</v>
      </c>
      <c r="N137" s="97">
        <v>50</v>
      </c>
      <c r="O137" s="93">
        <v>910085771</v>
      </c>
    </row>
    <row r="138" spans="1:15" s="83" customFormat="1" x14ac:dyDescent="0.3">
      <c r="A138" s="116">
        <v>137</v>
      </c>
      <c r="B138" s="76" t="s">
        <v>16</v>
      </c>
      <c r="C138" s="77" t="s">
        <v>148</v>
      </c>
      <c r="D138" s="78" t="s">
        <v>21</v>
      </c>
      <c r="E138" s="78" t="s">
        <v>15</v>
      </c>
      <c r="F138" s="79">
        <v>354794862734829</v>
      </c>
      <c r="G138" s="78"/>
      <c r="H138" s="80">
        <v>45812</v>
      </c>
      <c r="I138" s="81">
        <v>255</v>
      </c>
      <c r="J138" s="81"/>
      <c r="K138" s="80">
        <v>45829</v>
      </c>
      <c r="L138" s="82">
        <f>Таблица3[[#This Row],[OLINGAN NARXI $]]+Таблица3[[#This Row],[RASXOD]]</f>
        <v>0</v>
      </c>
      <c r="M138" s="81">
        <v>300</v>
      </c>
      <c r="N138" s="81">
        <v>45</v>
      </c>
      <c r="O138" s="77">
        <v>887790272</v>
      </c>
    </row>
    <row r="139" spans="1:15" s="99" customFormat="1" x14ac:dyDescent="0.3">
      <c r="A139" s="116">
        <v>138</v>
      </c>
      <c r="B139" s="92" t="s">
        <v>1077</v>
      </c>
      <c r="C139" s="93" t="s">
        <v>1215</v>
      </c>
      <c r="D139" s="94" t="s">
        <v>21</v>
      </c>
      <c r="E139" s="94" t="s">
        <v>15</v>
      </c>
      <c r="F139" s="95">
        <v>862244069124734</v>
      </c>
      <c r="G139" s="94"/>
      <c r="H139" s="96">
        <v>45791</v>
      </c>
      <c r="I139" s="97">
        <v>77</v>
      </c>
      <c r="J139" s="97"/>
      <c r="K139" s="96">
        <v>45829</v>
      </c>
      <c r="L139" s="98">
        <f>Таблица3[[#This Row],[OLINGAN NARXI $]]+Таблица3[[#This Row],[RASXOD]]</f>
        <v>0</v>
      </c>
      <c r="M139" s="97">
        <v>95</v>
      </c>
      <c r="N139" s="97">
        <v>18</v>
      </c>
      <c r="O139" s="93" t="s">
        <v>1216</v>
      </c>
    </row>
    <row r="140" spans="1:15" s="83" customFormat="1" x14ac:dyDescent="0.3">
      <c r="A140" s="116">
        <v>139</v>
      </c>
      <c r="B140" s="76" t="s">
        <v>16</v>
      </c>
      <c r="C140" s="77" t="s">
        <v>39</v>
      </c>
      <c r="D140" s="78" t="s">
        <v>35</v>
      </c>
      <c r="E140" s="78" t="s">
        <v>15</v>
      </c>
      <c r="F140" s="79">
        <v>354828358234264</v>
      </c>
      <c r="G140" s="78" t="s">
        <v>556</v>
      </c>
      <c r="H140" s="80">
        <v>45823</v>
      </c>
      <c r="I140" s="81">
        <v>480</v>
      </c>
      <c r="J140" s="81"/>
      <c r="K140" s="80">
        <v>45829</v>
      </c>
      <c r="L140" s="82">
        <f>Таблица3[[#This Row],[OLINGAN NARXI $]]+Таблица3[[#This Row],[RASXOD]]</f>
        <v>0</v>
      </c>
      <c r="M140" s="81">
        <v>600</v>
      </c>
      <c r="N140" s="81">
        <v>120</v>
      </c>
      <c r="O140" s="77">
        <v>887028181</v>
      </c>
    </row>
    <row r="141" spans="1:15" s="83" customFormat="1" x14ac:dyDescent="0.3">
      <c r="A141" s="116">
        <v>140</v>
      </c>
      <c r="B141" s="76" t="s">
        <v>16</v>
      </c>
      <c r="C141" s="77" t="s">
        <v>25</v>
      </c>
      <c r="D141" s="78" t="s">
        <v>26</v>
      </c>
      <c r="E141" s="78" t="s">
        <v>22</v>
      </c>
      <c r="F141" s="79">
        <v>357511594973385</v>
      </c>
      <c r="G141" s="78"/>
      <c r="H141" s="80">
        <v>45826</v>
      </c>
      <c r="I141" s="81">
        <v>738</v>
      </c>
      <c r="J141" s="81"/>
      <c r="K141" s="80">
        <v>45829</v>
      </c>
      <c r="L141" s="82">
        <f>Таблица3[[#This Row],[OLINGAN NARXI $]]+Таблица3[[#This Row],[RASXOD]]</f>
        <v>0</v>
      </c>
      <c r="M141" s="81">
        <v>860</v>
      </c>
      <c r="N141" s="81">
        <v>122</v>
      </c>
      <c r="O141" s="77" t="s">
        <v>262</v>
      </c>
    </row>
    <row r="142" spans="1:15" s="99" customFormat="1" ht="15.75" customHeight="1" x14ac:dyDescent="0.3">
      <c r="A142" s="116">
        <v>141</v>
      </c>
      <c r="B142" s="92" t="s">
        <v>13</v>
      </c>
      <c r="C142" s="93" t="s">
        <v>1041</v>
      </c>
      <c r="D142" s="94" t="s">
        <v>97</v>
      </c>
      <c r="E142" s="94" t="s">
        <v>15</v>
      </c>
      <c r="F142" s="95">
        <v>353992850463382</v>
      </c>
      <c r="G142" s="94"/>
      <c r="H142" s="96">
        <v>45813</v>
      </c>
      <c r="I142" s="97">
        <v>475</v>
      </c>
      <c r="J142" s="97"/>
      <c r="K142" s="96">
        <v>45829</v>
      </c>
      <c r="L142" s="98">
        <f>Таблица3[[#This Row],[OLINGAN NARXI $]]+Таблица3[[#This Row],[RASXOD]]</f>
        <v>0</v>
      </c>
      <c r="M142" s="97">
        <v>520</v>
      </c>
      <c r="N142" s="97">
        <v>45</v>
      </c>
      <c r="O142" s="93" t="s">
        <v>19</v>
      </c>
    </row>
    <row r="143" spans="1:15" s="134" customFormat="1" x14ac:dyDescent="0.3">
      <c r="A143" s="116">
        <v>142</v>
      </c>
      <c r="B143" s="127" t="s">
        <v>16</v>
      </c>
      <c r="C143" s="128" t="s">
        <v>1375</v>
      </c>
      <c r="D143" s="127" t="s">
        <v>35</v>
      </c>
      <c r="E143" s="129" t="s">
        <v>22</v>
      </c>
      <c r="F143" s="130">
        <v>353665900821144</v>
      </c>
      <c r="G143" s="129"/>
      <c r="H143" s="131">
        <v>45829</v>
      </c>
      <c r="I143" s="132">
        <v>550</v>
      </c>
      <c r="J143" s="132"/>
      <c r="K143" s="131">
        <v>45830</v>
      </c>
      <c r="L143" s="133">
        <f>Таблица375891011[[#This Row],[OLINGAN NARXI $]]+Таблица375891011[[#This Row],[RASXOD]]</f>
        <v>550</v>
      </c>
      <c r="M143" s="132">
        <v>600</v>
      </c>
      <c r="N143" s="132">
        <v>25</v>
      </c>
      <c r="O143" s="128"/>
    </row>
    <row r="144" spans="1:15" s="83" customFormat="1" x14ac:dyDescent="0.3">
      <c r="A144" s="116">
        <v>143</v>
      </c>
      <c r="B144" s="76" t="s">
        <v>13</v>
      </c>
      <c r="C144" s="77" t="s">
        <v>1348</v>
      </c>
      <c r="D144" s="78" t="s">
        <v>21</v>
      </c>
      <c r="E144" s="78" t="s">
        <v>22</v>
      </c>
      <c r="F144" s="79">
        <v>351589496223832</v>
      </c>
      <c r="G144" s="78"/>
      <c r="H144" s="80">
        <v>45823</v>
      </c>
      <c r="I144" s="81">
        <v>800</v>
      </c>
      <c r="J144" s="81"/>
      <c r="K144" s="80">
        <v>45830</v>
      </c>
      <c r="L144" s="82">
        <f>Таблица3[[#This Row],[OLINGAN NARXI $]]+Таблица3[[#This Row],[RASXOD]]</f>
        <v>200</v>
      </c>
      <c r="M144" s="81">
        <v>855</v>
      </c>
      <c r="N144" s="81">
        <v>55</v>
      </c>
      <c r="O144" s="77" t="s">
        <v>1349</v>
      </c>
    </row>
    <row r="145" spans="1:15" s="134" customFormat="1" x14ac:dyDescent="0.3">
      <c r="A145" s="116">
        <v>144</v>
      </c>
      <c r="B145" s="127" t="s">
        <v>16</v>
      </c>
      <c r="C145" s="128" t="s">
        <v>1125</v>
      </c>
      <c r="D145" s="127" t="s">
        <v>18</v>
      </c>
      <c r="E145" s="129" t="s">
        <v>15</v>
      </c>
      <c r="F145" s="130">
        <v>358849708129612</v>
      </c>
      <c r="G145" s="129"/>
      <c r="H145" s="131">
        <v>45829</v>
      </c>
      <c r="I145" s="132">
        <v>530</v>
      </c>
      <c r="J145" s="132"/>
      <c r="K145" s="131">
        <v>45830</v>
      </c>
      <c r="L145" s="133">
        <f>Таблица375891011[[#This Row],[OLINGAN NARXI $]]+Таблица375891011[[#This Row],[RASXOD]]</f>
        <v>530</v>
      </c>
      <c r="M145" s="132">
        <v>570</v>
      </c>
      <c r="N145" s="132">
        <v>20</v>
      </c>
      <c r="O145" s="128"/>
    </row>
    <row r="146" spans="1:15" s="83" customFormat="1" x14ac:dyDescent="0.3">
      <c r="A146" s="116">
        <v>145</v>
      </c>
      <c r="B146" s="76" t="s">
        <v>16</v>
      </c>
      <c r="C146" s="77" t="s">
        <v>25</v>
      </c>
      <c r="D146" s="78" t="s">
        <v>21</v>
      </c>
      <c r="E146" s="78" t="s">
        <v>22</v>
      </c>
      <c r="F146" s="79">
        <v>359779343778953</v>
      </c>
      <c r="G146" s="78"/>
      <c r="H146" s="80">
        <v>45824</v>
      </c>
      <c r="I146" s="81">
        <v>770</v>
      </c>
      <c r="J146" s="81"/>
      <c r="K146" s="80">
        <v>45830</v>
      </c>
      <c r="L146" s="82">
        <f>Таблица3[[#This Row],[OLINGAN NARXI $]]+Таблица3[[#This Row],[RASXOD]]</f>
        <v>170</v>
      </c>
      <c r="M146" s="81">
        <v>820</v>
      </c>
      <c r="N146" s="81">
        <v>50</v>
      </c>
      <c r="O146" s="77" t="s">
        <v>1357</v>
      </c>
    </row>
    <row r="147" spans="1:15" s="83" customFormat="1" x14ac:dyDescent="0.3">
      <c r="A147" s="116">
        <v>146</v>
      </c>
      <c r="B147" s="76" t="s">
        <v>16</v>
      </c>
      <c r="C147" s="77" t="s">
        <v>83</v>
      </c>
      <c r="D147" s="78" t="s">
        <v>65</v>
      </c>
      <c r="E147" s="78" t="s">
        <v>22</v>
      </c>
      <c r="F147" s="79">
        <v>350229610221658</v>
      </c>
      <c r="G147" s="78"/>
      <c r="H147" s="80">
        <v>45827</v>
      </c>
      <c r="I147" s="81">
        <v>420</v>
      </c>
      <c r="J147" s="81"/>
      <c r="K147" s="80">
        <v>45830</v>
      </c>
      <c r="L147" s="82">
        <f>Таблица3[[#This Row],[OLINGAN NARXI $]]+Таблица3[[#This Row],[RASXOD]]</f>
        <v>275</v>
      </c>
      <c r="M147" s="81">
        <v>460</v>
      </c>
      <c r="N147" s="81">
        <v>40</v>
      </c>
      <c r="O147" s="77" t="s">
        <v>1365</v>
      </c>
    </row>
    <row r="148" spans="1:15" s="105" customFormat="1" x14ac:dyDescent="0.3">
      <c r="A148" s="116">
        <v>147</v>
      </c>
      <c r="B148" s="100" t="s">
        <v>16</v>
      </c>
      <c r="C148" s="101" t="s">
        <v>1358</v>
      </c>
      <c r="D148" s="102" t="s">
        <v>35</v>
      </c>
      <c r="E148" s="102" t="s">
        <v>22</v>
      </c>
      <c r="F148" s="10">
        <v>353917854185699</v>
      </c>
      <c r="G148" s="102"/>
      <c r="H148" s="103">
        <v>45825</v>
      </c>
      <c r="I148" s="26">
        <v>400</v>
      </c>
      <c r="J148" s="26"/>
      <c r="K148" s="103">
        <v>45830</v>
      </c>
      <c r="L148" s="104">
        <f>Таблица3[[#This Row],[OLINGAN NARXI $]]+Таблица3[[#This Row],[RASXOD]]</f>
        <v>250</v>
      </c>
      <c r="M148" s="26">
        <v>478</v>
      </c>
      <c r="N148" s="26">
        <v>78</v>
      </c>
      <c r="O148" s="101" t="s">
        <v>1359</v>
      </c>
    </row>
    <row r="149" spans="1:15" s="99" customFormat="1" x14ac:dyDescent="0.3">
      <c r="A149" s="116">
        <v>148</v>
      </c>
      <c r="B149" s="92" t="s">
        <v>13</v>
      </c>
      <c r="C149" s="93" t="s">
        <v>115</v>
      </c>
      <c r="D149" s="94" t="s">
        <v>21</v>
      </c>
      <c r="E149" s="94" t="s">
        <v>15</v>
      </c>
      <c r="F149" s="95">
        <v>354879302752802</v>
      </c>
      <c r="G149" s="94"/>
      <c r="H149" s="96">
        <v>45790</v>
      </c>
      <c r="I149" s="97">
        <v>155</v>
      </c>
      <c r="J149" s="97">
        <v>27</v>
      </c>
      <c r="K149" s="96">
        <v>45830</v>
      </c>
      <c r="L149" s="98">
        <f>Таблица3[[#This Row],[OLINGAN NARXI $]]+Таблица3[[#This Row],[RASXOD]]</f>
        <v>275</v>
      </c>
      <c r="M149" s="97">
        <v>214</v>
      </c>
      <c r="N149" s="97">
        <v>32</v>
      </c>
      <c r="O149" s="93" t="s">
        <v>147</v>
      </c>
    </row>
    <row r="150" spans="1:15" s="134" customFormat="1" x14ac:dyDescent="0.3">
      <c r="A150" s="116">
        <v>149</v>
      </c>
      <c r="B150" s="127" t="s">
        <v>16</v>
      </c>
      <c r="C150" s="128" t="s">
        <v>25</v>
      </c>
      <c r="D150" s="127" t="s">
        <v>26</v>
      </c>
      <c r="E150" s="129" t="s">
        <v>22</v>
      </c>
      <c r="F150" s="130">
        <v>356642159245215</v>
      </c>
      <c r="G150" s="129"/>
      <c r="H150" s="131">
        <v>45829</v>
      </c>
      <c r="I150" s="132">
        <v>870</v>
      </c>
      <c r="J150" s="132"/>
      <c r="K150" s="131">
        <v>45830</v>
      </c>
      <c r="L150" s="133">
        <f>Таблица375891011[[#This Row],[OLINGAN NARXI $]]+Таблица375891011[[#This Row],[RASXOD]]</f>
        <v>870</v>
      </c>
      <c r="M150" s="132">
        <v>920</v>
      </c>
      <c r="N150" s="132">
        <v>25</v>
      </c>
      <c r="O150" s="128"/>
    </row>
    <row r="151" spans="1:15" s="83" customFormat="1" x14ac:dyDescent="0.3">
      <c r="A151" s="116">
        <v>150</v>
      </c>
      <c r="B151" s="76" t="s">
        <v>13</v>
      </c>
      <c r="C151" s="77" t="s">
        <v>566</v>
      </c>
      <c r="D151" s="78" t="s">
        <v>21</v>
      </c>
      <c r="E151" s="78" t="s">
        <v>15</v>
      </c>
      <c r="F151" s="79">
        <v>353992851338658</v>
      </c>
      <c r="G151" s="78"/>
      <c r="H151" s="80">
        <v>45822</v>
      </c>
      <c r="I151" s="81">
        <v>460</v>
      </c>
      <c r="J151" s="81"/>
      <c r="K151" s="80">
        <v>45830</v>
      </c>
      <c r="L151" s="82">
        <f>Таблица3[[#This Row],[OLINGAN NARXI $]]+Таблица3[[#This Row],[RASXOD]]</f>
        <v>35</v>
      </c>
      <c r="M151" s="81">
        <v>520</v>
      </c>
      <c r="N151" s="81">
        <v>60</v>
      </c>
      <c r="O151" s="77" t="s">
        <v>1343</v>
      </c>
    </row>
    <row r="152" spans="1:15" s="83" customFormat="1" x14ac:dyDescent="0.3">
      <c r="A152" s="116">
        <v>151</v>
      </c>
      <c r="B152" s="76" t="s">
        <v>13</v>
      </c>
      <c r="C152" s="77" t="s">
        <v>455</v>
      </c>
      <c r="D152" s="78" t="s">
        <v>21</v>
      </c>
      <c r="E152" s="78" t="s">
        <v>15</v>
      </c>
      <c r="F152" s="79">
        <v>352412374298462</v>
      </c>
      <c r="G152" s="78"/>
      <c r="H152" s="80">
        <v>45769</v>
      </c>
      <c r="I152" s="81">
        <v>290</v>
      </c>
      <c r="J152" s="81">
        <v>32.700000000000003</v>
      </c>
      <c r="K152" s="80">
        <v>45831</v>
      </c>
      <c r="L152" s="82">
        <f>Таблица3[[#This Row],[OLINGAN NARXI $]]+Таблица3[[#This Row],[RASXOD]]</f>
        <v>252</v>
      </c>
      <c r="M152" s="81">
        <v>330</v>
      </c>
      <c r="N152" s="81">
        <v>7.3</v>
      </c>
      <c r="O152" s="77" t="s">
        <v>147</v>
      </c>
    </row>
    <row r="153" spans="1:15" s="83" customFormat="1" x14ac:dyDescent="0.3">
      <c r="A153" s="116">
        <v>152</v>
      </c>
      <c r="B153" s="76" t="s">
        <v>13</v>
      </c>
      <c r="C153" s="77" t="s">
        <v>1042</v>
      </c>
      <c r="D153" s="78" t="s">
        <v>21</v>
      </c>
      <c r="E153" s="78" t="s">
        <v>15</v>
      </c>
      <c r="F153" s="79">
        <v>355320549515784</v>
      </c>
      <c r="G153" s="78"/>
      <c r="H153" s="80">
        <v>45819</v>
      </c>
      <c r="I153" s="81">
        <v>180</v>
      </c>
      <c r="J153" s="81"/>
      <c r="K153" s="80">
        <v>45831</v>
      </c>
      <c r="L153" s="82">
        <f>Таблица3[[#This Row],[OLINGAN NARXI $]]+Таблица3[[#This Row],[RASXOD]]</f>
        <v>154</v>
      </c>
      <c r="M153" s="81">
        <v>215</v>
      </c>
      <c r="N153" s="81">
        <v>35</v>
      </c>
      <c r="O153" s="77" t="s">
        <v>1324</v>
      </c>
    </row>
    <row r="154" spans="1:15" s="83" customFormat="1" x14ac:dyDescent="0.3">
      <c r="A154" s="116">
        <v>153</v>
      </c>
      <c r="B154" s="76" t="s">
        <v>13</v>
      </c>
      <c r="C154" s="77" t="s">
        <v>1296</v>
      </c>
      <c r="D154" s="78" t="s">
        <v>107</v>
      </c>
      <c r="E154" s="78" t="s">
        <v>22</v>
      </c>
      <c r="F154" s="79">
        <v>355195304973752</v>
      </c>
      <c r="G154" s="78"/>
      <c r="H154" s="80">
        <v>45809</v>
      </c>
      <c r="I154" s="81">
        <v>280</v>
      </c>
      <c r="J154" s="81"/>
      <c r="K154" s="80">
        <v>45831</v>
      </c>
      <c r="L154" s="82">
        <f>Таблица3[[#This Row],[OLINGAN NARXI $]]+Таблица3[[#This Row],[RASXOD]]</f>
        <v>252.6</v>
      </c>
      <c r="M154" s="81">
        <v>320</v>
      </c>
      <c r="N154" s="81">
        <v>40</v>
      </c>
      <c r="O154" s="77" t="s">
        <v>1297</v>
      </c>
    </row>
    <row r="155" spans="1:15" s="134" customFormat="1" x14ac:dyDescent="0.3">
      <c r="A155" s="116">
        <v>154</v>
      </c>
      <c r="B155" s="127" t="s">
        <v>16</v>
      </c>
      <c r="C155" s="128" t="s">
        <v>25</v>
      </c>
      <c r="D155" s="127" t="s">
        <v>65</v>
      </c>
      <c r="E155" s="129" t="s">
        <v>22</v>
      </c>
      <c r="F155" s="130">
        <v>354449449759571</v>
      </c>
      <c r="G155" s="129"/>
      <c r="H155" s="131">
        <v>45829</v>
      </c>
      <c r="I155" s="132">
        <v>740</v>
      </c>
      <c r="J155" s="132"/>
      <c r="K155" s="131">
        <v>45831</v>
      </c>
      <c r="L155" s="133">
        <f>Таблица375891011[[#This Row],[OLINGAN NARXI $]]+Таблица375891011[[#This Row],[RASXOD]]</f>
        <v>740</v>
      </c>
      <c r="M155" s="132">
        <v>810</v>
      </c>
      <c r="N155" s="132">
        <v>35</v>
      </c>
      <c r="O155" s="128" t="s">
        <v>1376</v>
      </c>
    </row>
    <row r="156" spans="1:15" s="83" customFormat="1" x14ac:dyDescent="0.3">
      <c r="A156" s="116">
        <v>155</v>
      </c>
      <c r="B156" s="76" t="s">
        <v>16</v>
      </c>
      <c r="C156" s="77" t="s">
        <v>74</v>
      </c>
      <c r="D156" s="78" t="s">
        <v>18</v>
      </c>
      <c r="E156" s="78" t="s">
        <v>15</v>
      </c>
      <c r="F156" s="79">
        <v>354606981269372</v>
      </c>
      <c r="G156" s="78"/>
      <c r="H156" s="80">
        <v>45820</v>
      </c>
      <c r="I156" s="81">
        <v>550</v>
      </c>
      <c r="J156" s="81"/>
      <c r="K156" s="80">
        <v>45831</v>
      </c>
      <c r="L156" s="82">
        <f>Таблица3[[#This Row],[OLINGAN NARXI $]]+Таблица3[[#This Row],[RASXOD]]</f>
        <v>250</v>
      </c>
      <c r="M156" s="81">
        <v>600</v>
      </c>
      <c r="N156" s="81">
        <v>50</v>
      </c>
      <c r="O156" s="77" t="s">
        <v>19</v>
      </c>
    </row>
    <row r="157" spans="1:15" s="105" customFormat="1" x14ac:dyDescent="0.3">
      <c r="A157" s="116">
        <v>156</v>
      </c>
      <c r="B157" s="100" t="s">
        <v>16</v>
      </c>
      <c r="C157" s="101" t="s">
        <v>312</v>
      </c>
      <c r="D157" s="102" t="s">
        <v>65</v>
      </c>
      <c r="E157" s="102" t="s">
        <v>15</v>
      </c>
      <c r="F157" s="10">
        <v>357447881186409</v>
      </c>
      <c r="G157" s="102"/>
      <c r="H157" s="103">
        <v>45821</v>
      </c>
      <c r="I157" s="26">
        <v>505</v>
      </c>
      <c r="J157" s="26"/>
      <c r="K157" s="103">
        <v>45831</v>
      </c>
      <c r="L157" s="104">
        <f>Таблица3[[#This Row],[OLINGAN NARXI $]]+Таблица3[[#This Row],[RASXOD]]</f>
        <v>250</v>
      </c>
      <c r="M157" s="26">
        <v>550</v>
      </c>
      <c r="N157" s="26">
        <v>45</v>
      </c>
      <c r="O157" s="101" t="s">
        <v>1092</v>
      </c>
    </row>
    <row r="158" spans="1:15" s="134" customFormat="1" x14ac:dyDescent="0.3">
      <c r="A158" s="116">
        <v>157</v>
      </c>
      <c r="B158" s="127" t="s">
        <v>16</v>
      </c>
      <c r="C158" s="128" t="s">
        <v>25</v>
      </c>
      <c r="D158" s="127" t="s">
        <v>26</v>
      </c>
      <c r="E158" s="129" t="s">
        <v>22</v>
      </c>
      <c r="F158" s="130">
        <v>357439143349685</v>
      </c>
      <c r="G158" s="129"/>
      <c r="H158" s="131">
        <v>45831</v>
      </c>
      <c r="I158" s="132">
        <v>820</v>
      </c>
      <c r="J158" s="132"/>
      <c r="K158" s="131">
        <v>45831</v>
      </c>
      <c r="L158" s="133">
        <f>Таблица375891011[[#This Row],[OLINGAN NARXI $]]+Таблица375891011[[#This Row],[RASXOD]]</f>
        <v>820</v>
      </c>
      <c r="M158" s="132">
        <v>840</v>
      </c>
      <c r="N158" s="132">
        <v>10</v>
      </c>
      <c r="O158" s="128"/>
    </row>
    <row r="159" spans="1:15" s="83" customFormat="1" x14ac:dyDescent="0.3">
      <c r="A159" s="116">
        <v>158</v>
      </c>
      <c r="B159" s="76" t="s">
        <v>13</v>
      </c>
      <c r="C159" s="77" t="s">
        <v>115</v>
      </c>
      <c r="D159" s="78" t="s">
        <v>35</v>
      </c>
      <c r="E159" s="78" t="s">
        <v>15</v>
      </c>
      <c r="F159" s="79">
        <v>351376417739561</v>
      </c>
      <c r="G159" s="78" t="s">
        <v>1333</v>
      </c>
      <c r="H159" s="80">
        <v>45821</v>
      </c>
      <c r="I159" s="81">
        <v>175</v>
      </c>
      <c r="J159" s="81"/>
      <c r="K159" s="80">
        <v>45832</v>
      </c>
      <c r="L159" s="82">
        <f>Таблица3[[#This Row],[OLINGAN NARXI $]]+Таблица3[[#This Row],[RASXOD]]</f>
        <v>180</v>
      </c>
      <c r="M159" s="81">
        <v>210</v>
      </c>
      <c r="N159" s="81">
        <v>35</v>
      </c>
      <c r="O159" s="77">
        <v>970390949</v>
      </c>
    </row>
    <row r="160" spans="1:15" s="83" customFormat="1" x14ac:dyDescent="0.3">
      <c r="A160" s="116">
        <v>159</v>
      </c>
      <c r="B160" s="76" t="s">
        <v>16</v>
      </c>
      <c r="C160" s="77" t="s">
        <v>25</v>
      </c>
      <c r="D160" s="78" t="s">
        <v>21</v>
      </c>
      <c r="E160" s="78" t="s">
        <v>22</v>
      </c>
      <c r="F160" s="79">
        <v>356876521085095</v>
      </c>
      <c r="G160" s="78" t="s">
        <v>556</v>
      </c>
      <c r="H160" s="80">
        <v>45821</v>
      </c>
      <c r="I160" s="81">
        <v>815</v>
      </c>
      <c r="J160" s="81"/>
      <c r="K160" s="80">
        <v>45832</v>
      </c>
      <c r="L160" s="82">
        <f>Таблица3[[#This Row],[OLINGAN NARXI $]]+Таблица3[[#This Row],[RASXOD]]</f>
        <v>245</v>
      </c>
      <c r="M160" s="81">
        <v>860</v>
      </c>
      <c r="N160" s="81">
        <v>45</v>
      </c>
      <c r="O160" s="77" t="s">
        <v>1338</v>
      </c>
    </row>
    <row r="161" spans="1:15" s="99" customFormat="1" x14ac:dyDescent="0.3">
      <c r="A161" s="116">
        <v>160</v>
      </c>
      <c r="B161" s="92" t="s">
        <v>4</v>
      </c>
      <c r="C161" s="93"/>
      <c r="D161" s="94"/>
      <c r="E161" s="94"/>
      <c r="F161" s="95"/>
      <c r="G161" s="94"/>
      <c r="H161" s="96"/>
      <c r="I161" s="97"/>
      <c r="J161" s="97"/>
      <c r="K161" s="96"/>
      <c r="L161" s="98">
        <f>Таблица375891011[[#This Row],[OLINGAN NARXI $]]+Таблица375891011[[#This Row],[RASXOD]]</f>
        <v>0</v>
      </c>
      <c r="M161" s="97"/>
      <c r="N161" s="97">
        <v>5</v>
      </c>
      <c r="O161" s="93" t="s">
        <v>11</v>
      </c>
    </row>
    <row r="162" spans="1:15" s="99" customFormat="1" x14ac:dyDescent="0.3">
      <c r="A162" s="116">
        <v>161</v>
      </c>
      <c r="B162" s="92" t="s">
        <v>16</v>
      </c>
      <c r="C162" s="93" t="s">
        <v>372</v>
      </c>
      <c r="D162" s="94" t="s">
        <v>18</v>
      </c>
      <c r="E162" s="94" t="s">
        <v>15</v>
      </c>
      <c r="F162" s="95">
        <v>350141786811685</v>
      </c>
      <c r="G162" s="94" t="s">
        <v>1246</v>
      </c>
      <c r="H162" s="96">
        <v>45799</v>
      </c>
      <c r="I162" s="97">
        <v>150</v>
      </c>
      <c r="J162" s="97">
        <v>23</v>
      </c>
      <c r="K162" s="96">
        <v>45833</v>
      </c>
      <c r="L162" s="98">
        <f>Таблица3[[#This Row],[OLINGAN NARXI $]]+Таблица3[[#This Row],[RASXOD]]</f>
        <v>565</v>
      </c>
      <c r="M162" s="97">
        <v>290</v>
      </c>
      <c r="N162" s="97">
        <v>117</v>
      </c>
      <c r="O162" s="93" t="s">
        <v>1247</v>
      </c>
    </row>
    <row r="163" spans="1:15" s="99" customFormat="1" x14ac:dyDescent="0.3">
      <c r="A163" s="116">
        <v>162</v>
      </c>
      <c r="B163" s="92" t="s">
        <v>13</v>
      </c>
      <c r="C163" s="93" t="s">
        <v>563</v>
      </c>
      <c r="D163" s="94" t="s">
        <v>21</v>
      </c>
      <c r="E163" s="94" t="s">
        <v>15</v>
      </c>
      <c r="F163" s="95">
        <v>352730631315641</v>
      </c>
      <c r="G163" s="94"/>
      <c r="H163" s="96">
        <v>45780</v>
      </c>
      <c r="I163" s="97">
        <v>350</v>
      </c>
      <c r="J163" s="97">
        <v>21</v>
      </c>
      <c r="K163" s="96">
        <v>45834</v>
      </c>
      <c r="L163" s="98">
        <f>Таблица3[[#This Row],[OLINGAN NARXI $]]+Таблица3[[#This Row],[RASXOD]]</f>
        <v>301</v>
      </c>
      <c r="M163" s="97">
        <v>415</v>
      </c>
      <c r="N163" s="97">
        <v>44</v>
      </c>
      <c r="O163" s="93" t="s">
        <v>1146</v>
      </c>
    </row>
    <row r="164" spans="1:15" s="83" customFormat="1" x14ac:dyDescent="0.3">
      <c r="A164" s="116">
        <v>163</v>
      </c>
      <c r="B164" s="76" t="s">
        <v>16</v>
      </c>
      <c r="C164" s="77" t="s">
        <v>1386</v>
      </c>
      <c r="D164" s="78" t="s">
        <v>18</v>
      </c>
      <c r="E164" s="78" t="s">
        <v>15</v>
      </c>
      <c r="F164" s="79">
        <v>356493103381452</v>
      </c>
      <c r="G164" s="78"/>
      <c r="H164" s="80">
        <v>45831</v>
      </c>
      <c r="I164" s="81">
        <v>72</v>
      </c>
      <c r="J164" s="81"/>
      <c r="K164" s="80">
        <v>45834</v>
      </c>
      <c r="L164" s="82">
        <f>Таблица3[[#This Row],[OLINGAN NARXI $]]+Таблица3[[#This Row],[RASXOD]]</f>
        <v>57</v>
      </c>
      <c r="M164" s="81">
        <v>102</v>
      </c>
      <c r="N164" s="81">
        <v>30</v>
      </c>
      <c r="O164" s="77" t="s">
        <v>1387</v>
      </c>
    </row>
    <row r="165" spans="1:15" s="105" customFormat="1" x14ac:dyDescent="0.3">
      <c r="A165" s="116">
        <v>164</v>
      </c>
      <c r="B165" s="100" t="s">
        <v>13</v>
      </c>
      <c r="C165" s="101" t="s">
        <v>370</v>
      </c>
      <c r="D165" s="102" t="s">
        <v>21</v>
      </c>
      <c r="E165" s="102" t="s">
        <v>15</v>
      </c>
      <c r="F165" s="10">
        <v>351357513586726</v>
      </c>
      <c r="G165" s="102"/>
      <c r="H165" s="103">
        <v>45779</v>
      </c>
      <c r="I165" s="26">
        <v>310</v>
      </c>
      <c r="J165" s="26"/>
      <c r="K165" s="103">
        <v>45834</v>
      </c>
      <c r="L165" s="104">
        <f>Таблица3[[#This Row],[OLINGAN NARXI $]]+Таблица3[[#This Row],[RASXOD]]</f>
        <v>150</v>
      </c>
      <c r="M165" s="26">
        <v>355</v>
      </c>
      <c r="N165" s="26">
        <v>45</v>
      </c>
      <c r="O165" s="101" t="s">
        <v>19</v>
      </c>
    </row>
    <row r="166" spans="1:15" s="83" customFormat="1" x14ac:dyDescent="0.3">
      <c r="A166" s="116">
        <v>165</v>
      </c>
      <c r="B166" s="76" t="s">
        <v>16</v>
      </c>
      <c r="C166" s="77" t="s">
        <v>303</v>
      </c>
      <c r="D166" s="78" t="s">
        <v>21</v>
      </c>
      <c r="E166" s="78" t="s">
        <v>15</v>
      </c>
      <c r="F166" s="79">
        <v>352298639540131</v>
      </c>
      <c r="G166" s="78"/>
      <c r="H166" s="80">
        <v>45802</v>
      </c>
      <c r="I166" s="81">
        <v>390</v>
      </c>
      <c r="J166" s="81"/>
      <c r="K166" s="80">
        <v>45834</v>
      </c>
      <c r="L166" s="82">
        <f>Таблица3[[#This Row],[OLINGAN NARXI $]]+Таблица3[[#This Row],[RASXOD]]</f>
        <v>200</v>
      </c>
      <c r="M166" s="81">
        <v>440</v>
      </c>
      <c r="N166" s="81">
        <v>50</v>
      </c>
      <c r="O166" s="77" t="s">
        <v>19</v>
      </c>
    </row>
    <row r="167" spans="1:15" s="83" customFormat="1" x14ac:dyDescent="0.3">
      <c r="A167" s="116">
        <v>166</v>
      </c>
      <c r="B167" s="76" t="s">
        <v>16</v>
      </c>
      <c r="C167" s="77" t="s">
        <v>1000</v>
      </c>
      <c r="D167" s="78" t="s">
        <v>583</v>
      </c>
      <c r="E167" s="78" t="s">
        <v>22</v>
      </c>
      <c r="F167" s="79">
        <v>351361545887094</v>
      </c>
      <c r="G167" s="78"/>
      <c r="H167" s="80">
        <v>45830</v>
      </c>
      <c r="I167" s="81">
        <v>1100</v>
      </c>
      <c r="J167" s="81"/>
      <c r="K167" s="80">
        <v>45834</v>
      </c>
      <c r="L167" s="82">
        <f>Таблица3[[#This Row],[OLINGAN NARXI $]]+Таблица3[[#This Row],[RASXOD]]</f>
        <v>160</v>
      </c>
      <c r="M167" s="81">
        <v>1150</v>
      </c>
      <c r="N167" s="81">
        <v>50</v>
      </c>
      <c r="O167" s="77" t="s">
        <v>1382</v>
      </c>
    </row>
    <row r="168" spans="1:15" s="83" customFormat="1" x14ac:dyDescent="0.3">
      <c r="A168" s="116">
        <v>167</v>
      </c>
      <c r="B168" s="76" t="s">
        <v>16</v>
      </c>
      <c r="C168" s="77" t="s">
        <v>1000</v>
      </c>
      <c r="D168" s="78" t="s">
        <v>583</v>
      </c>
      <c r="E168" s="78" t="s">
        <v>22</v>
      </c>
      <c r="F168" s="79">
        <v>357583474686007</v>
      </c>
      <c r="G168" s="78"/>
      <c r="H168" s="80">
        <v>45830</v>
      </c>
      <c r="I168" s="81">
        <v>1050</v>
      </c>
      <c r="J168" s="81"/>
      <c r="K168" s="80">
        <v>45835</v>
      </c>
      <c r="L168" s="82">
        <f>Таблица3[[#This Row],[OLINGAN NARXI $]]+Таблица3[[#This Row],[RASXOD]]</f>
        <v>160</v>
      </c>
      <c r="M168" s="81">
        <v>1140</v>
      </c>
      <c r="N168" s="81">
        <v>90</v>
      </c>
      <c r="O168" s="77" t="s">
        <v>1383</v>
      </c>
    </row>
    <row r="169" spans="1:15" s="83" customFormat="1" x14ac:dyDescent="0.3">
      <c r="A169" s="116">
        <v>168</v>
      </c>
      <c r="B169" s="76" t="s">
        <v>13</v>
      </c>
      <c r="C169" s="77" t="s">
        <v>563</v>
      </c>
      <c r="D169" s="78" t="s">
        <v>884</v>
      </c>
      <c r="E169" s="78" t="s">
        <v>15</v>
      </c>
      <c r="F169" s="79">
        <v>351562311220614</v>
      </c>
      <c r="G169" s="78"/>
      <c r="H169" s="80">
        <v>45778</v>
      </c>
      <c r="I169" s="81">
        <v>355</v>
      </c>
      <c r="J169" s="81"/>
      <c r="K169" s="80">
        <v>45835</v>
      </c>
      <c r="L169" s="82">
        <f>Таблица3[[#This Row],[OLINGAN NARXI $]]+Таблица3[[#This Row],[RASXOD]]</f>
        <v>160</v>
      </c>
      <c r="M169" s="81">
        <v>400</v>
      </c>
      <c r="N169" s="81">
        <v>45</v>
      </c>
      <c r="O169" s="77" t="s">
        <v>19</v>
      </c>
    </row>
    <row r="170" spans="1:15" s="134" customFormat="1" x14ac:dyDescent="0.3">
      <c r="A170" s="116">
        <v>169</v>
      </c>
      <c r="B170" s="127" t="s">
        <v>16</v>
      </c>
      <c r="C170" s="128" t="s">
        <v>1368</v>
      </c>
      <c r="D170" s="127" t="s">
        <v>45</v>
      </c>
      <c r="E170" s="129" t="s">
        <v>15</v>
      </c>
      <c r="F170" s="130">
        <v>354991558880292</v>
      </c>
      <c r="G170" s="129" t="s">
        <v>1372</v>
      </c>
      <c r="H170" s="131">
        <v>45829</v>
      </c>
      <c r="I170" s="132">
        <v>250</v>
      </c>
      <c r="J170" s="132">
        <v>20</v>
      </c>
      <c r="K170" s="131">
        <v>45835</v>
      </c>
      <c r="L170" s="133">
        <f>Таблица375891011[[#This Row],[OLINGAN NARXI $]]+Таблица375891011[[#This Row],[RASXOD]]</f>
        <v>270</v>
      </c>
      <c r="M170" s="132">
        <v>310</v>
      </c>
      <c r="N170" s="132">
        <v>20</v>
      </c>
      <c r="O170" s="128"/>
    </row>
    <row r="171" spans="1:15" s="134" customFormat="1" x14ac:dyDescent="0.3">
      <c r="A171" s="116">
        <v>170</v>
      </c>
      <c r="B171" s="127" t="s">
        <v>16</v>
      </c>
      <c r="C171" s="128" t="s">
        <v>81</v>
      </c>
      <c r="D171" s="127" t="s">
        <v>1397</v>
      </c>
      <c r="E171" s="129" t="s">
        <v>22</v>
      </c>
      <c r="F171" s="130">
        <v>350302397277050</v>
      </c>
      <c r="G171" s="129"/>
      <c r="H171" s="131">
        <v>45835</v>
      </c>
      <c r="I171" s="132">
        <v>380</v>
      </c>
      <c r="J171" s="132"/>
      <c r="K171" s="131">
        <v>45835</v>
      </c>
      <c r="L171" s="133">
        <f>Таблица375891011[[#This Row],[OLINGAN NARXI $]]+Таблица375891011[[#This Row],[RASXOD]]</f>
        <v>380</v>
      </c>
      <c r="M171" s="132">
        <v>450</v>
      </c>
      <c r="N171" s="132">
        <v>35</v>
      </c>
      <c r="O171" s="128"/>
    </row>
    <row r="172" spans="1:15" s="99" customFormat="1" x14ac:dyDescent="0.3">
      <c r="A172" s="116">
        <v>171</v>
      </c>
      <c r="B172" s="92" t="s">
        <v>13</v>
      </c>
      <c r="C172" s="93" t="s">
        <v>1001</v>
      </c>
      <c r="D172" s="94" t="s">
        <v>21</v>
      </c>
      <c r="E172" s="94" t="s">
        <v>15</v>
      </c>
      <c r="F172" s="95">
        <v>353182213300584</v>
      </c>
      <c r="G172" s="94"/>
      <c r="H172" s="96">
        <v>45754</v>
      </c>
      <c r="I172" s="97">
        <v>300</v>
      </c>
      <c r="J172" s="97"/>
      <c r="K172" s="96">
        <v>45835</v>
      </c>
      <c r="L172" s="98">
        <f>Таблица3[[#This Row],[OLINGAN NARXI $]]+Таблица3[[#This Row],[RASXOD]]</f>
        <v>550</v>
      </c>
      <c r="M172" s="97">
        <v>320</v>
      </c>
      <c r="N172" s="97">
        <v>20</v>
      </c>
      <c r="O172" s="93" t="s">
        <v>262</v>
      </c>
    </row>
    <row r="173" spans="1:15" s="99" customFormat="1" x14ac:dyDescent="0.3">
      <c r="A173" s="116">
        <v>172</v>
      </c>
      <c r="B173" s="92" t="s">
        <v>16</v>
      </c>
      <c r="C173" s="93" t="s">
        <v>106</v>
      </c>
      <c r="D173" s="94" t="s">
        <v>21</v>
      </c>
      <c r="E173" s="94" t="s">
        <v>22</v>
      </c>
      <c r="F173" s="95">
        <v>356803118315271</v>
      </c>
      <c r="G173" s="94"/>
      <c r="H173" s="96">
        <v>45802</v>
      </c>
      <c r="I173" s="97">
        <v>190</v>
      </c>
      <c r="J173" s="97"/>
      <c r="K173" s="96">
        <v>45835</v>
      </c>
      <c r="L173" s="98">
        <f>Таблица3[[#This Row],[OLINGAN NARXI $]]+Таблица3[[#This Row],[RASXOD]]</f>
        <v>421.2</v>
      </c>
      <c r="M173" s="97">
        <v>220</v>
      </c>
      <c r="N173" s="97">
        <v>30</v>
      </c>
      <c r="O173" s="93" t="s">
        <v>19</v>
      </c>
    </row>
    <row r="174" spans="1:15" s="83" customFormat="1" x14ac:dyDescent="0.3">
      <c r="A174" s="116">
        <v>173</v>
      </c>
      <c r="B174" s="76" t="s">
        <v>13</v>
      </c>
      <c r="C174" s="77" t="s">
        <v>455</v>
      </c>
      <c r="D174" s="78" t="s">
        <v>21</v>
      </c>
      <c r="E174" s="78" t="s">
        <v>15</v>
      </c>
      <c r="F174" s="79">
        <v>352412374426964</v>
      </c>
      <c r="G174" s="78"/>
      <c r="H174" s="80">
        <v>45835</v>
      </c>
      <c r="I174" s="81">
        <v>315</v>
      </c>
      <c r="J174" s="81"/>
      <c r="K174" s="80">
        <v>45835</v>
      </c>
      <c r="L174" s="82">
        <v>315</v>
      </c>
      <c r="M174" s="81">
        <v>315</v>
      </c>
      <c r="N174" s="81">
        <v>0</v>
      </c>
      <c r="O174" s="77" t="s">
        <v>1398</v>
      </c>
    </row>
    <row r="175" spans="1:15" s="83" customFormat="1" x14ac:dyDescent="0.3">
      <c r="A175" s="116">
        <v>174</v>
      </c>
      <c r="B175" s="76" t="s">
        <v>16</v>
      </c>
      <c r="C175" s="77" t="s">
        <v>1000</v>
      </c>
      <c r="D175" s="78" t="s">
        <v>26</v>
      </c>
      <c r="E175" s="78" t="s">
        <v>22</v>
      </c>
      <c r="F175" s="79">
        <v>357988120784009</v>
      </c>
      <c r="G175" s="78"/>
      <c r="H175" s="80">
        <v>45816</v>
      </c>
      <c r="I175" s="81">
        <v>1080</v>
      </c>
      <c r="J175" s="81"/>
      <c r="K175" s="80">
        <v>45835</v>
      </c>
      <c r="L175" s="82">
        <f>Таблица3[[#This Row],[OLINGAN NARXI $]]+Таблица3[[#This Row],[RASXOD]]</f>
        <v>40</v>
      </c>
      <c r="M175" s="81">
        <v>1170</v>
      </c>
      <c r="N175" s="81">
        <v>90</v>
      </c>
      <c r="O175" s="77" t="s">
        <v>1314</v>
      </c>
    </row>
    <row r="176" spans="1:15" s="83" customFormat="1" x14ac:dyDescent="0.3">
      <c r="A176" s="116">
        <v>175</v>
      </c>
      <c r="B176" s="76" t="s">
        <v>13</v>
      </c>
      <c r="C176" s="77" t="s">
        <v>1165</v>
      </c>
      <c r="D176" s="78" t="s">
        <v>21</v>
      </c>
      <c r="E176" s="78" t="s">
        <v>15</v>
      </c>
      <c r="F176" s="79">
        <v>353420103966829</v>
      </c>
      <c r="G176" s="78" t="s">
        <v>1164</v>
      </c>
      <c r="H176" s="80">
        <v>45782</v>
      </c>
      <c r="I176" s="81">
        <v>61</v>
      </c>
      <c r="J176" s="81"/>
      <c r="K176" s="80">
        <v>45836</v>
      </c>
      <c r="L176" s="82">
        <f>Таблица3[[#This Row],[OLINGAN NARXI $]]+Таблица3[[#This Row],[RASXOD]]</f>
        <v>292</v>
      </c>
      <c r="M176" s="81">
        <v>118</v>
      </c>
      <c r="N176" s="81">
        <v>57</v>
      </c>
      <c r="O176" s="77"/>
    </row>
    <row r="177" spans="1:15" s="83" customFormat="1" x14ac:dyDescent="0.3">
      <c r="A177" s="116">
        <v>176</v>
      </c>
      <c r="B177" s="76" t="s">
        <v>13</v>
      </c>
      <c r="C177" s="77" t="s">
        <v>124</v>
      </c>
      <c r="D177" s="78" t="s">
        <v>295</v>
      </c>
      <c r="E177" s="78" t="s">
        <v>15</v>
      </c>
      <c r="F177" s="79">
        <v>355857114079134</v>
      </c>
      <c r="G177" s="78"/>
      <c r="H177" s="80">
        <v>45796</v>
      </c>
      <c r="I177" s="81">
        <v>200</v>
      </c>
      <c r="J177" s="81"/>
      <c r="K177" s="80">
        <v>45836</v>
      </c>
      <c r="L177" s="82">
        <f>Таблица3[[#This Row],[OLINGAN NARXI $]]+Таблица3[[#This Row],[RASXOD]]</f>
        <v>24</v>
      </c>
      <c r="M177" s="81">
        <v>300</v>
      </c>
      <c r="N177" s="81">
        <v>100</v>
      </c>
      <c r="O177" s="77" t="s">
        <v>1225</v>
      </c>
    </row>
    <row r="178" spans="1:15" s="99" customFormat="1" x14ac:dyDescent="0.3">
      <c r="A178" s="116">
        <v>177</v>
      </c>
      <c r="B178" s="92" t="s">
        <v>16</v>
      </c>
      <c r="C178" s="93" t="s">
        <v>81</v>
      </c>
      <c r="D178" s="94" t="s">
        <v>21</v>
      </c>
      <c r="E178" s="94" t="s">
        <v>15</v>
      </c>
      <c r="F178" s="95">
        <v>355196752510047</v>
      </c>
      <c r="G178" s="94"/>
      <c r="H178" s="96">
        <v>45786</v>
      </c>
      <c r="I178" s="97">
        <v>440</v>
      </c>
      <c r="J178" s="97"/>
      <c r="K178" s="96">
        <v>45836</v>
      </c>
      <c r="L178" s="98">
        <f>Таблица3[[#This Row],[OLINGAN NARXI $]]+Таблица3[[#This Row],[RASXOD]]</f>
        <v>80</v>
      </c>
      <c r="M178" s="97">
        <v>500</v>
      </c>
      <c r="N178" s="97">
        <v>60</v>
      </c>
      <c r="O178" s="93" t="s">
        <v>19</v>
      </c>
    </row>
    <row r="179" spans="1:15" s="134" customFormat="1" x14ac:dyDescent="0.3">
      <c r="A179" s="116">
        <v>178</v>
      </c>
      <c r="B179" s="127" t="s">
        <v>16</v>
      </c>
      <c r="C179" s="128" t="s">
        <v>1368</v>
      </c>
      <c r="D179" s="127" t="s">
        <v>45</v>
      </c>
      <c r="E179" s="129" t="s">
        <v>15</v>
      </c>
      <c r="F179" s="130">
        <v>354991558880292</v>
      </c>
      <c r="G179" s="129" t="s">
        <v>1372</v>
      </c>
      <c r="H179" s="131">
        <v>45829</v>
      </c>
      <c r="I179" s="132">
        <v>250</v>
      </c>
      <c r="J179" s="132">
        <v>36</v>
      </c>
      <c r="K179" s="131">
        <v>45836</v>
      </c>
      <c r="L179" s="133">
        <f>Таблица375891011[[#This Row],[OLINGAN NARXI $]]+Таблица375891011[[#This Row],[RASXOD]]</f>
        <v>286</v>
      </c>
      <c r="M179" s="132">
        <v>350</v>
      </c>
      <c r="N179" s="132">
        <v>16</v>
      </c>
      <c r="O179" s="128"/>
    </row>
    <row r="180" spans="1:15" s="134" customFormat="1" x14ac:dyDescent="0.3">
      <c r="A180" s="116">
        <v>179</v>
      </c>
      <c r="B180" s="127" t="s">
        <v>16</v>
      </c>
      <c r="C180" s="128" t="s">
        <v>32</v>
      </c>
      <c r="D180" s="127" t="s">
        <v>26</v>
      </c>
      <c r="E180" s="129" t="s">
        <v>22</v>
      </c>
      <c r="F180" s="130">
        <v>353233956393847</v>
      </c>
      <c r="G180" s="129"/>
      <c r="H180" s="131">
        <v>45831</v>
      </c>
      <c r="I180" s="132">
        <v>690</v>
      </c>
      <c r="J180" s="132"/>
      <c r="K180" s="131">
        <v>45836</v>
      </c>
      <c r="L180" s="133">
        <f>Таблица375891011[[#This Row],[OLINGAN NARXI $]]+Таблица375891011[[#This Row],[RASXOD]]</f>
        <v>690</v>
      </c>
      <c r="M180" s="132">
        <v>740</v>
      </c>
      <c r="N180" s="132">
        <v>25</v>
      </c>
      <c r="O180" s="128"/>
    </row>
    <row r="181" spans="1:15" s="83" customFormat="1" x14ac:dyDescent="0.3">
      <c r="A181" s="116">
        <v>180</v>
      </c>
      <c r="B181" s="76" t="s">
        <v>16</v>
      </c>
      <c r="C181" s="77" t="s">
        <v>25</v>
      </c>
      <c r="D181" s="78" t="s">
        <v>26</v>
      </c>
      <c r="E181" s="78" t="s">
        <v>15</v>
      </c>
      <c r="F181" s="79">
        <v>350492192335128</v>
      </c>
      <c r="G181" s="78" t="s">
        <v>27</v>
      </c>
      <c r="H181" s="80">
        <v>45817</v>
      </c>
      <c r="I181" s="81">
        <v>700</v>
      </c>
      <c r="J181" s="81">
        <v>34.5</v>
      </c>
      <c r="K181" s="80">
        <v>45837</v>
      </c>
      <c r="L181" s="82">
        <f>Таблица3[[#This Row],[OLINGAN NARXI $]]+Таблица3[[#This Row],[RASXOD]]</f>
        <v>0</v>
      </c>
      <c r="M181" s="81">
        <v>850</v>
      </c>
      <c r="N181" s="81">
        <v>115.5</v>
      </c>
      <c r="O181" s="77" t="s">
        <v>1317</v>
      </c>
    </row>
    <row r="182" spans="1:15" s="56" customFormat="1" x14ac:dyDescent="0.3">
      <c r="A182" s="116">
        <v>181</v>
      </c>
      <c r="B182" s="50" t="s">
        <v>16</v>
      </c>
      <c r="C182" s="51" t="s">
        <v>312</v>
      </c>
      <c r="D182" s="52" t="s">
        <v>45</v>
      </c>
      <c r="E182" s="52" t="s">
        <v>15</v>
      </c>
      <c r="F182" s="53">
        <v>35569489072643</v>
      </c>
      <c r="G182" s="52" t="s">
        <v>556</v>
      </c>
      <c r="H182" s="54">
        <v>45802</v>
      </c>
      <c r="I182" s="55">
        <v>440</v>
      </c>
      <c r="J182" s="55">
        <v>23</v>
      </c>
      <c r="K182" s="54">
        <v>45837</v>
      </c>
      <c r="L182" s="72">
        <f>Таблица3[[#This Row],[OLINGAN NARXI $]]+Таблица3[[#This Row],[RASXOD]]</f>
        <v>0</v>
      </c>
      <c r="M182" s="55">
        <v>600</v>
      </c>
      <c r="N182" s="55">
        <v>137</v>
      </c>
      <c r="O182" s="51" t="s">
        <v>1252</v>
      </c>
    </row>
    <row r="183" spans="1:15" s="83" customFormat="1" x14ac:dyDescent="0.3">
      <c r="A183" s="116">
        <v>182</v>
      </c>
      <c r="B183" s="76" t="s">
        <v>16</v>
      </c>
      <c r="C183" s="77" t="s">
        <v>106</v>
      </c>
      <c r="D183" s="78" t="s">
        <v>21</v>
      </c>
      <c r="E183" s="78" t="s">
        <v>15</v>
      </c>
      <c r="F183" s="79">
        <v>356806111608337</v>
      </c>
      <c r="G183" s="78"/>
      <c r="H183" s="80">
        <v>45823</v>
      </c>
      <c r="I183" s="81">
        <v>200</v>
      </c>
      <c r="J183" s="81"/>
      <c r="K183" s="80">
        <v>45837</v>
      </c>
      <c r="L183" s="82">
        <f>Таблица3[[#This Row],[OLINGAN NARXI $]]+Таблица3[[#This Row],[RASXOD]]</f>
        <v>0</v>
      </c>
      <c r="M183" s="81">
        <v>240</v>
      </c>
      <c r="N183" s="81">
        <v>40</v>
      </c>
      <c r="O183" s="77" t="s">
        <v>1355</v>
      </c>
    </row>
    <row r="184" spans="1:15" s="83" customFormat="1" x14ac:dyDescent="0.3">
      <c r="A184" s="116">
        <v>183</v>
      </c>
      <c r="B184" s="76" t="s">
        <v>16</v>
      </c>
      <c r="C184" s="77" t="s">
        <v>552</v>
      </c>
      <c r="D184" s="78" t="s">
        <v>21</v>
      </c>
      <c r="E184" s="78" t="s">
        <v>15</v>
      </c>
      <c r="F184" s="79">
        <v>353844104348283</v>
      </c>
      <c r="G184" s="78"/>
      <c r="H184" s="80">
        <v>45806</v>
      </c>
      <c r="I184" s="81">
        <v>230</v>
      </c>
      <c r="J184" s="81"/>
      <c r="K184" s="80">
        <v>45837</v>
      </c>
      <c r="L184" s="82">
        <f>Таблица3[[#This Row],[OLINGAN NARXI $]]+Таблица3[[#This Row],[RASXOD]]</f>
        <v>0</v>
      </c>
      <c r="M184" s="81">
        <v>270</v>
      </c>
      <c r="N184" s="81">
        <v>40</v>
      </c>
      <c r="O184" s="77" t="s">
        <v>19</v>
      </c>
    </row>
    <row r="185" spans="1:15" s="83" customFormat="1" x14ac:dyDescent="0.3">
      <c r="A185" s="116">
        <v>184</v>
      </c>
      <c r="B185" s="76" t="s">
        <v>13</v>
      </c>
      <c r="C185" s="77" t="s">
        <v>502</v>
      </c>
      <c r="D185" s="78" t="s">
        <v>18</v>
      </c>
      <c r="E185" s="78" t="s">
        <v>15</v>
      </c>
      <c r="F185" s="79">
        <v>351747950728924</v>
      </c>
      <c r="G185" s="78"/>
      <c r="H185" s="80">
        <v>45769</v>
      </c>
      <c r="I185" s="81">
        <v>450</v>
      </c>
      <c r="J185" s="81"/>
      <c r="K185" s="80">
        <v>45838</v>
      </c>
      <c r="L185" s="82">
        <f>Таблица3[[#This Row],[OLINGAN NARXI $]]+Таблица3[[#This Row],[RASXOD]]</f>
        <v>0</v>
      </c>
      <c r="M185" s="81">
        <v>515</v>
      </c>
      <c r="N185" s="81">
        <v>65</v>
      </c>
      <c r="O185" s="77" t="s">
        <v>147</v>
      </c>
    </row>
    <row r="186" spans="1:15" s="83" customFormat="1" x14ac:dyDescent="0.3">
      <c r="A186" s="116">
        <v>185</v>
      </c>
      <c r="B186" s="76" t="s">
        <v>13</v>
      </c>
      <c r="C186" s="77" t="s">
        <v>1082</v>
      </c>
      <c r="D186" s="78" t="s">
        <v>45</v>
      </c>
      <c r="E186" s="78" t="s">
        <v>15</v>
      </c>
      <c r="F186" s="79">
        <v>355401102525152</v>
      </c>
      <c r="G186" s="78"/>
      <c r="H186" s="80">
        <v>45772</v>
      </c>
      <c r="I186" s="81">
        <v>180</v>
      </c>
      <c r="J186" s="81"/>
      <c r="K186" s="80">
        <v>45838</v>
      </c>
      <c r="L186" s="82">
        <f>Таблица3[[#This Row],[OLINGAN NARXI $]]+Таблица3[[#This Row],[RASXOD]]</f>
        <v>0</v>
      </c>
      <c r="M186" s="81">
        <v>210</v>
      </c>
      <c r="N186" s="81">
        <v>30</v>
      </c>
      <c r="O186" s="77" t="s">
        <v>147</v>
      </c>
    </row>
    <row r="187" spans="1:15" s="83" customFormat="1" x14ac:dyDescent="0.3">
      <c r="A187" s="116">
        <v>186</v>
      </c>
      <c r="B187" s="76" t="s">
        <v>16</v>
      </c>
      <c r="C187" s="77" t="s">
        <v>34</v>
      </c>
      <c r="D187" s="78" t="s">
        <v>35</v>
      </c>
      <c r="E187" s="78" t="s">
        <v>22</v>
      </c>
      <c r="F187" s="79">
        <v>354841662837565</v>
      </c>
      <c r="G187" s="78"/>
      <c r="H187" s="80">
        <v>45824</v>
      </c>
      <c r="I187" s="81">
        <v>600</v>
      </c>
      <c r="J187" s="81"/>
      <c r="K187" s="80">
        <v>45838</v>
      </c>
      <c r="L187" s="82">
        <f>Таблица3[[#This Row],[OLINGAN NARXI $]]+Таблица3[[#This Row],[RASXOD]]</f>
        <v>0</v>
      </c>
      <c r="M187" s="81">
        <v>700</v>
      </c>
      <c r="N187" s="81">
        <v>100</v>
      </c>
      <c r="O187" s="77">
        <v>935131696</v>
      </c>
    </row>
    <row r="188" spans="1:15" s="134" customFormat="1" x14ac:dyDescent="0.3">
      <c r="A188" s="116">
        <v>187</v>
      </c>
      <c r="B188" s="127" t="s">
        <v>16</v>
      </c>
      <c r="C188" s="128" t="s">
        <v>25</v>
      </c>
      <c r="D188" s="127" t="s">
        <v>26</v>
      </c>
      <c r="E188" s="129" t="s">
        <v>22</v>
      </c>
      <c r="F188" s="130">
        <v>358560152818358</v>
      </c>
      <c r="G188" s="129"/>
      <c r="H188" s="131">
        <v>45837</v>
      </c>
      <c r="I188" s="132">
        <v>810</v>
      </c>
      <c r="J188" s="132"/>
      <c r="K188" s="131">
        <v>45838</v>
      </c>
      <c r="L188" s="133">
        <f>Таблица375891011[[#This Row],[OLINGAN NARXI $]]+Таблица375891011[[#This Row],[RASXOD]]</f>
        <v>810</v>
      </c>
      <c r="M188" s="132">
        <v>876</v>
      </c>
      <c r="N188" s="132">
        <v>33</v>
      </c>
      <c r="O188" s="128"/>
    </row>
    <row r="189" spans="1:15" x14ac:dyDescent="0.3">
      <c r="A189" s="116">
        <v>188</v>
      </c>
      <c r="B189" s="23"/>
      <c r="C189" s="6"/>
      <c r="D189" s="1"/>
      <c r="E189" s="1"/>
      <c r="F189" s="3"/>
      <c r="G189" s="1"/>
      <c r="H189" s="5"/>
      <c r="I189" s="4"/>
      <c r="J189" s="4"/>
      <c r="K189" s="5"/>
      <c r="L189" s="58">
        <f>Таблица375891011[[#This Row],[OLINGAN NARXI $]]+Таблица375891011[[#This Row],[RASXOD]]</f>
        <v>0</v>
      </c>
      <c r="M189" s="4"/>
      <c r="N189" s="4">
        <f>Таблица375891011[[#This Row],[SOTILGAN NARXI]]-Таблица375891011[[#This Row],[OLINGAN NARXI $]]-Таблица375891011[[#This Row],[RASXOD]]</f>
        <v>0</v>
      </c>
      <c r="O189" s="6"/>
    </row>
    <row r="190" spans="1:15" x14ac:dyDescent="0.3">
      <c r="A190" s="116">
        <v>189</v>
      </c>
      <c r="B190" s="23"/>
      <c r="C190" s="6"/>
      <c r="D190" s="1"/>
      <c r="E190" s="1"/>
      <c r="F190" s="3"/>
      <c r="G190" s="1"/>
      <c r="H190" s="5"/>
      <c r="I190" s="4"/>
      <c r="J190" s="4"/>
      <c r="K190" s="5"/>
      <c r="L190" s="58">
        <f>Таблица375891011[[#This Row],[OLINGAN NARXI $]]+Таблица375891011[[#This Row],[RASXOD]]</f>
        <v>0</v>
      </c>
      <c r="M190" s="4"/>
      <c r="N190" s="4">
        <f>Таблица375891011[[#This Row],[SOTILGAN NARXI]]-Таблица375891011[[#This Row],[OLINGAN NARXI $]]-Таблица375891011[[#This Row],[RASXOD]]</f>
        <v>0</v>
      </c>
      <c r="O190" s="6"/>
    </row>
    <row r="191" spans="1:15" x14ac:dyDescent="0.3">
      <c r="A191" s="116">
        <v>190</v>
      </c>
      <c r="B191" s="23"/>
      <c r="C191" s="6"/>
      <c r="D191" s="1"/>
      <c r="E191" s="1"/>
      <c r="F191" s="3"/>
      <c r="G191" s="1"/>
      <c r="H191" s="5"/>
      <c r="I191" s="4"/>
      <c r="J191" s="4"/>
      <c r="K191" s="5"/>
      <c r="L191" s="58">
        <f>Таблица375891011[[#This Row],[OLINGAN NARXI $]]+Таблица375891011[[#This Row],[RASXOD]]</f>
        <v>0</v>
      </c>
      <c r="M191" s="4"/>
      <c r="N191" s="4">
        <f>Таблица375891011[[#This Row],[SOTILGAN NARXI]]-Таблица375891011[[#This Row],[OLINGAN NARXI $]]-Таблица375891011[[#This Row],[RASXOD]]</f>
        <v>0</v>
      </c>
      <c r="O191" s="6"/>
    </row>
    <row r="192" spans="1:15" x14ac:dyDescent="0.3">
      <c r="A192" s="116">
        <v>191</v>
      </c>
      <c r="B192" s="23"/>
      <c r="C192" s="6"/>
      <c r="D192" s="1"/>
      <c r="E192" s="1"/>
      <c r="F192" s="3"/>
      <c r="G192" s="1"/>
      <c r="H192" s="5"/>
      <c r="I192" s="4"/>
      <c r="J192" s="4"/>
      <c r="K192" s="5"/>
      <c r="L192" s="58">
        <f>Таблица375891011[[#This Row],[OLINGAN NARXI $]]+Таблица375891011[[#This Row],[RASXOD]]</f>
        <v>0</v>
      </c>
      <c r="M192" s="4"/>
      <c r="N192" s="4">
        <f>Таблица375891011[[#This Row],[SOTILGAN NARXI]]-Таблица375891011[[#This Row],[OLINGAN NARXI $]]-Таблица375891011[[#This Row],[RASXOD]]</f>
        <v>0</v>
      </c>
      <c r="O192" s="6"/>
    </row>
    <row r="193" spans="1:15" x14ac:dyDescent="0.3">
      <c r="A193" s="116">
        <v>192</v>
      </c>
      <c r="B193" s="23"/>
      <c r="C193" s="6"/>
      <c r="D193" s="1"/>
      <c r="E193" s="1"/>
      <c r="F193" s="3"/>
      <c r="G193" s="1"/>
      <c r="H193" s="5"/>
      <c r="I193" s="4"/>
      <c r="J193" s="4"/>
      <c r="K193" s="5"/>
      <c r="L193" s="58">
        <f>Таблица375891011[[#This Row],[OLINGAN NARXI $]]+Таблица375891011[[#This Row],[RASXOD]]</f>
        <v>0</v>
      </c>
      <c r="M193" s="4"/>
      <c r="N193" s="4">
        <f>Таблица375891011[[#This Row],[SOTILGAN NARXI]]-Таблица375891011[[#This Row],[OLINGAN NARXI $]]-Таблица375891011[[#This Row],[RASXOD]]</f>
        <v>0</v>
      </c>
      <c r="O193" s="6"/>
    </row>
    <row r="194" spans="1:15" x14ac:dyDescent="0.3">
      <c r="A194" s="116">
        <v>193</v>
      </c>
      <c r="B194" s="23"/>
      <c r="C194" s="22"/>
      <c r="D194" s="1"/>
      <c r="E194" s="1"/>
      <c r="F194" s="3"/>
      <c r="G194" s="1"/>
      <c r="H194" s="5"/>
      <c r="I194" s="4"/>
      <c r="J194" s="4"/>
      <c r="K194" s="5"/>
      <c r="L194" s="58">
        <f>Таблица375891011[[#This Row],[OLINGAN NARXI $]]+Таблица375891011[[#This Row],[RASXOD]]</f>
        <v>0</v>
      </c>
      <c r="M194" s="4"/>
      <c r="N194" s="4">
        <f>Таблица375891011[[#This Row],[SOTILGAN NARXI]]-Таблица375891011[[#This Row],[OLINGAN NARXI $]]-Таблица375891011[[#This Row],[RASXOD]]</f>
        <v>0</v>
      </c>
      <c r="O194" s="6"/>
    </row>
    <row r="195" spans="1:15" x14ac:dyDescent="0.3">
      <c r="A195" s="116">
        <v>194</v>
      </c>
      <c r="B195" s="23"/>
      <c r="C195" s="22"/>
      <c r="D195" s="1"/>
      <c r="E195" s="1"/>
      <c r="F195" s="3"/>
      <c r="G195" s="1"/>
      <c r="H195" s="5"/>
      <c r="I195" s="4"/>
      <c r="J195" s="4"/>
      <c r="K195" s="5"/>
      <c r="L195" s="58">
        <f>Таблица375891011[[#This Row],[OLINGAN NARXI $]]+Таблица375891011[[#This Row],[RASXOD]]</f>
        <v>0</v>
      </c>
      <c r="M195" s="4"/>
      <c r="N195" s="4">
        <f>Таблица375891011[[#This Row],[SOTILGAN NARXI]]-Таблица375891011[[#This Row],[OLINGAN NARXI $]]-Таблица375891011[[#This Row],[RASXOD]]</f>
        <v>0</v>
      </c>
      <c r="O195" s="6"/>
    </row>
    <row r="196" spans="1:15" x14ac:dyDescent="0.3">
      <c r="A196" s="116">
        <v>195</v>
      </c>
      <c r="B196" s="23"/>
      <c r="C196" s="22"/>
      <c r="D196" s="1"/>
      <c r="E196" s="1"/>
      <c r="F196" s="3"/>
      <c r="G196" s="1"/>
      <c r="H196" s="5"/>
      <c r="I196" s="4"/>
      <c r="J196" s="4"/>
      <c r="K196" s="5"/>
      <c r="L196" s="58">
        <f>Таблица375891011[[#This Row],[OLINGAN NARXI $]]+Таблица375891011[[#This Row],[RASXOD]]</f>
        <v>0</v>
      </c>
      <c r="M196" s="4"/>
      <c r="N196" s="4">
        <f>Таблица375891011[[#This Row],[SOTILGAN NARXI]]-Таблица375891011[[#This Row],[OLINGAN NARXI $]]-Таблица375891011[[#This Row],[RASXOD]]</f>
        <v>0</v>
      </c>
      <c r="O196" s="6"/>
    </row>
    <row r="197" spans="1:15" x14ac:dyDescent="0.3">
      <c r="A197" s="116">
        <v>196</v>
      </c>
      <c r="B197" s="23"/>
      <c r="C197" s="6"/>
      <c r="D197" s="1"/>
      <c r="E197" s="1"/>
      <c r="F197" s="3"/>
      <c r="G197" s="1"/>
      <c r="H197" s="43"/>
      <c r="I197" s="1"/>
      <c r="J197" s="4"/>
      <c r="K197" s="5"/>
      <c r="L197" s="58">
        <f>Таблица375891011[[#This Row],[OLINGAN NARXI $]]+Таблица375891011[[#This Row],[RASXOD]]</f>
        <v>0</v>
      </c>
      <c r="M197" s="1"/>
      <c r="N197" s="4">
        <f>Таблица375891011[[#This Row],[SOTILGAN NARXI]]-Таблица375891011[[#This Row],[OLINGAN NARXI $]]-Таблица375891011[[#This Row],[RASXOD]]</f>
        <v>0</v>
      </c>
      <c r="O197" s="6"/>
    </row>
    <row r="198" spans="1:15" x14ac:dyDescent="0.3">
      <c r="A198" s="116"/>
      <c r="B198" s="23"/>
      <c r="C198" s="91" t="s">
        <v>1130</v>
      </c>
      <c r="D198" s="24" t="s">
        <v>1131</v>
      </c>
      <c r="E198" s="1"/>
      <c r="F198" s="34" t="s">
        <v>237</v>
      </c>
      <c r="G198" s="35" t="s">
        <v>238</v>
      </c>
      <c r="H198" s="43"/>
      <c r="I198" s="1"/>
      <c r="J198" s="4"/>
      <c r="K198" s="28"/>
      <c r="L198" s="58">
        <f>Таблица375891011[[#This Row],[OLINGAN NARXI $]]+Таблица375891011[[#This Row],[RASXOD]]</f>
        <v>0</v>
      </c>
      <c r="M198" s="1"/>
      <c r="N198" s="4">
        <f>Таблица375891011[[#This Row],[SOTILGAN NARXI]]-Таблица375891011[[#This Row],[OLINGAN NARXI $]]-Таблица375891011[[#This Row],[RASXOD]]</f>
        <v>0</v>
      </c>
      <c r="O198" s="6"/>
    </row>
    <row r="199" spans="1:15" x14ac:dyDescent="0.3">
      <c r="A199" s="113"/>
      <c r="B199" s="23"/>
      <c r="C199" s="89" t="s">
        <v>226</v>
      </c>
      <c r="D199" s="90">
        <v>33</v>
      </c>
      <c r="E199" s="1"/>
      <c r="F199" s="17" t="s">
        <v>1128</v>
      </c>
      <c r="G199" s="18">
        <v>1296</v>
      </c>
      <c r="H199" s="2"/>
      <c r="I199" s="1"/>
      <c r="J199" s="4"/>
      <c r="K199" s="28"/>
      <c r="L199" s="58">
        <f>Таблица375891011[[#This Row],[OLINGAN NARXI $]]+Таблица375891011[[#This Row],[RASXOD]]</f>
        <v>0</v>
      </c>
      <c r="M199" s="1"/>
      <c r="N199" s="4">
        <f>Таблица375891011[[#This Row],[SOTILGAN NARXI]]-Таблица375891011[[#This Row],[OLINGAN NARXI $]]-Таблица375891011[[#This Row],[RASXOD]]</f>
        <v>0</v>
      </c>
      <c r="O199" s="6"/>
    </row>
    <row r="200" spans="1:15" x14ac:dyDescent="0.3">
      <c r="A200" s="113"/>
      <c r="B200" s="23"/>
      <c r="C200" s="86" t="s">
        <v>1132</v>
      </c>
      <c r="D200" s="87">
        <v>31</v>
      </c>
      <c r="E200" s="1"/>
      <c r="F200" s="17" t="s">
        <v>1129</v>
      </c>
      <c r="G200" s="18">
        <v>2207</v>
      </c>
      <c r="H200" s="2"/>
      <c r="I200" s="1"/>
      <c r="J200" s="4"/>
      <c r="K200" s="5"/>
      <c r="L200" s="58">
        <f>Таблица375891011[[#This Row],[OLINGAN NARXI $]]+Таблица375891011[[#This Row],[RASXOD]]</f>
        <v>0</v>
      </c>
      <c r="M200" s="1"/>
      <c r="N200" s="4">
        <f>Таблица375891011[[#This Row],[SOTILGAN NARXI]]-Таблица375891011[[#This Row],[OLINGAN NARXI $]]-Таблица375891011[[#This Row],[RASXOD]]</f>
        <v>0</v>
      </c>
      <c r="O200" s="6"/>
    </row>
    <row r="201" spans="1:15" x14ac:dyDescent="0.3">
      <c r="A201" s="113"/>
      <c r="B201" s="23"/>
      <c r="C201" s="17" t="s">
        <v>905</v>
      </c>
      <c r="D201" s="18">
        <v>26</v>
      </c>
      <c r="E201" s="1"/>
      <c r="F201" s="33" t="s">
        <v>1134</v>
      </c>
      <c r="G201" s="18">
        <v>232</v>
      </c>
      <c r="H201" s="2"/>
      <c r="I201" s="1"/>
      <c r="J201" s="4"/>
      <c r="K201" s="5"/>
      <c r="L201" s="58">
        <f>Таблица375891011[[#This Row],[OLINGAN NARXI $]]+Таблица375891011[[#This Row],[RASXOD]]</f>
        <v>0</v>
      </c>
      <c r="M201" s="1"/>
      <c r="N201" s="4">
        <f>Таблица375891011[[#This Row],[SOTILGAN NARXI]]-Таблица375891011[[#This Row],[OLINGAN NARXI $]]-Таблица375891011[[#This Row],[RASXOD]]</f>
        <v>0</v>
      </c>
      <c r="O201" s="6"/>
    </row>
    <row r="202" spans="1:15" x14ac:dyDescent="0.3">
      <c r="A202" s="113"/>
      <c r="B202" s="23"/>
      <c r="C202" s="135" t="s">
        <v>1133</v>
      </c>
      <c r="D202" s="136">
        <v>84</v>
      </c>
      <c r="E202" s="1"/>
      <c r="F202" s="19" t="s">
        <v>8</v>
      </c>
      <c r="G202" s="21">
        <v>280</v>
      </c>
      <c r="H202" s="2"/>
      <c r="I202" s="1"/>
      <c r="J202" s="4"/>
      <c r="K202" s="5"/>
      <c r="L202" s="58">
        <f>Таблица375891011[[#This Row],[OLINGAN NARXI $]]+Таблица375891011[[#This Row],[RASXOD]]</f>
        <v>0</v>
      </c>
      <c r="M202" s="1"/>
      <c r="N202" s="4">
        <f>Таблица375891011[[#This Row],[SOTILGAN NARXI]]-Таблица375891011[[#This Row],[OLINGAN NARXI $]]-Таблица375891011[[#This Row],[RASXOD]]</f>
        <v>0</v>
      </c>
      <c r="O202" s="6"/>
    </row>
    <row r="203" spans="1:15" x14ac:dyDescent="0.3">
      <c r="A203" s="113"/>
      <c r="B203" s="23"/>
      <c r="C203" s="137" t="s">
        <v>1378</v>
      </c>
      <c r="D203" s="138">
        <v>10</v>
      </c>
      <c r="E203" s="1"/>
      <c r="F203" s="33" t="s">
        <v>1299</v>
      </c>
      <c r="G203" s="18">
        <v>530</v>
      </c>
      <c r="H203" s="2"/>
      <c r="I203" s="1"/>
      <c r="J203" s="4"/>
      <c r="K203" s="5"/>
      <c r="L203" s="58">
        <f>Таблица375891011[[#This Row],[OLINGAN NARXI $]]+Таблица375891011[[#This Row],[RASXOD]]</f>
        <v>0</v>
      </c>
      <c r="M203" s="1"/>
      <c r="N203" s="4">
        <f>Таблица375891011[[#This Row],[SOTILGAN NARXI]]-Таблица375891011[[#This Row],[OLINGAN NARXI $]]-Таблица375891011[[#This Row],[RASXOD]]</f>
        <v>0</v>
      </c>
      <c r="O203" s="6"/>
    </row>
    <row r="204" spans="1:15" x14ac:dyDescent="0.3">
      <c r="A204" s="113"/>
      <c r="B204" s="23"/>
      <c r="C204" s="6"/>
      <c r="D204" s="1"/>
      <c r="E204" s="1"/>
      <c r="F204" s="19" t="s">
        <v>1309</v>
      </c>
      <c r="G204" s="21">
        <v>183</v>
      </c>
      <c r="H204" s="2"/>
      <c r="I204" s="1"/>
      <c r="J204" s="4"/>
      <c r="K204" s="5"/>
      <c r="L204" s="58">
        <f>Таблица375891011[[#This Row],[OLINGAN NARXI $]]+Таблица375891011[[#This Row],[RASXOD]]</f>
        <v>0</v>
      </c>
      <c r="M204" s="1"/>
      <c r="N204" s="4">
        <f>Таблица375891011[[#This Row],[SOTILGAN NARXI]]-Таблица375891011[[#This Row],[OLINGAN NARXI $]]-Таблица375891011[[#This Row],[RASXOD]]</f>
        <v>0</v>
      </c>
      <c r="O204" s="6"/>
    </row>
    <row r="205" spans="1:15" x14ac:dyDescent="0.3">
      <c r="A205" s="113"/>
      <c r="B205" s="23"/>
      <c r="C205" s="6"/>
      <c r="D205" s="1"/>
      <c r="E205" s="1"/>
      <c r="F205" s="33" t="s">
        <v>1325</v>
      </c>
      <c r="G205" s="21">
        <v>600</v>
      </c>
      <c r="H205" s="2"/>
      <c r="I205" s="1"/>
      <c r="J205" s="4"/>
      <c r="K205" s="5"/>
      <c r="L205" s="58">
        <f>Таблица375891011[[#This Row],[OLINGAN NARXI $]]+Таблица375891011[[#This Row],[RASXOD]]</f>
        <v>0</v>
      </c>
      <c r="M205" s="1"/>
      <c r="N205" s="4">
        <f>Таблица375891011[[#This Row],[SOTILGAN NARXI]]-Таблица375891011[[#This Row],[OLINGAN NARXI $]]-Таблица375891011[[#This Row],[RASXOD]]</f>
        <v>0</v>
      </c>
      <c r="O205" s="6"/>
    </row>
    <row r="206" spans="1:15" x14ac:dyDescent="0.3">
      <c r="A206" s="113"/>
      <c r="B206" s="23"/>
      <c r="C206" s="6"/>
      <c r="D206" s="1"/>
      <c r="E206" s="1"/>
      <c r="F206" s="33" t="s">
        <v>1346</v>
      </c>
      <c r="G206" s="21">
        <v>31</v>
      </c>
      <c r="H206" s="2"/>
      <c r="I206" s="1"/>
      <c r="J206" s="4"/>
      <c r="K206" s="5"/>
      <c r="L206" s="58">
        <f>Таблица375891011[[#This Row],[OLINGAN NARXI $]]+Таблица375891011[[#This Row],[RASXOD]]</f>
        <v>0</v>
      </c>
      <c r="M206" s="1"/>
      <c r="N206" s="4">
        <f>Таблица375891011[[#This Row],[SOTILGAN NARXI]]-Таблица375891011[[#This Row],[OLINGAN NARXI $]]-Таблица375891011[[#This Row],[RASXOD]]</f>
        <v>0</v>
      </c>
      <c r="O206" s="6"/>
    </row>
    <row r="207" spans="1:15" x14ac:dyDescent="0.3">
      <c r="A207" s="113"/>
      <c r="B207" s="23"/>
      <c r="C207" s="6"/>
      <c r="D207" s="1"/>
      <c r="E207" s="1"/>
      <c r="F207" s="33" t="s">
        <v>1363</v>
      </c>
      <c r="G207" s="21">
        <v>5</v>
      </c>
      <c r="H207" s="2"/>
      <c r="I207" s="1"/>
      <c r="J207" s="4"/>
      <c r="K207" s="5"/>
      <c r="L207" s="58">
        <f>Таблица375891011[[#This Row],[OLINGAN NARXI $]]+Таблица375891011[[#This Row],[RASXOD]]</f>
        <v>0</v>
      </c>
      <c r="M207" s="1"/>
      <c r="N207" s="4">
        <f>Таблица375891011[[#This Row],[SOTILGAN NARXI]]-Таблица375891011[[#This Row],[OLINGAN NARXI $]]-Таблица375891011[[#This Row],[RASXOD]]</f>
        <v>0</v>
      </c>
      <c r="O207" s="6"/>
    </row>
    <row r="208" spans="1:15" x14ac:dyDescent="0.3">
      <c r="A208" s="113"/>
      <c r="B208" s="23"/>
      <c r="C208" s="6"/>
      <c r="D208" s="1"/>
      <c r="E208" s="1"/>
      <c r="F208" s="33" t="s">
        <v>1364</v>
      </c>
      <c r="G208" s="21">
        <v>50</v>
      </c>
      <c r="H208" s="2"/>
      <c r="I208" s="1"/>
      <c r="J208" s="4"/>
      <c r="K208" s="5"/>
      <c r="L208" s="58">
        <f>Таблица375891011[[#This Row],[OLINGAN NARXI $]]+Таблица375891011[[#This Row],[RASXOD]]</f>
        <v>0</v>
      </c>
      <c r="M208" s="1"/>
      <c r="N208" s="4">
        <f>Таблица375891011[[#This Row],[SOTILGAN NARXI]]-Таблица375891011[[#This Row],[OLINGAN NARXI $]]-Таблица375891011[[#This Row],[RASXOD]]</f>
        <v>0</v>
      </c>
      <c r="O208" s="6"/>
    </row>
    <row r="209" spans="1:15" x14ac:dyDescent="0.3">
      <c r="A209" s="113"/>
      <c r="B209" s="23"/>
      <c r="C209" s="6"/>
      <c r="D209" s="1"/>
      <c r="E209" s="1"/>
      <c r="F209" s="33" t="s">
        <v>1385</v>
      </c>
      <c r="G209" s="21">
        <v>25</v>
      </c>
      <c r="H209" s="2"/>
      <c r="I209" s="1"/>
      <c r="J209" s="4"/>
      <c r="K209" s="5"/>
      <c r="L209" s="58">
        <f>Таблица375891011[[#This Row],[OLINGAN NARXI $]]+Таблица375891011[[#This Row],[RASXOD]]</f>
        <v>0</v>
      </c>
      <c r="M209" s="1"/>
      <c r="N209" s="4">
        <f>Таблица375891011[[#This Row],[SOTILGAN NARXI]]-Таблица375891011[[#This Row],[OLINGAN NARXI $]]-Таблица375891011[[#This Row],[RASXOD]]</f>
        <v>0</v>
      </c>
      <c r="O209" s="6"/>
    </row>
    <row r="210" spans="1:15" x14ac:dyDescent="0.3">
      <c r="A210" s="113"/>
      <c r="B210" s="23"/>
      <c r="C210" s="6"/>
      <c r="D210" s="1"/>
      <c r="E210" s="1"/>
      <c r="F210" s="19" t="s">
        <v>1394</v>
      </c>
      <c r="G210" s="21">
        <v>69</v>
      </c>
      <c r="H210" s="2"/>
      <c r="I210" s="1"/>
      <c r="J210" s="4"/>
      <c r="K210" s="5"/>
      <c r="L210" s="58">
        <f>Таблица375891011[[#This Row],[OLINGAN NARXI $]]+Таблица375891011[[#This Row],[RASXOD]]</f>
        <v>0</v>
      </c>
      <c r="M210" s="1"/>
      <c r="N210" s="4">
        <f>Таблица375891011[[#This Row],[SOTILGAN NARXI]]-Таблица375891011[[#This Row],[OLINGAN NARXI $]]-Таблица375891011[[#This Row],[RASXOD]]</f>
        <v>0</v>
      </c>
      <c r="O210" s="6"/>
    </row>
    <row r="211" spans="1:15" x14ac:dyDescent="0.3">
      <c r="A211" s="113"/>
      <c r="B211" s="23"/>
      <c r="C211" s="6"/>
      <c r="D211" s="1"/>
      <c r="E211" s="1"/>
      <c r="F211" s="33" t="s">
        <v>1408</v>
      </c>
      <c r="G211" s="21">
        <v>300</v>
      </c>
      <c r="H211" s="2"/>
      <c r="I211" s="1"/>
      <c r="J211" s="4"/>
      <c r="K211" s="28"/>
      <c r="L211" s="58">
        <f>Таблица375891011[[#This Row],[OLINGAN NARXI $]]+Таблица375891011[[#This Row],[RASXOD]]</f>
        <v>0</v>
      </c>
      <c r="M211" s="1"/>
      <c r="N211" s="4">
        <f>Таблица375891011[[#This Row],[SOTILGAN NARXI]]-Таблица375891011[[#This Row],[OLINGAN NARXI $]]-Таблица375891011[[#This Row],[RASXOD]]</f>
        <v>0</v>
      </c>
      <c r="O211" s="6"/>
    </row>
    <row r="212" spans="1:15" x14ac:dyDescent="0.3">
      <c r="A212" s="113"/>
      <c r="B212" s="23"/>
      <c r="C212" s="6"/>
      <c r="D212" s="1"/>
      <c r="E212" s="1"/>
      <c r="F212" s="19" t="s">
        <v>1407</v>
      </c>
      <c r="G212" s="21">
        <v>700</v>
      </c>
      <c r="H212" s="2"/>
      <c r="I212" s="1"/>
      <c r="J212" s="4"/>
      <c r="K212" s="28"/>
      <c r="L212" s="58">
        <f>Таблица375891011[[#This Row],[OLINGAN NARXI $]]+Таблица375891011[[#This Row],[RASXOD]]</f>
        <v>0</v>
      </c>
      <c r="M212" s="1"/>
      <c r="N212" s="4">
        <f>Таблица375891011[[#This Row],[SOTILGAN NARXI]]-Таблица375891011[[#This Row],[OLINGAN NARXI $]]-Таблица375891011[[#This Row],[RASXOD]]</f>
        <v>0</v>
      </c>
      <c r="O212" s="6"/>
    </row>
    <row r="213" spans="1:15" x14ac:dyDescent="0.3">
      <c r="A213" s="113"/>
      <c r="B213" s="23"/>
      <c r="C213" s="6"/>
      <c r="D213" s="1"/>
      <c r="E213" s="1"/>
      <c r="F213" s="19"/>
      <c r="G213" s="21"/>
      <c r="H213" s="2"/>
      <c r="I213" s="1"/>
      <c r="J213" s="4"/>
      <c r="K213" s="28"/>
      <c r="L213" s="58">
        <f>Таблица375891011[[#This Row],[OLINGAN NARXI $]]+Таблица375891011[[#This Row],[RASXOD]]</f>
        <v>0</v>
      </c>
      <c r="M213" s="1"/>
      <c r="N213" s="4">
        <f>Таблица375891011[[#This Row],[SOTILGAN NARXI]]-Таблица375891011[[#This Row],[OLINGAN NARXI $]]-Таблица375891011[[#This Row],[RASXOD]]</f>
        <v>0</v>
      </c>
      <c r="O213" s="6"/>
    </row>
    <row r="214" spans="1:15" x14ac:dyDescent="0.3">
      <c r="A214" s="113"/>
      <c r="B214" s="23"/>
      <c r="C214" s="6"/>
      <c r="D214" s="1"/>
      <c r="E214" s="1"/>
      <c r="F214" s="33"/>
      <c r="G214" s="21"/>
      <c r="H214" s="2"/>
      <c r="I214" s="1"/>
      <c r="J214" s="4"/>
      <c r="K214" s="28"/>
      <c r="L214" s="58">
        <f>Таблица375891011[[#This Row],[OLINGAN NARXI $]]+Таблица375891011[[#This Row],[RASXOD]]</f>
        <v>0</v>
      </c>
      <c r="M214" s="1"/>
      <c r="N214" s="4">
        <f>Таблица375891011[[#This Row],[SOTILGAN NARXI]]-Таблица375891011[[#This Row],[OLINGAN NARXI $]]-Таблица375891011[[#This Row],[RASXOD]]</f>
        <v>0</v>
      </c>
      <c r="O214" s="6"/>
    </row>
    <row r="215" spans="1:15" x14ac:dyDescent="0.3">
      <c r="A215" s="113"/>
      <c r="B215" s="23"/>
      <c r="C215" s="6"/>
      <c r="D215" s="1"/>
      <c r="E215" s="1"/>
      <c r="F215" s="44" t="s">
        <v>981</v>
      </c>
      <c r="G215" s="45">
        <f>SUM(G199:G214)</f>
        <v>6508</v>
      </c>
      <c r="H215" s="2"/>
      <c r="I215" s="1"/>
      <c r="J215" s="4"/>
      <c r="K215" s="28"/>
      <c r="L215" s="58">
        <f>Таблица375891011[[#This Row],[OLINGAN NARXI $]]+Таблица375891011[[#This Row],[RASXOD]]</f>
        <v>0</v>
      </c>
      <c r="M215" s="1"/>
      <c r="N215" s="4">
        <f>Таблица375891011[[#This Row],[SOTILGAN NARXI]]-Таблица375891011[[#This Row],[OLINGAN NARXI $]]-Таблица375891011[[#This Row],[RASXOD]]</f>
        <v>0</v>
      </c>
      <c r="O215" s="6"/>
    </row>
    <row r="216" spans="1:15" x14ac:dyDescent="0.3">
      <c r="A216" s="113"/>
      <c r="B216" s="111"/>
      <c r="C216" s="12"/>
      <c r="D216" s="11"/>
      <c r="E216" s="46"/>
      <c r="F216" s="47"/>
      <c r="G216" s="48"/>
      <c r="H216" s="49"/>
      <c r="I216" s="14"/>
      <c r="J216" s="14">
        <f>SUBTOTAL(109,J2:J198)</f>
        <v>930.3</v>
      </c>
      <c r="K216" s="13"/>
      <c r="L216" s="59">
        <f>SUM(L2:L215)</f>
        <v>67369.899999999994</v>
      </c>
      <c r="M216" s="14">
        <f>SUM(M2:M215)</f>
        <v>87323</v>
      </c>
      <c r="N216" s="14">
        <f>SUBTOTAL(109,N2:N215)</f>
        <v>9430.7000000000007</v>
      </c>
      <c r="O216" s="12"/>
    </row>
    <row r="217" spans="1:15" x14ac:dyDescent="0.3">
      <c r="B217" s="23"/>
      <c r="C217" s="6"/>
      <c r="D217" s="1"/>
      <c r="E217" s="1"/>
      <c r="F217" s="23"/>
      <c r="G217" s="4"/>
      <c r="H217" s="5"/>
      <c r="I217" s="4"/>
      <c r="J217" s="4"/>
      <c r="K217" s="5"/>
      <c r="L217" s="58"/>
      <c r="M217" s="4"/>
      <c r="N217" s="4">
        <f>Таблица375891011[[#This Row],[SOTILGAN NARXI]]-Таблица375891011[[#This Row],[OLINGAN NARXI $]]-Таблица375891011[[#This Row],[RASXOD]]</f>
        <v>0</v>
      </c>
      <c r="O217" s="6"/>
    </row>
    <row r="218" spans="1:15" x14ac:dyDescent="0.3">
      <c r="B218" s="23"/>
      <c r="C218" s="6"/>
      <c r="D218" s="1"/>
      <c r="E218" s="1"/>
      <c r="F218" s="23"/>
      <c r="G218" s="4"/>
      <c r="H218" s="5"/>
      <c r="I218" s="4"/>
      <c r="J218" s="4"/>
      <c r="K218" s="5"/>
      <c r="L218" s="58"/>
      <c r="M218" s="4"/>
      <c r="N218" s="4">
        <f>Таблица375891011[[#This Row],[SOTILGAN NARXI]]-Таблица375891011[[#This Row],[OLINGAN NARXI $]]-Таблица375891011[[#This Row],[RASXOD]]</f>
        <v>0</v>
      </c>
      <c r="O218" s="6"/>
    </row>
    <row r="219" spans="1:15" x14ac:dyDescent="0.3">
      <c r="B219" s="23"/>
      <c r="C219" s="6"/>
      <c r="D219" s="1"/>
      <c r="E219" s="1"/>
      <c r="F219" s="23"/>
      <c r="G219" s="4"/>
      <c r="H219" s="5"/>
      <c r="I219" s="4"/>
      <c r="J219" s="4"/>
      <c r="K219" s="5"/>
      <c r="L219" s="58"/>
      <c r="M219" s="4"/>
      <c r="N219" s="4">
        <f>Таблица375891011[[#This Row],[SOTILGAN NARXI]]-Таблица375891011[[#This Row],[OLINGAN NARXI $]]-Таблица375891011[[#This Row],[RASXOD]]</f>
        <v>0</v>
      </c>
      <c r="O219" s="6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F1DB-087B-449C-AFCE-54E0E41206DD}">
  <sheetPr codeName="Лист7"/>
  <dimension ref="A1:O233"/>
  <sheetViews>
    <sheetView topLeftCell="A207" zoomScale="70" zoomScaleNormal="70" workbookViewId="0">
      <selection activeCell="O104" sqref="O104"/>
    </sheetView>
  </sheetViews>
  <sheetFormatPr defaultRowHeight="14.4" x14ac:dyDescent="0.3"/>
  <cols>
    <col min="1" max="1" width="4.44140625" style="114" bestFit="1" customWidth="1"/>
    <col min="2" max="2" width="11.5546875" bestFit="1" customWidth="1"/>
    <col min="3" max="3" width="15.6640625" customWidth="1"/>
    <col min="4" max="4" width="18.88671875" bestFit="1" customWidth="1"/>
    <col min="5" max="5" width="14.109375" bestFit="1" customWidth="1"/>
    <col min="6" max="6" width="28.88671875" customWidth="1"/>
    <col min="7" max="7" width="21.5546875" customWidth="1"/>
    <col min="8" max="8" width="15.88671875" customWidth="1"/>
    <col min="9" max="9" width="14" customWidth="1"/>
    <col min="10" max="10" width="11.88671875" customWidth="1"/>
    <col min="11" max="11" width="16.88671875" customWidth="1"/>
    <col min="12" max="12" width="13.88671875" customWidth="1"/>
    <col min="13" max="13" width="15.88671875" customWidth="1"/>
    <col min="14" max="14" width="13.88671875" bestFit="1" customWidth="1"/>
    <col min="15" max="15" width="50.109375" bestFit="1" customWidth="1"/>
  </cols>
  <sheetData>
    <row r="1" spans="1:15" ht="13.5" customHeight="1" x14ac:dyDescent="0.3">
      <c r="A1" s="112"/>
      <c r="B1" s="1" t="s">
        <v>0</v>
      </c>
      <c r="C1" s="6" t="s">
        <v>2</v>
      </c>
      <c r="D1" s="1" t="s">
        <v>1</v>
      </c>
      <c r="E1" s="1" t="s">
        <v>3</v>
      </c>
      <c r="F1" s="3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2" t="s">
        <v>10</v>
      </c>
      <c r="L1" s="2" t="s">
        <v>980</v>
      </c>
      <c r="M1" s="1" t="s">
        <v>9</v>
      </c>
      <c r="N1" s="1" t="s">
        <v>11</v>
      </c>
      <c r="O1" s="1" t="s">
        <v>12</v>
      </c>
    </row>
    <row r="2" spans="1:15" s="105" customFormat="1" x14ac:dyDescent="0.3">
      <c r="A2" s="112">
        <v>1</v>
      </c>
      <c r="B2" s="100" t="s">
        <v>16</v>
      </c>
      <c r="C2" s="101" t="s">
        <v>106</v>
      </c>
      <c r="D2" s="102" t="s">
        <v>35</v>
      </c>
      <c r="E2" s="102" t="s">
        <v>22</v>
      </c>
      <c r="F2" s="10">
        <v>356870114397736</v>
      </c>
      <c r="G2" s="102"/>
      <c r="H2" s="103">
        <v>45777</v>
      </c>
      <c r="I2" s="26">
        <v>150</v>
      </c>
      <c r="J2" s="26"/>
      <c r="K2" s="103">
        <v>45778</v>
      </c>
      <c r="L2" s="104">
        <f>Таблица3[[#This Row],[OLINGAN NARXI $]]+Таблица3[[#This Row],[RASXOD]]</f>
        <v>28</v>
      </c>
      <c r="M2" s="26">
        <v>150</v>
      </c>
      <c r="N2" s="26">
        <v>0</v>
      </c>
      <c r="O2" s="101" t="s">
        <v>1124</v>
      </c>
    </row>
    <row r="3" spans="1:15" s="83" customFormat="1" x14ac:dyDescent="0.3">
      <c r="A3" s="112">
        <v>2</v>
      </c>
      <c r="B3" s="76" t="s">
        <v>16</v>
      </c>
      <c r="C3" s="77" t="s">
        <v>552</v>
      </c>
      <c r="D3" s="78" t="s">
        <v>97</v>
      </c>
      <c r="E3" s="78" t="s">
        <v>15</v>
      </c>
      <c r="F3" s="79">
        <v>352832110597374</v>
      </c>
      <c r="G3" s="78"/>
      <c r="H3" s="80">
        <v>45747</v>
      </c>
      <c r="I3" s="81">
        <v>170</v>
      </c>
      <c r="J3" s="81"/>
      <c r="K3" s="80">
        <v>45778</v>
      </c>
      <c r="L3" s="82">
        <f>Таблица3[[#This Row],[OLINGAN NARXI $]]+Таблица3[[#This Row],[RASXOD]]</f>
        <v>349</v>
      </c>
      <c r="M3" s="81">
        <v>210</v>
      </c>
      <c r="N3" s="82">
        <v>40</v>
      </c>
      <c r="O3" s="77" t="s">
        <v>962</v>
      </c>
    </row>
    <row r="4" spans="1:15" s="56" customFormat="1" ht="14.25" customHeight="1" x14ac:dyDescent="0.3">
      <c r="A4" s="112">
        <v>3</v>
      </c>
      <c r="B4" s="50" t="s">
        <v>16</v>
      </c>
      <c r="C4" s="51" t="s">
        <v>148</v>
      </c>
      <c r="D4" s="52" t="s">
        <v>18</v>
      </c>
      <c r="E4" s="52" t="s">
        <v>15</v>
      </c>
      <c r="F4" s="53">
        <v>351880154413728</v>
      </c>
      <c r="G4" s="52"/>
      <c r="H4" s="54">
        <v>45765</v>
      </c>
      <c r="I4" s="55">
        <v>285</v>
      </c>
      <c r="J4" s="55"/>
      <c r="K4" s="54">
        <v>45778</v>
      </c>
      <c r="L4" s="72">
        <f>Таблица3[[#This Row],[OLINGAN NARXI $]]+Таблица3[[#This Row],[RASXOD]]</f>
        <v>0</v>
      </c>
      <c r="M4" s="55">
        <v>340</v>
      </c>
      <c r="N4" s="55">
        <v>55</v>
      </c>
      <c r="O4" s="51" t="s">
        <v>1059</v>
      </c>
    </row>
    <row r="5" spans="1:15" s="83" customFormat="1" x14ac:dyDescent="0.3">
      <c r="A5" s="112">
        <v>4</v>
      </c>
      <c r="B5" s="76" t="s">
        <v>16</v>
      </c>
      <c r="C5" s="77" t="s">
        <v>1000</v>
      </c>
      <c r="D5" s="78" t="s">
        <v>583</v>
      </c>
      <c r="E5" s="78" t="s">
        <v>22</v>
      </c>
      <c r="F5" s="79">
        <v>351889723959475</v>
      </c>
      <c r="G5" s="78"/>
      <c r="H5" s="80">
        <v>45772</v>
      </c>
      <c r="I5" s="81">
        <v>1010</v>
      </c>
      <c r="J5" s="81"/>
      <c r="K5" s="80">
        <v>45778</v>
      </c>
      <c r="L5" s="82">
        <f>Таблица3[[#This Row],[OLINGAN NARXI $]]+Таблица3[[#This Row],[RASXOD]]</f>
        <v>237</v>
      </c>
      <c r="M5" s="81">
        <v>1060</v>
      </c>
      <c r="N5" s="81">
        <v>50</v>
      </c>
      <c r="O5" s="77"/>
    </row>
    <row r="6" spans="1:15" s="83" customFormat="1" x14ac:dyDescent="0.3">
      <c r="A6" s="112">
        <v>5</v>
      </c>
      <c r="B6" s="76" t="s">
        <v>13</v>
      </c>
      <c r="C6" s="77" t="s">
        <v>455</v>
      </c>
      <c r="D6" s="78" t="s">
        <v>21</v>
      </c>
      <c r="E6" s="78" t="s">
        <v>15</v>
      </c>
      <c r="F6" s="79">
        <v>352412373718064</v>
      </c>
      <c r="G6" s="78"/>
      <c r="H6" s="80">
        <v>45776</v>
      </c>
      <c r="I6" s="81">
        <v>295</v>
      </c>
      <c r="J6" s="81"/>
      <c r="K6" s="80">
        <v>45778</v>
      </c>
      <c r="L6" s="82">
        <f>Таблица3[[#This Row],[OLINGAN NARXI $]]+Таблица3[[#This Row],[RASXOD]]</f>
        <v>256</v>
      </c>
      <c r="M6" s="81">
        <v>340</v>
      </c>
      <c r="N6" s="81">
        <v>45</v>
      </c>
      <c r="O6" s="77" t="s">
        <v>147</v>
      </c>
    </row>
    <row r="7" spans="1:15" s="56" customFormat="1" x14ac:dyDescent="0.3">
      <c r="A7" s="112">
        <v>6</v>
      </c>
      <c r="B7" s="50" t="s">
        <v>13</v>
      </c>
      <c r="C7" s="57" t="s">
        <v>117</v>
      </c>
      <c r="D7" s="52" t="s">
        <v>21</v>
      </c>
      <c r="E7" s="52" t="s">
        <v>15</v>
      </c>
      <c r="F7" s="53">
        <v>351424770902663</v>
      </c>
      <c r="G7" s="52"/>
      <c r="H7" s="54">
        <v>45739</v>
      </c>
      <c r="I7" s="55">
        <v>215</v>
      </c>
      <c r="J7" s="55">
        <v>27</v>
      </c>
      <c r="K7" s="54">
        <v>45778</v>
      </c>
      <c r="L7" s="72">
        <f>Таблица3[[#This Row],[OLINGAN NARXI $]]+Таблица3[[#This Row],[RASXOD]]</f>
        <v>468</v>
      </c>
      <c r="M7" s="55">
        <v>270</v>
      </c>
      <c r="N7" s="72">
        <v>28</v>
      </c>
      <c r="O7" s="51" t="s">
        <v>147</v>
      </c>
    </row>
    <row r="8" spans="1:15" s="56" customFormat="1" x14ac:dyDescent="0.3">
      <c r="A8" s="112">
        <v>7</v>
      </c>
      <c r="B8" s="50" t="s">
        <v>16</v>
      </c>
      <c r="C8" s="51" t="s">
        <v>157</v>
      </c>
      <c r="D8" s="52" t="s">
        <v>18</v>
      </c>
      <c r="E8" s="52" t="s">
        <v>22</v>
      </c>
      <c r="F8" s="53">
        <v>358438442588711</v>
      </c>
      <c r="G8" s="52"/>
      <c r="H8" s="54">
        <v>45752</v>
      </c>
      <c r="I8" s="55">
        <v>300</v>
      </c>
      <c r="J8" s="55"/>
      <c r="K8" s="54">
        <v>45778</v>
      </c>
      <c r="L8" s="72">
        <f>Таблица3[[#This Row],[OLINGAN NARXI $]]+Таблица3[[#This Row],[RASXOD]]</f>
        <v>155</v>
      </c>
      <c r="M8" s="55">
        <v>350</v>
      </c>
      <c r="N8" s="72">
        <v>50</v>
      </c>
      <c r="O8" s="51" t="s">
        <v>993</v>
      </c>
    </row>
    <row r="9" spans="1:15" s="56" customFormat="1" x14ac:dyDescent="0.3">
      <c r="A9" s="112">
        <v>8</v>
      </c>
      <c r="B9" s="50" t="s">
        <v>1138</v>
      </c>
      <c r="C9" s="51" t="s">
        <v>437</v>
      </c>
      <c r="D9" s="52" t="s">
        <v>21</v>
      </c>
      <c r="E9" s="52" t="s">
        <v>22</v>
      </c>
      <c r="F9" s="53"/>
      <c r="G9" s="52"/>
      <c r="H9" s="54">
        <v>45748</v>
      </c>
      <c r="I9" s="55">
        <v>120</v>
      </c>
      <c r="J9" s="55"/>
      <c r="K9" s="54">
        <v>45778</v>
      </c>
      <c r="L9" s="72">
        <f>Таблица3758910[[#This Row],[OLINGAN NARXI $]]+Таблица3758910[[#This Row],[RASXOD]]</f>
        <v>120</v>
      </c>
      <c r="M9" s="55">
        <v>170</v>
      </c>
      <c r="N9" s="55">
        <f>Таблица3758910[[#This Row],[SOTILGAN NARXI]]-Таблица3758910[[#This Row],[OLINGAN NARXI $]]-Таблица3758910[[#This Row],[RASXOD]]</f>
        <v>50</v>
      </c>
      <c r="O9" s="51" t="s">
        <v>1139</v>
      </c>
    </row>
    <row r="10" spans="1:15" s="99" customFormat="1" x14ac:dyDescent="0.3">
      <c r="A10" s="112">
        <v>9</v>
      </c>
      <c r="B10" s="92" t="s">
        <v>16</v>
      </c>
      <c r="C10" s="93" t="s">
        <v>418</v>
      </c>
      <c r="D10" s="94" t="s">
        <v>21</v>
      </c>
      <c r="E10" s="94" t="s">
        <v>22</v>
      </c>
      <c r="F10" s="95">
        <v>351817721656199</v>
      </c>
      <c r="G10" s="94"/>
      <c r="H10" s="96">
        <v>45768</v>
      </c>
      <c r="I10" s="97">
        <v>955</v>
      </c>
      <c r="J10" s="97"/>
      <c r="K10" s="96">
        <v>45778</v>
      </c>
      <c r="L10" s="98">
        <f>Таблица3[[#This Row],[OLINGAN NARXI $]]+Таблица3[[#This Row],[RASXOD]]</f>
        <v>473</v>
      </c>
      <c r="M10" s="97">
        <v>1010</v>
      </c>
      <c r="N10" s="97">
        <v>55</v>
      </c>
      <c r="O10" s="93" t="s">
        <v>147</v>
      </c>
    </row>
    <row r="11" spans="1:15" s="99" customFormat="1" x14ac:dyDescent="0.3">
      <c r="A11" s="112">
        <v>10</v>
      </c>
      <c r="B11" s="92" t="s">
        <v>16</v>
      </c>
      <c r="C11" s="93" t="s">
        <v>129</v>
      </c>
      <c r="D11" s="94" t="s">
        <v>21</v>
      </c>
      <c r="E11" s="94" t="s">
        <v>15</v>
      </c>
      <c r="F11" s="95">
        <v>358863666264535</v>
      </c>
      <c r="G11" s="94"/>
      <c r="H11" s="96">
        <v>45633</v>
      </c>
      <c r="I11" s="97">
        <v>490</v>
      </c>
      <c r="J11" s="97"/>
      <c r="K11" s="96">
        <v>45778</v>
      </c>
      <c r="L11" s="98">
        <f>Таблица3[[#This Row],[OLINGAN NARXI $]]+Таблица3[[#This Row],[RASXOD]]</f>
        <v>400</v>
      </c>
      <c r="M11" s="97">
        <v>570</v>
      </c>
      <c r="N11" s="98">
        <v>80</v>
      </c>
      <c r="O11" s="93" t="s">
        <v>592</v>
      </c>
    </row>
    <row r="12" spans="1:15" s="99" customFormat="1" x14ac:dyDescent="0.3">
      <c r="A12" s="112">
        <v>11</v>
      </c>
      <c r="B12" s="92" t="s">
        <v>207</v>
      </c>
      <c r="C12" s="93" t="s">
        <v>1116</v>
      </c>
      <c r="D12" s="94" t="s">
        <v>21</v>
      </c>
      <c r="E12" s="94" t="s">
        <v>22</v>
      </c>
      <c r="F12" s="95"/>
      <c r="G12" s="94"/>
      <c r="H12" s="96">
        <v>45775</v>
      </c>
      <c r="I12" s="97">
        <v>240</v>
      </c>
      <c r="J12" s="97"/>
      <c r="K12" s="96">
        <v>45778</v>
      </c>
      <c r="L12" s="98">
        <f>Таблица3[[#This Row],[OLINGAN NARXI $]]+Таблица3[[#This Row],[RASXOD]]</f>
        <v>323.3</v>
      </c>
      <c r="M12" s="97">
        <v>284</v>
      </c>
      <c r="N12" s="97">
        <v>44</v>
      </c>
      <c r="O12" s="93" t="s">
        <v>1117</v>
      </c>
    </row>
    <row r="13" spans="1:15" s="99" customFormat="1" x14ac:dyDescent="0.3">
      <c r="A13" s="112">
        <v>12</v>
      </c>
      <c r="B13" s="92" t="s">
        <v>16</v>
      </c>
      <c r="C13" s="93" t="s">
        <v>1125</v>
      </c>
      <c r="D13" s="94" t="s">
        <v>35</v>
      </c>
      <c r="E13" s="94" t="s">
        <v>22</v>
      </c>
      <c r="F13" s="95">
        <v>354569166846648</v>
      </c>
      <c r="G13" s="94"/>
      <c r="H13" s="96">
        <v>45773</v>
      </c>
      <c r="I13" s="97">
        <v>500</v>
      </c>
      <c r="J13" s="97"/>
      <c r="K13" s="96">
        <v>45778</v>
      </c>
      <c r="L13" s="98">
        <f>Таблица3[[#This Row],[OLINGAN NARXI $]]+Таблица3[[#This Row],[RASXOD]]</f>
        <v>307</v>
      </c>
      <c r="M13" s="97">
        <v>570</v>
      </c>
      <c r="N13" s="97">
        <v>70</v>
      </c>
      <c r="O13" s="93">
        <v>974000230</v>
      </c>
    </row>
    <row r="14" spans="1:15" s="105" customFormat="1" x14ac:dyDescent="0.3">
      <c r="A14" s="112">
        <v>13</v>
      </c>
      <c r="B14" s="100" t="s">
        <v>13</v>
      </c>
      <c r="C14" s="101" t="s">
        <v>1094</v>
      </c>
      <c r="D14" s="102" t="s">
        <v>460</v>
      </c>
      <c r="E14" s="102" t="s">
        <v>15</v>
      </c>
      <c r="F14" s="10">
        <v>356206651003884</v>
      </c>
      <c r="G14" s="102"/>
      <c r="H14" s="103">
        <v>45771</v>
      </c>
      <c r="I14" s="26">
        <v>500</v>
      </c>
      <c r="J14" s="26"/>
      <c r="K14" s="103">
        <v>45781</v>
      </c>
      <c r="L14" s="104">
        <f>Таблица3[[#This Row],[OLINGAN NARXI $]]+Таблица3[[#This Row],[RASXOD]]</f>
        <v>30</v>
      </c>
      <c r="M14" s="26">
        <v>520</v>
      </c>
      <c r="N14" s="26">
        <v>20</v>
      </c>
      <c r="O14" s="101" t="s">
        <v>147</v>
      </c>
    </row>
    <row r="15" spans="1:15" s="83" customFormat="1" x14ac:dyDescent="0.3">
      <c r="A15" s="112">
        <v>14</v>
      </c>
      <c r="B15" s="76" t="s">
        <v>16</v>
      </c>
      <c r="C15" s="77" t="s">
        <v>81</v>
      </c>
      <c r="D15" s="78" t="s">
        <v>45</v>
      </c>
      <c r="E15" s="78" t="s">
        <v>15</v>
      </c>
      <c r="F15" s="79">
        <v>350585972067512</v>
      </c>
      <c r="G15" s="78"/>
      <c r="H15" s="80">
        <v>45775</v>
      </c>
      <c r="I15" s="81">
        <v>420</v>
      </c>
      <c r="J15" s="81"/>
      <c r="K15" s="80">
        <v>45779</v>
      </c>
      <c r="L15" s="82">
        <f>Таблица3[[#This Row],[OLINGAN NARXI $]]+Таблица3[[#This Row],[RASXOD]]</f>
        <v>16</v>
      </c>
      <c r="M15" s="81">
        <v>480</v>
      </c>
      <c r="N15" s="81">
        <v>60</v>
      </c>
      <c r="O15" s="77" t="s">
        <v>1119</v>
      </c>
    </row>
    <row r="16" spans="1:15" s="83" customFormat="1" x14ac:dyDescent="0.3">
      <c r="A16" s="112">
        <v>15</v>
      </c>
      <c r="B16" s="76" t="s">
        <v>13</v>
      </c>
      <c r="C16" s="77" t="s">
        <v>1014</v>
      </c>
      <c r="D16" s="78" t="s">
        <v>65</v>
      </c>
      <c r="E16" s="78" t="s">
        <v>22</v>
      </c>
      <c r="F16" s="79">
        <v>358549100356074</v>
      </c>
      <c r="G16" s="78"/>
      <c r="H16" s="80">
        <v>45776</v>
      </c>
      <c r="I16" s="81">
        <v>38</v>
      </c>
      <c r="J16" s="81"/>
      <c r="K16" s="80">
        <v>45779</v>
      </c>
      <c r="L16" s="82">
        <f>Таблица3[[#This Row],[OLINGAN NARXI $]]+Таблица3[[#This Row],[RASXOD]]</f>
        <v>387</v>
      </c>
      <c r="M16" s="81">
        <v>77</v>
      </c>
      <c r="N16" s="81">
        <v>39</v>
      </c>
      <c r="O16" s="77" t="s">
        <v>1122</v>
      </c>
    </row>
    <row r="17" spans="1:15" s="105" customFormat="1" x14ac:dyDescent="0.3">
      <c r="A17" s="112">
        <v>16</v>
      </c>
      <c r="B17" s="100" t="s">
        <v>13</v>
      </c>
      <c r="C17" s="101" t="s">
        <v>1075</v>
      </c>
      <c r="D17" s="102" t="s">
        <v>21</v>
      </c>
      <c r="E17" s="102" t="s">
        <v>15</v>
      </c>
      <c r="F17" s="10">
        <v>354698112969194</v>
      </c>
      <c r="G17" s="102" t="s">
        <v>98</v>
      </c>
      <c r="H17" s="103">
        <v>45769</v>
      </c>
      <c r="I17" s="26">
        <v>21</v>
      </c>
      <c r="J17" s="26">
        <v>8</v>
      </c>
      <c r="K17" s="103">
        <v>45779</v>
      </c>
      <c r="L17" s="104">
        <f>Таблица3[[#This Row],[OLINGAN NARXI $]]+Таблица3[[#This Row],[RASXOD]]</f>
        <v>320</v>
      </c>
      <c r="M17" s="26">
        <v>69</v>
      </c>
      <c r="N17" s="26">
        <v>40</v>
      </c>
      <c r="O17" s="101" t="s">
        <v>1076</v>
      </c>
    </row>
    <row r="18" spans="1:15" s="83" customFormat="1" x14ac:dyDescent="0.3">
      <c r="A18" s="112">
        <v>17</v>
      </c>
      <c r="B18" s="76" t="s">
        <v>16</v>
      </c>
      <c r="C18" s="77" t="s">
        <v>1089</v>
      </c>
      <c r="D18" s="78" t="s">
        <v>35</v>
      </c>
      <c r="E18" s="78" t="s">
        <v>22</v>
      </c>
      <c r="F18" s="79">
        <v>350321531507479</v>
      </c>
      <c r="G18" s="78"/>
      <c r="H18" s="80">
        <v>45770</v>
      </c>
      <c r="I18" s="81">
        <v>540</v>
      </c>
      <c r="J18" s="81"/>
      <c r="K18" s="80">
        <v>45779</v>
      </c>
      <c r="L18" s="82">
        <f>Таблица3[[#This Row],[OLINGAN NARXI $]]+Таблица3[[#This Row],[RASXOD]]</f>
        <v>223</v>
      </c>
      <c r="M18" s="81">
        <v>580</v>
      </c>
      <c r="N18" s="81">
        <v>40</v>
      </c>
      <c r="O18" s="77" t="s">
        <v>1090</v>
      </c>
    </row>
    <row r="19" spans="1:15" s="99" customFormat="1" x14ac:dyDescent="0.3">
      <c r="A19" s="112">
        <v>18</v>
      </c>
      <c r="B19" s="92" t="s">
        <v>13</v>
      </c>
      <c r="C19" s="93" t="s">
        <v>569</v>
      </c>
      <c r="D19" s="94" t="s">
        <v>21</v>
      </c>
      <c r="E19" s="94" t="s">
        <v>15</v>
      </c>
      <c r="F19" s="95">
        <v>355347589875034</v>
      </c>
      <c r="G19" s="94"/>
      <c r="H19" s="96">
        <v>45628</v>
      </c>
      <c r="I19" s="97">
        <v>140</v>
      </c>
      <c r="J19" s="97">
        <v>11</v>
      </c>
      <c r="K19" s="96">
        <v>45779</v>
      </c>
      <c r="L19" s="98">
        <f>Таблица3[[#This Row],[OLINGAN NARXI $]]+Таблица3[[#This Row],[RASXOD]]</f>
        <v>251.5</v>
      </c>
      <c r="M19" s="97">
        <v>210</v>
      </c>
      <c r="N19" s="98">
        <v>59</v>
      </c>
      <c r="O19" s="93" t="s">
        <v>147</v>
      </c>
    </row>
    <row r="20" spans="1:15" s="56" customFormat="1" x14ac:dyDescent="0.3">
      <c r="A20" s="112">
        <v>19</v>
      </c>
      <c r="B20" s="50" t="s">
        <v>16</v>
      </c>
      <c r="C20" s="51" t="s">
        <v>25</v>
      </c>
      <c r="D20" s="52" t="s">
        <v>26</v>
      </c>
      <c r="E20" s="52" t="s">
        <v>22</v>
      </c>
      <c r="F20" s="53">
        <v>358525996709345</v>
      </c>
      <c r="G20" s="52"/>
      <c r="H20" s="54">
        <v>45775</v>
      </c>
      <c r="I20" s="55">
        <v>780</v>
      </c>
      <c r="J20" s="55"/>
      <c r="K20" s="54">
        <v>45779</v>
      </c>
      <c r="L20" s="72">
        <f>Таблица3[[#This Row],[OLINGAN NARXI $]]+Таблица3[[#This Row],[RASXOD]]</f>
        <v>1080</v>
      </c>
      <c r="M20" s="55">
        <v>840</v>
      </c>
      <c r="N20" s="55">
        <v>60</v>
      </c>
      <c r="O20" s="51" t="s">
        <v>1114</v>
      </c>
    </row>
    <row r="21" spans="1:15" s="56" customFormat="1" x14ac:dyDescent="0.3">
      <c r="A21" s="112">
        <v>20</v>
      </c>
      <c r="B21" s="50" t="s">
        <v>724</v>
      </c>
      <c r="C21" s="51" t="s">
        <v>1019</v>
      </c>
      <c r="D21" s="52" t="s">
        <v>21</v>
      </c>
      <c r="E21" s="52" t="s">
        <v>22</v>
      </c>
      <c r="F21" s="53">
        <v>863477064034644</v>
      </c>
      <c r="G21" s="52"/>
      <c r="H21" s="54">
        <v>45758</v>
      </c>
      <c r="I21" s="55">
        <v>220</v>
      </c>
      <c r="J21" s="55"/>
      <c r="K21" s="54">
        <v>45779</v>
      </c>
      <c r="L21" s="72">
        <f>Таблица3[[#This Row],[OLINGAN NARXI $]]+Таблица3[[#This Row],[RASXOD]]</f>
        <v>600</v>
      </c>
      <c r="M21" s="55">
        <v>296</v>
      </c>
      <c r="N21" s="55">
        <v>76</v>
      </c>
      <c r="O21" s="51"/>
    </row>
    <row r="22" spans="1:15" s="83" customFormat="1" x14ac:dyDescent="0.3">
      <c r="A22" s="112">
        <v>21</v>
      </c>
      <c r="B22" s="76" t="s">
        <v>207</v>
      </c>
      <c r="C22" s="84" t="s">
        <v>1069</v>
      </c>
      <c r="D22" s="78" t="s">
        <v>1070</v>
      </c>
      <c r="E22" s="78" t="s">
        <v>15</v>
      </c>
      <c r="F22" s="79"/>
      <c r="G22" s="78"/>
      <c r="H22" s="80">
        <v>45767</v>
      </c>
      <c r="I22" s="81">
        <v>600</v>
      </c>
      <c r="J22" s="81"/>
      <c r="K22" s="80">
        <v>45779</v>
      </c>
      <c r="L22" s="82">
        <f>Таблица3[[#This Row],[OLINGAN NARXI $]]+Таблица3[[#This Row],[RASXOD]]</f>
        <v>271</v>
      </c>
      <c r="M22" s="81">
        <v>630</v>
      </c>
      <c r="N22" s="81">
        <v>30</v>
      </c>
      <c r="O22" s="77" t="s">
        <v>1071</v>
      </c>
    </row>
    <row r="23" spans="1:15" s="83" customFormat="1" x14ac:dyDescent="0.3">
      <c r="A23" s="112">
        <v>22</v>
      </c>
      <c r="B23" s="76" t="s">
        <v>13</v>
      </c>
      <c r="C23" s="77" t="s">
        <v>502</v>
      </c>
      <c r="D23" s="78" t="s">
        <v>18</v>
      </c>
      <c r="E23" s="78" t="s">
        <v>15</v>
      </c>
      <c r="F23" s="79">
        <v>351747951255885</v>
      </c>
      <c r="G23" s="78"/>
      <c r="H23" s="80">
        <v>45764</v>
      </c>
      <c r="I23" s="81">
        <v>450</v>
      </c>
      <c r="J23" s="81"/>
      <c r="K23" s="80">
        <v>45780</v>
      </c>
      <c r="L23" s="82">
        <f>Таблица3[[#This Row],[OLINGAN NARXI $]]+Таблица3[[#This Row],[RASXOD]]</f>
        <v>366</v>
      </c>
      <c r="M23" s="81">
        <v>500</v>
      </c>
      <c r="N23" s="81">
        <v>50</v>
      </c>
      <c r="O23" s="77" t="s">
        <v>147</v>
      </c>
    </row>
    <row r="24" spans="1:15" s="83" customFormat="1" x14ac:dyDescent="0.3">
      <c r="A24" s="112">
        <v>23</v>
      </c>
      <c r="B24" s="76" t="s">
        <v>16</v>
      </c>
      <c r="C24" s="77" t="s">
        <v>772</v>
      </c>
      <c r="D24" s="78" t="s">
        <v>21</v>
      </c>
      <c r="E24" s="78" t="s">
        <v>22</v>
      </c>
      <c r="F24" s="79">
        <v>353554804915220</v>
      </c>
      <c r="G24" s="78"/>
      <c r="H24" s="80">
        <v>45744</v>
      </c>
      <c r="I24" s="81">
        <v>625</v>
      </c>
      <c r="J24" s="81"/>
      <c r="K24" s="80">
        <v>45780</v>
      </c>
      <c r="L24" s="82">
        <f>Таблица3[[#This Row],[OLINGAN NARXI $]]+Таблица3[[#This Row],[RASXOD]]</f>
        <v>381</v>
      </c>
      <c r="M24" s="81">
        <v>690</v>
      </c>
      <c r="N24" s="82">
        <v>65</v>
      </c>
      <c r="O24" s="77" t="s">
        <v>955</v>
      </c>
    </row>
    <row r="25" spans="1:15" s="83" customFormat="1" x14ac:dyDescent="0.3">
      <c r="A25" s="112">
        <v>24</v>
      </c>
      <c r="B25" s="76" t="s">
        <v>16</v>
      </c>
      <c r="C25" s="77" t="s">
        <v>452</v>
      </c>
      <c r="D25" s="78" t="s">
        <v>35</v>
      </c>
      <c r="E25" s="78" t="s">
        <v>15</v>
      </c>
      <c r="F25" s="79">
        <v>352918112012684</v>
      </c>
      <c r="G25" s="78"/>
      <c r="H25" s="80">
        <v>45771</v>
      </c>
      <c r="I25" s="81">
        <v>185</v>
      </c>
      <c r="J25" s="81"/>
      <c r="K25" s="80">
        <v>45780</v>
      </c>
      <c r="L25" s="82">
        <f>Таблица3[[#This Row],[OLINGAN NARXI $]]+Таблица3[[#This Row],[RASXOD]]</f>
        <v>540</v>
      </c>
      <c r="M25" s="81">
        <v>230</v>
      </c>
      <c r="N25" s="81">
        <v>45</v>
      </c>
      <c r="O25" s="77" t="s">
        <v>1098</v>
      </c>
    </row>
    <row r="26" spans="1:15" s="105" customFormat="1" x14ac:dyDescent="0.3">
      <c r="A26" s="112">
        <v>25</v>
      </c>
      <c r="B26" s="100" t="s">
        <v>1026</v>
      </c>
      <c r="C26" s="101" t="s">
        <v>1087</v>
      </c>
      <c r="D26" s="102" t="s">
        <v>21</v>
      </c>
      <c r="E26" s="102" t="s">
        <v>15</v>
      </c>
      <c r="F26" s="10">
        <v>8091</v>
      </c>
      <c r="G26" s="102"/>
      <c r="H26" s="103">
        <v>45769</v>
      </c>
      <c r="I26" s="26">
        <v>220</v>
      </c>
      <c r="J26" s="26"/>
      <c r="K26" s="103">
        <v>45781</v>
      </c>
      <c r="L26" s="104">
        <f>Таблица3[[#This Row],[OLINGAN NARXI $]]+Таблица3[[#This Row],[RASXOD]]</f>
        <v>286</v>
      </c>
      <c r="M26" s="26">
        <v>388</v>
      </c>
      <c r="N26" s="26">
        <v>168</v>
      </c>
      <c r="O26" s="101" t="s">
        <v>1086</v>
      </c>
    </row>
    <row r="27" spans="1:15" s="83" customFormat="1" x14ac:dyDescent="0.3">
      <c r="A27" s="112">
        <v>26</v>
      </c>
      <c r="B27" s="76" t="s">
        <v>13</v>
      </c>
      <c r="C27" s="77" t="s">
        <v>1055</v>
      </c>
      <c r="D27" s="78" t="s">
        <v>97</v>
      </c>
      <c r="E27" s="78" t="s">
        <v>15</v>
      </c>
      <c r="F27" s="79">
        <v>355468150551166</v>
      </c>
      <c r="G27" s="78"/>
      <c r="H27" s="80">
        <v>45772</v>
      </c>
      <c r="I27" s="81">
        <v>360</v>
      </c>
      <c r="J27" s="81"/>
      <c r="K27" s="80">
        <v>45781</v>
      </c>
      <c r="L27" s="82">
        <f>Таблица3[[#This Row],[OLINGAN NARXI $]]+Таблица3[[#This Row],[RASXOD]]</f>
        <v>703</v>
      </c>
      <c r="M27" s="81">
        <v>415</v>
      </c>
      <c r="N27" s="81">
        <v>55</v>
      </c>
      <c r="O27" s="77" t="s">
        <v>147</v>
      </c>
    </row>
    <row r="28" spans="1:15" s="105" customFormat="1" x14ac:dyDescent="0.3">
      <c r="A28" s="112">
        <v>27</v>
      </c>
      <c r="B28" s="100" t="s">
        <v>16</v>
      </c>
      <c r="C28" s="101" t="s">
        <v>157</v>
      </c>
      <c r="D28" s="102" t="s">
        <v>45</v>
      </c>
      <c r="E28" s="102" t="s">
        <v>22</v>
      </c>
      <c r="F28" s="10">
        <v>350742135845611</v>
      </c>
      <c r="G28" s="102"/>
      <c r="H28" s="103">
        <v>45780</v>
      </c>
      <c r="I28" s="26">
        <v>280</v>
      </c>
      <c r="J28" s="26">
        <v>29</v>
      </c>
      <c r="K28" s="103">
        <v>45781</v>
      </c>
      <c r="L28" s="104">
        <f>Таблица3[[#This Row],[OLINGAN NARXI $]]+Таблица3[[#This Row],[RASXOD]]</f>
        <v>447.7</v>
      </c>
      <c r="M28" s="26">
        <v>390</v>
      </c>
      <c r="N28" s="26">
        <v>80</v>
      </c>
      <c r="O28" s="101" t="s">
        <v>1147</v>
      </c>
    </row>
    <row r="29" spans="1:15" s="83" customFormat="1" x14ac:dyDescent="0.3">
      <c r="A29" s="112">
        <v>28</v>
      </c>
      <c r="B29" s="76" t="s">
        <v>16</v>
      </c>
      <c r="C29" s="77" t="s">
        <v>148</v>
      </c>
      <c r="D29" s="78" t="s">
        <v>18</v>
      </c>
      <c r="E29" s="78" t="s">
        <v>22</v>
      </c>
      <c r="F29" s="79">
        <v>357619536778042</v>
      </c>
      <c r="G29" s="78" t="s">
        <v>556</v>
      </c>
      <c r="H29" s="80">
        <v>45779</v>
      </c>
      <c r="I29" s="81">
        <v>200</v>
      </c>
      <c r="J29" s="81"/>
      <c r="K29" s="80">
        <v>45781</v>
      </c>
      <c r="L29" s="82">
        <f>Таблица3[[#This Row],[OLINGAN NARXI $]]+Таблица3[[#This Row],[RASXOD]]</f>
        <v>400</v>
      </c>
      <c r="M29" s="81">
        <v>260</v>
      </c>
      <c r="N29" s="81">
        <v>60</v>
      </c>
      <c r="O29" s="77">
        <v>909276797</v>
      </c>
    </row>
    <row r="30" spans="1:15" s="105" customFormat="1" x14ac:dyDescent="0.3">
      <c r="A30" s="112">
        <v>29</v>
      </c>
      <c r="B30" s="100" t="s">
        <v>13</v>
      </c>
      <c r="C30" s="101" t="s">
        <v>117</v>
      </c>
      <c r="D30" s="102" t="s">
        <v>21</v>
      </c>
      <c r="E30" s="102" t="s">
        <v>15</v>
      </c>
      <c r="F30" s="10">
        <v>351424770941182</v>
      </c>
      <c r="G30" s="102"/>
      <c r="H30" s="103">
        <v>45669</v>
      </c>
      <c r="I30" s="26">
        <v>200</v>
      </c>
      <c r="J30" s="26">
        <v>17</v>
      </c>
      <c r="K30" s="103">
        <v>45781</v>
      </c>
      <c r="L30" s="104">
        <f>Таблица3[[#This Row],[OLINGAN NARXI $]]+Таблица3[[#This Row],[RASXOD]]</f>
        <v>240</v>
      </c>
      <c r="M30" s="26">
        <v>270</v>
      </c>
      <c r="N30" s="104">
        <v>53</v>
      </c>
      <c r="O30" s="101" t="s">
        <v>147</v>
      </c>
    </row>
    <row r="31" spans="1:15" s="83" customFormat="1" x14ac:dyDescent="0.3">
      <c r="A31" s="112">
        <v>30</v>
      </c>
      <c r="B31" s="76" t="s">
        <v>13</v>
      </c>
      <c r="C31" s="77" t="s">
        <v>1041</v>
      </c>
      <c r="D31" s="78" t="s">
        <v>18</v>
      </c>
      <c r="E31" s="78" t="s">
        <v>15</v>
      </c>
      <c r="F31" s="79">
        <v>353992851664624</v>
      </c>
      <c r="G31" s="78"/>
      <c r="H31" s="80">
        <v>45769</v>
      </c>
      <c r="I31" s="81">
        <v>450</v>
      </c>
      <c r="J31" s="81"/>
      <c r="K31" s="80">
        <v>45781</v>
      </c>
      <c r="L31" s="82">
        <f>Таблица3[[#This Row],[OLINGAN NARXI $]]+Таблица3[[#This Row],[RASXOD]]</f>
        <v>620</v>
      </c>
      <c r="M31" s="81">
        <v>510</v>
      </c>
      <c r="N31" s="81">
        <v>60</v>
      </c>
      <c r="O31" s="77" t="s">
        <v>147</v>
      </c>
    </row>
    <row r="32" spans="1:15" s="105" customFormat="1" x14ac:dyDescent="0.3">
      <c r="A32" s="112">
        <v>31</v>
      </c>
      <c r="B32" s="100" t="s">
        <v>13</v>
      </c>
      <c r="C32" s="101" t="s">
        <v>124</v>
      </c>
      <c r="D32" s="102" t="s">
        <v>58</v>
      </c>
      <c r="E32" s="102" t="s">
        <v>15</v>
      </c>
      <c r="F32" s="10">
        <v>5034</v>
      </c>
      <c r="G32" s="102"/>
      <c r="H32" s="103"/>
      <c r="I32" s="26">
        <v>240</v>
      </c>
      <c r="J32" s="26">
        <v>27</v>
      </c>
      <c r="K32" s="103">
        <v>45781</v>
      </c>
      <c r="L32" s="104">
        <f>Таблица3758910[[#This Row],[OLINGAN NARXI $]]+Таблица3758910[[#This Row],[RASXOD]]</f>
        <v>267</v>
      </c>
      <c r="M32" s="26">
        <v>310</v>
      </c>
      <c r="N32" s="26">
        <f>Таблица3758910[[#This Row],[SOTILGAN NARXI]]-Таблица3758910[[#This Row],[OLINGAN NARXI $]]-Таблица3758910[[#This Row],[RASXOD]]</f>
        <v>43</v>
      </c>
      <c r="O32" s="101"/>
    </row>
    <row r="33" spans="1:15" s="83" customFormat="1" x14ac:dyDescent="0.3">
      <c r="A33" s="112">
        <v>32</v>
      </c>
      <c r="B33" s="76" t="s">
        <v>16</v>
      </c>
      <c r="C33" s="77" t="s">
        <v>418</v>
      </c>
      <c r="D33" s="78" t="s">
        <v>583</v>
      </c>
      <c r="E33" s="78" t="s">
        <v>22</v>
      </c>
      <c r="F33" s="79">
        <v>355109184237253</v>
      </c>
      <c r="G33" s="78"/>
      <c r="H33" s="80">
        <v>45768</v>
      </c>
      <c r="I33" s="81">
        <v>970</v>
      </c>
      <c r="J33" s="81"/>
      <c r="K33" s="80">
        <v>45782</v>
      </c>
      <c r="L33" s="82">
        <f>Таблица3[[#This Row],[OLINGAN NARXI $]]+Таблица3[[#This Row],[RASXOD]]</f>
        <v>180</v>
      </c>
      <c r="M33" s="81">
        <v>1010</v>
      </c>
      <c r="N33" s="81">
        <v>40</v>
      </c>
      <c r="O33" s="77" t="s">
        <v>147</v>
      </c>
    </row>
    <row r="34" spans="1:15" s="105" customFormat="1" x14ac:dyDescent="0.3">
      <c r="A34" s="112">
        <v>33</v>
      </c>
      <c r="B34" s="100" t="s">
        <v>16</v>
      </c>
      <c r="C34" s="101" t="s">
        <v>81</v>
      </c>
      <c r="D34" s="102" t="s">
        <v>97</v>
      </c>
      <c r="E34" s="102" t="s">
        <v>15</v>
      </c>
      <c r="F34" s="10">
        <v>359052377361652</v>
      </c>
      <c r="G34" s="102"/>
      <c r="H34" s="103">
        <v>45780</v>
      </c>
      <c r="I34" s="26">
        <v>440</v>
      </c>
      <c r="J34" s="26"/>
      <c r="K34" s="103">
        <v>45782</v>
      </c>
      <c r="L34" s="104">
        <f>Таблица3[[#This Row],[OLINGAN NARXI $]]+Таблица3[[#This Row],[RASXOD]]</f>
        <v>610</v>
      </c>
      <c r="M34" s="26">
        <v>495</v>
      </c>
      <c r="N34" s="26">
        <v>55</v>
      </c>
      <c r="O34" s="101" t="s">
        <v>19</v>
      </c>
    </row>
    <row r="35" spans="1:15" s="105" customFormat="1" x14ac:dyDescent="0.3">
      <c r="A35" s="112">
        <v>34</v>
      </c>
      <c r="B35" s="100" t="s">
        <v>16</v>
      </c>
      <c r="C35" s="101" t="s">
        <v>25</v>
      </c>
      <c r="D35" s="102" t="s">
        <v>65</v>
      </c>
      <c r="E35" s="102" t="s">
        <v>22</v>
      </c>
      <c r="F35" s="10">
        <v>356553314221647</v>
      </c>
      <c r="G35" s="102"/>
      <c r="H35" s="103">
        <v>45761</v>
      </c>
      <c r="I35" s="26">
        <v>750</v>
      </c>
      <c r="J35" s="26"/>
      <c r="K35" s="103">
        <v>45782</v>
      </c>
      <c r="L35" s="104">
        <f>Таблица3[[#This Row],[OLINGAN NARXI $]]+Таблица3[[#This Row],[RASXOD]]</f>
        <v>610</v>
      </c>
      <c r="M35" s="26">
        <v>830</v>
      </c>
      <c r="N35" s="26">
        <v>80</v>
      </c>
      <c r="O35" s="101" t="s">
        <v>1045</v>
      </c>
    </row>
    <row r="36" spans="1:15" s="99" customFormat="1" x14ac:dyDescent="0.3">
      <c r="A36" s="112">
        <v>35</v>
      </c>
      <c r="B36" s="92" t="s">
        <v>16</v>
      </c>
      <c r="C36" s="93" t="s">
        <v>1161</v>
      </c>
      <c r="D36" s="94" t="s">
        <v>65</v>
      </c>
      <c r="E36" s="94" t="s">
        <v>15</v>
      </c>
      <c r="F36" s="95">
        <v>358082901361481</v>
      </c>
      <c r="G36" s="94"/>
      <c r="H36" s="96">
        <v>45781</v>
      </c>
      <c r="I36" s="97">
        <v>230</v>
      </c>
      <c r="J36" s="97"/>
      <c r="K36" s="96">
        <v>45782</v>
      </c>
      <c r="L36" s="98">
        <f>Таблица3[[#This Row],[OLINGAN NARXI $]]+Таблица3[[#This Row],[RASXOD]]</f>
        <v>645</v>
      </c>
      <c r="M36" s="97">
        <v>256</v>
      </c>
      <c r="N36" s="97">
        <v>26</v>
      </c>
      <c r="O36" s="93" t="s">
        <v>147</v>
      </c>
    </row>
    <row r="37" spans="1:15" s="105" customFormat="1" x14ac:dyDescent="0.3">
      <c r="A37" s="112">
        <v>36</v>
      </c>
      <c r="B37" s="100" t="s">
        <v>16</v>
      </c>
      <c r="C37" s="101" t="s">
        <v>106</v>
      </c>
      <c r="D37" s="102" t="s">
        <v>21</v>
      </c>
      <c r="E37" s="102" t="s">
        <v>15</v>
      </c>
      <c r="F37" s="10">
        <v>356574102376997</v>
      </c>
      <c r="G37" s="102"/>
      <c r="H37" s="103">
        <v>45761</v>
      </c>
      <c r="I37" s="26">
        <v>104</v>
      </c>
      <c r="J37" s="26">
        <v>7</v>
      </c>
      <c r="K37" s="103">
        <v>45782</v>
      </c>
      <c r="L37" s="104">
        <v>111</v>
      </c>
      <c r="M37" s="26">
        <v>195</v>
      </c>
      <c r="N37" s="26">
        <v>84</v>
      </c>
      <c r="O37" s="101" t="s">
        <v>1044</v>
      </c>
    </row>
    <row r="38" spans="1:15" s="105" customFormat="1" x14ac:dyDescent="0.3">
      <c r="A38" s="112">
        <v>37</v>
      </c>
      <c r="B38" s="100" t="s">
        <v>16</v>
      </c>
      <c r="C38" s="101" t="s">
        <v>34</v>
      </c>
      <c r="D38" s="102" t="s">
        <v>35</v>
      </c>
      <c r="E38" s="102" t="s">
        <v>22</v>
      </c>
      <c r="F38" s="10">
        <v>351344356872652</v>
      </c>
      <c r="G38" s="102"/>
      <c r="H38" s="103">
        <v>45687</v>
      </c>
      <c r="I38" s="26">
        <v>630</v>
      </c>
      <c r="J38" s="26"/>
      <c r="K38" s="103">
        <v>45784</v>
      </c>
      <c r="L38" s="104">
        <f>Таблица3[[#This Row],[OLINGAN NARXI $]]+Таблица3[[#This Row],[RASXOD]]</f>
        <v>315</v>
      </c>
      <c r="M38" s="26">
        <v>680</v>
      </c>
      <c r="N38" s="104">
        <v>50</v>
      </c>
      <c r="O38" s="101" t="s">
        <v>812</v>
      </c>
    </row>
    <row r="39" spans="1:15" s="99" customFormat="1" x14ac:dyDescent="0.3">
      <c r="A39" s="112">
        <v>38</v>
      </c>
      <c r="B39" s="92" t="s">
        <v>207</v>
      </c>
      <c r="C39" s="93" t="s">
        <v>788</v>
      </c>
      <c r="D39" s="94" t="s">
        <v>789</v>
      </c>
      <c r="E39" s="94" t="s">
        <v>22</v>
      </c>
      <c r="F39" s="95"/>
      <c r="G39" s="94"/>
      <c r="H39" s="96">
        <v>45681</v>
      </c>
      <c r="I39" s="97">
        <v>170</v>
      </c>
      <c r="J39" s="97"/>
      <c r="K39" s="96">
        <v>45784</v>
      </c>
      <c r="L39" s="98">
        <f>Таблица3[[#This Row],[OLINGAN NARXI $]]+Таблица3[[#This Row],[RASXOD]]</f>
        <v>182</v>
      </c>
      <c r="M39" s="97">
        <v>170</v>
      </c>
      <c r="N39" s="98">
        <v>0</v>
      </c>
      <c r="O39" s="93" t="s">
        <v>790</v>
      </c>
    </row>
    <row r="40" spans="1:15" s="83" customFormat="1" x14ac:dyDescent="0.3">
      <c r="A40" s="112">
        <v>39</v>
      </c>
      <c r="B40" s="76" t="s">
        <v>13</v>
      </c>
      <c r="C40" s="77" t="s">
        <v>1104</v>
      </c>
      <c r="D40" s="78" t="s">
        <v>97</v>
      </c>
      <c r="E40" s="78" t="s">
        <v>15</v>
      </c>
      <c r="F40" s="79">
        <v>350806070989674</v>
      </c>
      <c r="G40" s="78"/>
      <c r="H40" s="80">
        <v>45772</v>
      </c>
      <c r="I40" s="81">
        <v>360</v>
      </c>
      <c r="J40" s="81"/>
      <c r="K40" s="80">
        <v>45784</v>
      </c>
      <c r="L40" s="82">
        <f>Таблица3[[#This Row],[OLINGAN NARXI $]]+Таблица3[[#This Row],[RASXOD]]</f>
        <v>312.2</v>
      </c>
      <c r="M40" s="81">
        <v>420</v>
      </c>
      <c r="N40" s="81">
        <v>60</v>
      </c>
      <c r="O40" s="77" t="s">
        <v>147</v>
      </c>
    </row>
    <row r="41" spans="1:15" s="83" customFormat="1" x14ac:dyDescent="0.3">
      <c r="A41" s="112">
        <v>40</v>
      </c>
      <c r="B41" s="76" t="s">
        <v>16</v>
      </c>
      <c r="C41" s="77" t="s">
        <v>106</v>
      </c>
      <c r="D41" s="78" t="s">
        <v>21</v>
      </c>
      <c r="E41" s="78" t="s">
        <v>15</v>
      </c>
      <c r="F41" s="79">
        <v>353061288835031</v>
      </c>
      <c r="G41" s="78"/>
      <c r="H41" s="80">
        <v>45768</v>
      </c>
      <c r="I41" s="81">
        <v>150</v>
      </c>
      <c r="J41" s="81"/>
      <c r="K41" s="80">
        <v>45784</v>
      </c>
      <c r="L41" s="82">
        <f>Таблица3[[#This Row],[OLINGAN NARXI $]]+Таблица3[[#This Row],[RASXOD]]</f>
        <v>374.2</v>
      </c>
      <c r="M41" s="81">
        <v>200</v>
      </c>
      <c r="N41" s="81">
        <v>50</v>
      </c>
      <c r="O41" s="77" t="s">
        <v>1073</v>
      </c>
    </row>
    <row r="42" spans="1:15" s="83" customFormat="1" x14ac:dyDescent="0.3">
      <c r="A42" s="112">
        <v>41</v>
      </c>
      <c r="B42" s="76" t="s">
        <v>16</v>
      </c>
      <c r="C42" s="77" t="s">
        <v>148</v>
      </c>
      <c r="D42" s="78" t="s">
        <v>65</v>
      </c>
      <c r="E42" s="78" t="s">
        <v>22</v>
      </c>
      <c r="F42" s="79">
        <v>356691113876821</v>
      </c>
      <c r="G42" s="78"/>
      <c r="H42" s="80">
        <v>45780</v>
      </c>
      <c r="I42" s="81">
        <v>275</v>
      </c>
      <c r="J42" s="81"/>
      <c r="K42" s="80">
        <v>45784</v>
      </c>
      <c r="L42" s="82">
        <f>Таблица3[[#This Row],[OLINGAN NARXI $]]+Таблица3[[#This Row],[RASXOD]]</f>
        <v>260</v>
      </c>
      <c r="M42" s="81">
        <v>330</v>
      </c>
      <c r="N42" s="81">
        <v>55</v>
      </c>
      <c r="O42" s="77" t="s">
        <v>1149</v>
      </c>
    </row>
    <row r="43" spans="1:15" s="83" customFormat="1" x14ac:dyDescent="0.3">
      <c r="A43" s="112">
        <v>42</v>
      </c>
      <c r="B43" s="76" t="s">
        <v>16</v>
      </c>
      <c r="C43" s="77" t="s">
        <v>1084</v>
      </c>
      <c r="D43" s="78" t="s">
        <v>21</v>
      </c>
      <c r="E43" s="78" t="s">
        <v>15</v>
      </c>
      <c r="F43" s="79">
        <v>350343686186446</v>
      </c>
      <c r="G43" s="78"/>
      <c r="H43" s="80">
        <v>45776</v>
      </c>
      <c r="I43" s="81">
        <v>640</v>
      </c>
      <c r="J43" s="81"/>
      <c r="K43" s="80">
        <v>45784</v>
      </c>
      <c r="L43" s="82">
        <f>Таблица3[[#This Row],[OLINGAN NARXI $]]+Таблица3[[#This Row],[RASXOD]]</f>
        <v>350</v>
      </c>
      <c r="M43" s="81">
        <v>690</v>
      </c>
      <c r="N43" s="81">
        <v>50</v>
      </c>
      <c r="O43" s="77" t="s">
        <v>147</v>
      </c>
    </row>
    <row r="44" spans="1:15" s="83" customFormat="1" x14ac:dyDescent="0.3">
      <c r="A44" s="112">
        <v>43</v>
      </c>
      <c r="B44" s="76" t="s">
        <v>16</v>
      </c>
      <c r="C44" s="77" t="s">
        <v>552</v>
      </c>
      <c r="D44" s="78" t="s">
        <v>21</v>
      </c>
      <c r="E44" s="78" t="s">
        <v>15</v>
      </c>
      <c r="F44" s="79">
        <v>353234105285363</v>
      </c>
      <c r="G44" s="78" t="s">
        <v>98</v>
      </c>
      <c r="H44" s="80">
        <v>45771</v>
      </c>
      <c r="I44" s="81">
        <v>180</v>
      </c>
      <c r="J44" s="81"/>
      <c r="K44" s="80">
        <v>45784</v>
      </c>
      <c r="L44" s="82">
        <f>Таблица3[[#This Row],[OLINGAN NARXI $]]+Таблица3[[#This Row],[RASXOD]]</f>
        <v>1000</v>
      </c>
      <c r="M44" s="81">
        <v>230</v>
      </c>
      <c r="N44" s="81">
        <v>50</v>
      </c>
      <c r="O44" s="77" t="s">
        <v>1095</v>
      </c>
    </row>
    <row r="45" spans="1:15" s="83" customFormat="1" x14ac:dyDescent="0.3">
      <c r="A45" s="112">
        <v>44</v>
      </c>
      <c r="B45" s="76" t="s">
        <v>13</v>
      </c>
      <c r="C45" s="77" t="s">
        <v>1043</v>
      </c>
      <c r="D45" s="78" t="s">
        <v>65</v>
      </c>
      <c r="E45" s="78" t="s">
        <v>15</v>
      </c>
      <c r="F45" s="79">
        <v>35455110139207</v>
      </c>
      <c r="G45" s="78"/>
      <c r="H45" s="80">
        <v>45760</v>
      </c>
      <c r="I45" s="81">
        <v>115</v>
      </c>
      <c r="J45" s="81"/>
      <c r="K45" s="80">
        <v>45784</v>
      </c>
      <c r="L45" s="82">
        <f>Таблица3[[#This Row],[OLINGAN NARXI $]]+Таблица3[[#This Row],[RASXOD]]</f>
        <v>865</v>
      </c>
      <c r="M45" s="81">
        <v>160</v>
      </c>
      <c r="N45" s="81">
        <v>45</v>
      </c>
      <c r="O45" s="77" t="s">
        <v>147</v>
      </c>
    </row>
    <row r="46" spans="1:15" s="99" customFormat="1" x14ac:dyDescent="0.3">
      <c r="A46" s="112">
        <v>45</v>
      </c>
      <c r="B46" s="92" t="s">
        <v>16</v>
      </c>
      <c r="C46" s="93" t="s">
        <v>552</v>
      </c>
      <c r="D46" s="94" t="s">
        <v>18</v>
      </c>
      <c r="E46" s="94" t="s">
        <v>15</v>
      </c>
      <c r="F46" s="95">
        <v>353239108726255</v>
      </c>
      <c r="G46" s="94" t="s">
        <v>1049</v>
      </c>
      <c r="H46" s="96">
        <v>45763</v>
      </c>
      <c r="I46" s="97">
        <v>150</v>
      </c>
      <c r="J46" s="97"/>
      <c r="K46" s="96">
        <v>45784</v>
      </c>
      <c r="L46" s="98">
        <f>Таблица3[[#This Row],[OLINGAN NARXI $]]+Таблица3[[#This Row],[RASXOD]]</f>
        <v>145</v>
      </c>
      <c r="M46" s="97">
        <v>190</v>
      </c>
      <c r="N46" s="97">
        <v>40</v>
      </c>
      <c r="O46" s="93" t="s">
        <v>1050</v>
      </c>
    </row>
    <row r="47" spans="1:15" s="83" customFormat="1" x14ac:dyDescent="0.3">
      <c r="A47" s="112">
        <v>46</v>
      </c>
      <c r="B47" s="76" t="s">
        <v>16</v>
      </c>
      <c r="C47" s="77" t="s">
        <v>132</v>
      </c>
      <c r="D47" s="78" t="s">
        <v>18</v>
      </c>
      <c r="E47" s="78" t="s">
        <v>15</v>
      </c>
      <c r="F47" s="79">
        <v>352619274701854</v>
      </c>
      <c r="G47" s="78"/>
      <c r="H47" s="80">
        <v>45778</v>
      </c>
      <c r="I47" s="81">
        <v>180</v>
      </c>
      <c r="J47" s="81"/>
      <c r="K47" s="80">
        <v>45784</v>
      </c>
      <c r="L47" s="82">
        <f>Таблица3[[#This Row],[OLINGAN NARXI $]]+Таблица3[[#This Row],[RASXOD]]</f>
        <v>390</v>
      </c>
      <c r="M47" s="81">
        <v>238</v>
      </c>
      <c r="N47" s="81">
        <v>58</v>
      </c>
      <c r="O47" s="77" t="s">
        <v>1135</v>
      </c>
    </row>
    <row r="48" spans="1:15" s="99" customFormat="1" x14ac:dyDescent="0.3">
      <c r="A48" s="112">
        <v>47</v>
      </c>
      <c r="B48" s="92" t="s">
        <v>16</v>
      </c>
      <c r="C48" s="93" t="s">
        <v>74</v>
      </c>
      <c r="D48" s="94" t="s">
        <v>35</v>
      </c>
      <c r="E48" s="94" t="s">
        <v>15</v>
      </c>
      <c r="F48" s="95">
        <v>358047320387102</v>
      </c>
      <c r="G48" s="94"/>
      <c r="H48" s="96">
        <v>45566</v>
      </c>
      <c r="I48" s="97">
        <v>645</v>
      </c>
      <c r="J48" s="97">
        <v>9</v>
      </c>
      <c r="K48" s="96">
        <v>45784</v>
      </c>
      <c r="L48" s="98">
        <f>Таблица3[[#This Row],[OLINGAN NARXI $]]+Таблица3[[#This Row],[RASXOD]]</f>
        <v>63</v>
      </c>
      <c r="M48" s="97">
        <v>600</v>
      </c>
      <c r="N48" s="98">
        <v>-54</v>
      </c>
      <c r="O48" s="93" t="s">
        <v>29</v>
      </c>
    </row>
    <row r="49" spans="1:15" s="56" customFormat="1" x14ac:dyDescent="0.3">
      <c r="A49" s="112">
        <v>48</v>
      </c>
      <c r="B49" s="50" t="s">
        <v>16</v>
      </c>
      <c r="C49" s="51" t="s">
        <v>1083</v>
      </c>
      <c r="D49" s="52" t="s">
        <v>35</v>
      </c>
      <c r="E49" s="52" t="s">
        <v>22</v>
      </c>
      <c r="F49" s="53">
        <v>352149875331653</v>
      </c>
      <c r="G49" s="52"/>
      <c r="H49" s="54">
        <v>45783</v>
      </c>
      <c r="I49" s="55">
        <v>550</v>
      </c>
      <c r="J49" s="55"/>
      <c r="K49" s="54">
        <v>45784</v>
      </c>
      <c r="L49" s="72">
        <f>Таблица3[[#This Row],[OLINGAN NARXI $]]+Таблица3[[#This Row],[RASXOD]]</f>
        <v>60</v>
      </c>
      <c r="M49" s="55">
        <v>600</v>
      </c>
      <c r="N49" s="72">
        <v>50</v>
      </c>
      <c r="O49" s="51" t="s">
        <v>1170</v>
      </c>
    </row>
    <row r="50" spans="1:15" s="105" customFormat="1" x14ac:dyDescent="0.3">
      <c r="A50" s="112">
        <v>49</v>
      </c>
      <c r="B50" s="100" t="s">
        <v>13</v>
      </c>
      <c r="C50" s="101" t="s">
        <v>1171</v>
      </c>
      <c r="D50" s="102" t="s">
        <v>21</v>
      </c>
      <c r="E50" s="102" t="s">
        <v>22</v>
      </c>
      <c r="F50" s="10">
        <v>351959931253647</v>
      </c>
      <c r="G50" s="102"/>
      <c r="H50" s="103">
        <v>45783</v>
      </c>
      <c r="I50" s="26">
        <v>250</v>
      </c>
      <c r="J50" s="26"/>
      <c r="K50" s="103">
        <v>45784</v>
      </c>
      <c r="L50" s="104">
        <f>Таблица3[[#This Row],[OLINGAN NARXI $]]+Таблица3[[#This Row],[RASXOD]]</f>
        <v>120</v>
      </c>
      <c r="M50" s="26">
        <v>273</v>
      </c>
      <c r="N50" s="26">
        <v>23</v>
      </c>
      <c r="O50" s="101" t="s">
        <v>1172</v>
      </c>
    </row>
    <row r="51" spans="1:15" s="83" customFormat="1" x14ac:dyDescent="0.3">
      <c r="A51" s="112">
        <v>50</v>
      </c>
      <c r="B51" s="76" t="s">
        <v>16</v>
      </c>
      <c r="C51" s="77" t="s">
        <v>74</v>
      </c>
      <c r="D51" s="78" t="s">
        <v>18</v>
      </c>
      <c r="E51" s="78" t="s">
        <v>22</v>
      </c>
      <c r="F51" s="79">
        <v>354606982233088</v>
      </c>
      <c r="G51" s="78"/>
      <c r="H51" s="80">
        <v>45782</v>
      </c>
      <c r="I51" s="81">
        <v>520</v>
      </c>
      <c r="J51" s="81"/>
      <c r="K51" s="80">
        <v>45784</v>
      </c>
      <c r="L51" s="82">
        <f>Таблица3[[#This Row],[OLINGAN NARXI $]]+Таблица3[[#This Row],[RASXOD]]</f>
        <v>380</v>
      </c>
      <c r="M51" s="81">
        <v>600</v>
      </c>
      <c r="N51" s="81">
        <v>80</v>
      </c>
      <c r="O51" s="77" t="s">
        <v>1167</v>
      </c>
    </row>
    <row r="52" spans="1:15" s="105" customFormat="1" x14ac:dyDescent="0.3">
      <c r="A52" s="112">
        <v>51</v>
      </c>
      <c r="B52" s="100" t="s">
        <v>16</v>
      </c>
      <c r="C52" s="101" t="s">
        <v>32</v>
      </c>
      <c r="D52" s="102" t="s">
        <v>21</v>
      </c>
      <c r="E52" s="102" t="s">
        <v>22</v>
      </c>
      <c r="F52" s="10">
        <v>353884193025384</v>
      </c>
      <c r="G52" s="102"/>
      <c r="H52" s="103">
        <v>45563</v>
      </c>
      <c r="I52" s="26">
        <v>760</v>
      </c>
      <c r="J52" s="26"/>
      <c r="K52" s="103">
        <v>45784</v>
      </c>
      <c r="L52" s="104">
        <f>Таблица3[[#This Row],[OLINGAN NARXI $]]+Таблица3[[#This Row],[RASXOD]]</f>
        <v>635</v>
      </c>
      <c r="M52" s="26">
        <v>760</v>
      </c>
      <c r="N52" s="104">
        <v>0</v>
      </c>
      <c r="O52" s="101" t="s">
        <v>33</v>
      </c>
    </row>
    <row r="53" spans="1:15" s="105" customFormat="1" x14ac:dyDescent="0.3">
      <c r="A53" s="112">
        <v>52</v>
      </c>
      <c r="B53" s="100" t="s">
        <v>207</v>
      </c>
      <c r="C53" s="101" t="s">
        <v>752</v>
      </c>
      <c r="D53" s="102"/>
      <c r="E53" s="102"/>
      <c r="F53" s="10"/>
      <c r="G53" s="102"/>
      <c r="H53" s="103">
        <v>45696</v>
      </c>
      <c r="I53" s="26">
        <v>385</v>
      </c>
      <c r="J53" s="26"/>
      <c r="K53" s="103">
        <v>45784</v>
      </c>
      <c r="L53" s="104">
        <f>Таблица3[[#This Row],[OLINGAN NARXI $]]+Таблица3[[#This Row],[RASXOD]]</f>
        <v>1185</v>
      </c>
      <c r="M53" s="26">
        <v>430</v>
      </c>
      <c r="N53" s="104">
        <v>45</v>
      </c>
      <c r="O53" s="101" t="s">
        <v>262</v>
      </c>
    </row>
    <row r="54" spans="1:15" s="56" customFormat="1" x14ac:dyDescent="0.3">
      <c r="A54" s="112">
        <v>53</v>
      </c>
      <c r="B54" s="50" t="s">
        <v>16</v>
      </c>
      <c r="C54" s="51" t="s">
        <v>81</v>
      </c>
      <c r="D54" s="52" t="s">
        <v>21</v>
      </c>
      <c r="E54" s="52" t="s">
        <v>22</v>
      </c>
      <c r="F54" s="53">
        <v>354509712396698</v>
      </c>
      <c r="G54" s="52"/>
      <c r="H54" s="54">
        <v>45774</v>
      </c>
      <c r="I54" s="55">
        <v>400</v>
      </c>
      <c r="J54" s="55"/>
      <c r="K54" s="54">
        <v>45784</v>
      </c>
      <c r="L54" s="72">
        <f>Таблица3[[#This Row],[OLINGAN NARXI $]]+Таблица3[[#This Row],[RASXOD]]</f>
        <v>156</v>
      </c>
      <c r="M54" s="55">
        <v>470</v>
      </c>
      <c r="N54" s="55">
        <v>70</v>
      </c>
      <c r="O54" s="51" t="s">
        <v>1112</v>
      </c>
    </row>
    <row r="55" spans="1:15" s="105" customFormat="1" x14ac:dyDescent="0.3">
      <c r="A55" s="112">
        <v>54</v>
      </c>
      <c r="B55" s="100" t="s">
        <v>16</v>
      </c>
      <c r="C55" s="101" t="s">
        <v>418</v>
      </c>
      <c r="D55" s="102" t="s">
        <v>18</v>
      </c>
      <c r="E55" s="102" t="s">
        <v>22</v>
      </c>
      <c r="F55" s="10">
        <v>359242353969034</v>
      </c>
      <c r="G55" s="102"/>
      <c r="H55" s="103">
        <v>45768</v>
      </c>
      <c r="I55" s="26">
        <v>975</v>
      </c>
      <c r="J55" s="26"/>
      <c r="K55" s="103">
        <v>45784</v>
      </c>
      <c r="L55" s="104">
        <f>Таблица3[[#This Row],[OLINGAN NARXI $]]+Таблица3[[#This Row],[RASXOD]]</f>
        <v>1030</v>
      </c>
      <c r="M55" s="26">
        <v>1030</v>
      </c>
      <c r="N55" s="26">
        <v>55</v>
      </c>
      <c r="O55" s="101" t="s">
        <v>147</v>
      </c>
    </row>
    <row r="56" spans="1:15" s="83" customFormat="1" x14ac:dyDescent="0.3">
      <c r="A56" s="112">
        <v>55</v>
      </c>
      <c r="B56" s="76" t="s">
        <v>16</v>
      </c>
      <c r="C56" s="77" t="s">
        <v>1000</v>
      </c>
      <c r="D56" s="78" t="s">
        <v>21</v>
      </c>
      <c r="E56" s="78" t="s">
        <v>22</v>
      </c>
      <c r="F56" s="79">
        <v>354614444707541</v>
      </c>
      <c r="G56" s="78"/>
      <c r="H56" s="80">
        <v>45763</v>
      </c>
      <c r="I56" s="81">
        <v>1030</v>
      </c>
      <c r="J56" s="81"/>
      <c r="K56" s="80">
        <v>45786</v>
      </c>
      <c r="L56" s="82">
        <f>Таблица3[[#This Row],[OLINGAN NARXI $]]+Таблица3[[#This Row],[RASXOD]]</f>
        <v>550</v>
      </c>
      <c r="M56" s="81">
        <v>1090</v>
      </c>
      <c r="N56" s="81">
        <v>60</v>
      </c>
      <c r="O56" s="77" t="s">
        <v>912</v>
      </c>
    </row>
    <row r="57" spans="1:15" s="83" customFormat="1" x14ac:dyDescent="0.3">
      <c r="A57" s="112">
        <v>56</v>
      </c>
      <c r="B57" s="76" t="s">
        <v>207</v>
      </c>
      <c r="C57" s="77" t="s">
        <v>437</v>
      </c>
      <c r="D57" s="78" t="s">
        <v>21</v>
      </c>
      <c r="E57" s="78" t="s">
        <v>22</v>
      </c>
      <c r="F57" s="79"/>
      <c r="G57" s="78"/>
      <c r="H57" s="80">
        <v>45786</v>
      </c>
      <c r="I57" s="81"/>
      <c r="J57" s="81"/>
      <c r="K57" s="80"/>
      <c r="L57" s="82">
        <f>Таблица3758910[[#This Row],[OLINGAN NARXI $]]+Таблица3758910[[#This Row],[RASXOD]]</f>
        <v>0</v>
      </c>
      <c r="M57" s="81"/>
      <c r="N57" s="81">
        <v>25</v>
      </c>
      <c r="O57" s="77"/>
    </row>
    <row r="58" spans="1:15" s="83" customFormat="1" x14ac:dyDescent="0.3">
      <c r="A58" s="112">
        <v>57</v>
      </c>
      <c r="B58" s="76" t="s">
        <v>13</v>
      </c>
      <c r="C58" s="77" t="s">
        <v>982</v>
      </c>
      <c r="D58" s="78" t="s">
        <v>97</v>
      </c>
      <c r="E58" s="78" t="s">
        <v>15</v>
      </c>
      <c r="F58" s="79">
        <v>352659956344029</v>
      </c>
      <c r="G58" s="78"/>
      <c r="H58" s="80">
        <v>45750</v>
      </c>
      <c r="I58" s="81">
        <v>110</v>
      </c>
      <c r="J58" s="81">
        <v>27</v>
      </c>
      <c r="K58" s="80">
        <v>45786</v>
      </c>
      <c r="L58" s="82">
        <f>Таблица3[[#This Row],[OLINGAN NARXI $]]+Таблица3[[#This Row],[RASXOD]]</f>
        <v>394.16</v>
      </c>
      <c r="M58" s="81">
        <v>180</v>
      </c>
      <c r="N58" s="81">
        <v>43</v>
      </c>
      <c r="O58" s="77" t="s">
        <v>983</v>
      </c>
    </row>
    <row r="59" spans="1:15" s="56" customFormat="1" x14ac:dyDescent="0.3">
      <c r="A59" s="112">
        <v>58</v>
      </c>
      <c r="B59" s="50" t="s">
        <v>16</v>
      </c>
      <c r="C59" s="51" t="s">
        <v>1000</v>
      </c>
      <c r="D59" s="52" t="s">
        <v>583</v>
      </c>
      <c r="E59" s="52" t="s">
        <v>22</v>
      </c>
      <c r="F59" s="53">
        <v>352913650753799</v>
      </c>
      <c r="G59" s="52"/>
      <c r="H59" s="54">
        <v>45784</v>
      </c>
      <c r="I59" s="55">
        <v>1090</v>
      </c>
      <c r="J59" s="55"/>
      <c r="K59" s="54">
        <v>45786</v>
      </c>
      <c r="L59" s="72">
        <f>Таблица3[[#This Row],[OLINGAN NARXI $]]+Таблица3[[#This Row],[RASXOD]]</f>
        <v>270</v>
      </c>
      <c r="M59" s="55">
        <v>1120</v>
      </c>
      <c r="N59" s="55">
        <v>30</v>
      </c>
      <c r="O59" s="51" t="s">
        <v>1062</v>
      </c>
    </row>
    <row r="60" spans="1:15" s="105" customFormat="1" x14ac:dyDescent="0.3">
      <c r="A60" s="112">
        <v>59</v>
      </c>
      <c r="B60" s="100" t="s">
        <v>16</v>
      </c>
      <c r="C60" s="101" t="s">
        <v>132</v>
      </c>
      <c r="D60" s="102" t="s">
        <v>21</v>
      </c>
      <c r="E60" s="102" t="s">
        <v>22</v>
      </c>
      <c r="F60" s="10">
        <v>353669753705537</v>
      </c>
      <c r="G60" s="102"/>
      <c r="H60" s="103">
        <v>45784</v>
      </c>
      <c r="I60" s="26">
        <v>200</v>
      </c>
      <c r="J60" s="26"/>
      <c r="K60" s="103">
        <v>45786</v>
      </c>
      <c r="L60" s="104">
        <f>Таблица3[[#This Row],[OLINGAN NARXI $]]+Таблица3[[#This Row],[RASXOD]]</f>
        <v>135</v>
      </c>
      <c r="M60" s="26">
        <v>255</v>
      </c>
      <c r="N60" s="26">
        <v>55</v>
      </c>
      <c r="O60" s="101" t="s">
        <v>1180</v>
      </c>
    </row>
    <row r="61" spans="1:15" s="99" customFormat="1" x14ac:dyDescent="0.3">
      <c r="A61" s="112">
        <v>60</v>
      </c>
      <c r="B61" s="92" t="s">
        <v>16</v>
      </c>
      <c r="C61" s="93" t="s">
        <v>703</v>
      </c>
      <c r="D61" s="94" t="s">
        <v>65</v>
      </c>
      <c r="E61" s="94" t="s">
        <v>22</v>
      </c>
      <c r="F61" s="95">
        <v>2451</v>
      </c>
      <c r="G61" s="94"/>
      <c r="H61" s="96"/>
      <c r="I61" s="97">
        <v>550</v>
      </c>
      <c r="J61" s="97"/>
      <c r="K61" s="96">
        <v>45786</v>
      </c>
      <c r="L61" s="98">
        <f>Таблица3[[#This Row],[OLINGAN NARXI $]]+Таблица3[[#This Row],[RASXOD]]</f>
        <v>60</v>
      </c>
      <c r="M61" s="97">
        <v>600</v>
      </c>
      <c r="N61" s="98">
        <v>50</v>
      </c>
      <c r="O61" s="93"/>
    </row>
    <row r="62" spans="1:15" s="83" customFormat="1" x14ac:dyDescent="0.3">
      <c r="A62" s="112">
        <v>61</v>
      </c>
      <c r="B62" s="76" t="s">
        <v>13</v>
      </c>
      <c r="C62" s="77" t="s">
        <v>124</v>
      </c>
      <c r="D62" s="78" t="s">
        <v>295</v>
      </c>
      <c r="E62" s="78" t="s">
        <v>15</v>
      </c>
      <c r="F62" s="79">
        <v>355857117911663</v>
      </c>
      <c r="G62" s="78"/>
      <c r="H62" s="80">
        <v>45779</v>
      </c>
      <c r="I62" s="81">
        <v>250</v>
      </c>
      <c r="J62" s="81"/>
      <c r="K62" s="80">
        <v>45786</v>
      </c>
      <c r="L62" s="82">
        <f>Таблица3[[#This Row],[OLINGAN NARXI $]]+Таблица3[[#This Row],[RASXOD]]</f>
        <v>172.7</v>
      </c>
      <c r="M62" s="81">
        <v>300</v>
      </c>
      <c r="N62" s="81">
        <v>50</v>
      </c>
      <c r="O62" s="77" t="s">
        <v>19</v>
      </c>
    </row>
    <row r="63" spans="1:15" s="99" customFormat="1" x14ac:dyDescent="0.3">
      <c r="A63" s="112">
        <v>62</v>
      </c>
      <c r="B63" s="92" t="s">
        <v>16</v>
      </c>
      <c r="C63" s="93" t="s">
        <v>34</v>
      </c>
      <c r="D63" s="94" t="s">
        <v>35</v>
      </c>
      <c r="E63" s="94" t="s">
        <v>15</v>
      </c>
      <c r="F63" s="95">
        <v>358547329276818</v>
      </c>
      <c r="G63" s="94"/>
      <c r="H63" s="96">
        <v>45562</v>
      </c>
      <c r="I63" s="97">
        <v>730</v>
      </c>
      <c r="J63" s="97">
        <v>9</v>
      </c>
      <c r="K63" s="96">
        <v>45786</v>
      </c>
      <c r="L63" s="98">
        <f>Таблица3[[#This Row],[OLINGAN NARXI $]]+Таблица3[[#This Row],[RASXOD]]</f>
        <v>164.7</v>
      </c>
      <c r="M63" s="97">
        <v>700</v>
      </c>
      <c r="N63" s="98">
        <v>-39</v>
      </c>
      <c r="O63" s="93" t="s">
        <v>29</v>
      </c>
    </row>
    <row r="64" spans="1:15" s="99" customFormat="1" x14ac:dyDescent="0.3">
      <c r="A64" s="112">
        <v>63</v>
      </c>
      <c r="B64" s="92" t="s">
        <v>16</v>
      </c>
      <c r="C64" s="93" t="s">
        <v>312</v>
      </c>
      <c r="D64" s="94" t="s">
        <v>45</v>
      </c>
      <c r="E64" s="94" t="s">
        <v>15</v>
      </c>
      <c r="F64" s="95">
        <v>359811267253471</v>
      </c>
      <c r="G64" s="94"/>
      <c r="H64" s="96">
        <v>45779</v>
      </c>
      <c r="I64" s="97">
        <v>509</v>
      </c>
      <c r="J64" s="97"/>
      <c r="K64" s="96">
        <v>45786</v>
      </c>
      <c r="L64" s="98">
        <f>Таблица3[[#This Row],[OLINGAN NARXI $]]+Таблица3[[#This Row],[RASXOD]]</f>
        <v>164.7</v>
      </c>
      <c r="M64" s="97">
        <v>590</v>
      </c>
      <c r="N64" s="97">
        <v>81</v>
      </c>
      <c r="O64" s="93" t="s">
        <v>1140</v>
      </c>
    </row>
    <row r="65" spans="1:15" s="99" customFormat="1" x14ac:dyDescent="0.3">
      <c r="A65" s="112">
        <v>64</v>
      </c>
      <c r="B65" s="92" t="s">
        <v>16</v>
      </c>
      <c r="C65" s="93" t="s">
        <v>88</v>
      </c>
      <c r="D65" s="94" t="s">
        <v>89</v>
      </c>
      <c r="E65" s="94" t="s">
        <v>15</v>
      </c>
      <c r="F65" s="95">
        <v>358288943388115</v>
      </c>
      <c r="G65" s="94"/>
      <c r="H65" s="96">
        <v>45562</v>
      </c>
      <c r="I65" s="97">
        <v>370</v>
      </c>
      <c r="J65" s="97"/>
      <c r="K65" s="96">
        <v>45786</v>
      </c>
      <c r="L65" s="98">
        <f>Таблица3[[#This Row],[OLINGAN NARXI $]]+Таблица3[[#This Row],[RASXOD]]</f>
        <v>1100</v>
      </c>
      <c r="M65" s="97">
        <v>350</v>
      </c>
      <c r="N65" s="98">
        <v>-20</v>
      </c>
      <c r="O65" s="93" t="s">
        <v>90</v>
      </c>
    </row>
    <row r="66" spans="1:15" s="99" customFormat="1" x14ac:dyDescent="0.3">
      <c r="A66" s="112">
        <v>65</v>
      </c>
      <c r="B66" s="92" t="s">
        <v>16</v>
      </c>
      <c r="C66" s="93" t="s">
        <v>88</v>
      </c>
      <c r="D66" s="94" t="s">
        <v>21</v>
      </c>
      <c r="E66" s="94" t="s">
        <v>15</v>
      </c>
      <c r="F66" s="95">
        <v>355602546630249</v>
      </c>
      <c r="G66" s="94"/>
      <c r="H66" s="96">
        <v>45773</v>
      </c>
      <c r="I66" s="97">
        <v>350</v>
      </c>
      <c r="J66" s="97"/>
      <c r="K66" s="96">
        <v>45786</v>
      </c>
      <c r="L66" s="98">
        <f>Таблица3[[#This Row],[OLINGAN NARXI $]]+Таблица3[[#This Row],[RASXOD]]</f>
        <v>1200</v>
      </c>
      <c r="M66" s="97">
        <v>450</v>
      </c>
      <c r="N66" s="97">
        <v>100</v>
      </c>
      <c r="O66" s="93" t="s">
        <v>147</v>
      </c>
    </row>
    <row r="67" spans="1:15" s="105" customFormat="1" x14ac:dyDescent="0.3">
      <c r="A67" s="112">
        <v>66</v>
      </c>
      <c r="B67" s="100" t="s">
        <v>1077</v>
      </c>
      <c r="C67" s="101" t="s">
        <v>1078</v>
      </c>
      <c r="D67" s="102" t="s">
        <v>21</v>
      </c>
      <c r="E67" s="102" t="s">
        <v>15</v>
      </c>
      <c r="F67" s="10">
        <v>862536043101039</v>
      </c>
      <c r="G67" s="102" t="s">
        <v>1079</v>
      </c>
      <c r="H67" s="103">
        <v>45769</v>
      </c>
      <c r="I67" s="26">
        <v>50</v>
      </c>
      <c r="J67" s="26"/>
      <c r="K67" s="103">
        <v>45787</v>
      </c>
      <c r="L67" s="104">
        <f>Таблица3[[#This Row],[OLINGAN NARXI $]]+Таблица3[[#This Row],[RASXOD]]</f>
        <v>210</v>
      </c>
      <c r="M67" s="26">
        <v>110</v>
      </c>
      <c r="N67" s="26">
        <v>60</v>
      </c>
      <c r="O67" s="101" t="s">
        <v>1080</v>
      </c>
    </row>
    <row r="68" spans="1:15" s="105" customFormat="1" x14ac:dyDescent="0.3">
      <c r="A68" s="112">
        <v>67</v>
      </c>
      <c r="B68" s="100" t="s">
        <v>207</v>
      </c>
      <c r="C68" s="101" t="s">
        <v>788</v>
      </c>
      <c r="D68" s="102" t="s">
        <v>991</v>
      </c>
      <c r="E68" s="102" t="s">
        <v>22</v>
      </c>
      <c r="F68" s="10"/>
      <c r="G68" s="102"/>
      <c r="H68" s="103">
        <v>45751</v>
      </c>
      <c r="I68" s="26">
        <v>370</v>
      </c>
      <c r="J68" s="26"/>
      <c r="K68" s="103">
        <v>45787</v>
      </c>
      <c r="L68" s="104">
        <f>Таблица3[[#This Row],[OLINGAN NARXI $]]+Таблица3[[#This Row],[RASXOD]]</f>
        <v>570</v>
      </c>
      <c r="M68" s="26">
        <v>425</v>
      </c>
      <c r="N68" s="26">
        <v>55</v>
      </c>
      <c r="O68" s="101" t="s">
        <v>992</v>
      </c>
    </row>
    <row r="69" spans="1:15" s="105" customFormat="1" x14ac:dyDescent="0.3">
      <c r="A69" s="112">
        <v>68</v>
      </c>
      <c r="B69" s="100" t="s">
        <v>16</v>
      </c>
      <c r="C69" s="101" t="s">
        <v>132</v>
      </c>
      <c r="D69" s="102" t="s">
        <v>65</v>
      </c>
      <c r="E69" s="102" t="s">
        <v>15</v>
      </c>
      <c r="F69" s="10">
        <v>353920960680744</v>
      </c>
      <c r="G69" s="102"/>
      <c r="H69" s="103">
        <v>45778</v>
      </c>
      <c r="I69" s="26">
        <v>210</v>
      </c>
      <c r="J69" s="26"/>
      <c r="K69" s="103">
        <v>45787</v>
      </c>
      <c r="L69" s="104">
        <f>Таблица3[[#This Row],[OLINGAN NARXI $]]+Таблица3[[#This Row],[RASXOD]]</f>
        <v>850</v>
      </c>
      <c r="M69" s="26">
        <v>262</v>
      </c>
      <c r="N69" s="26">
        <v>52</v>
      </c>
      <c r="O69" s="101" t="s">
        <v>1141</v>
      </c>
    </row>
    <row r="70" spans="1:15" s="105" customFormat="1" x14ac:dyDescent="0.3">
      <c r="A70" s="112">
        <v>69</v>
      </c>
      <c r="B70" s="100" t="s">
        <v>16</v>
      </c>
      <c r="C70" s="101" t="s">
        <v>74</v>
      </c>
      <c r="D70" s="102" t="s">
        <v>35</v>
      </c>
      <c r="E70" s="102" t="s">
        <v>22</v>
      </c>
      <c r="F70" s="10">
        <v>355780872060007</v>
      </c>
      <c r="G70" s="102"/>
      <c r="H70" s="103">
        <v>45783</v>
      </c>
      <c r="I70" s="26">
        <v>540</v>
      </c>
      <c r="J70" s="26"/>
      <c r="K70" s="103">
        <v>45787</v>
      </c>
      <c r="L70" s="104">
        <f>Таблица3[[#This Row],[OLINGAN NARXI $]]+Таблица3[[#This Row],[RASXOD]]</f>
        <v>550</v>
      </c>
      <c r="M70" s="26">
        <v>600</v>
      </c>
      <c r="N70" s="26">
        <v>60</v>
      </c>
      <c r="O70" s="101" t="s">
        <v>1169</v>
      </c>
    </row>
    <row r="71" spans="1:15" s="83" customFormat="1" x14ac:dyDescent="0.3">
      <c r="A71" s="112">
        <v>70</v>
      </c>
      <c r="B71" s="76" t="s">
        <v>16</v>
      </c>
      <c r="C71" s="77" t="s">
        <v>157</v>
      </c>
      <c r="D71" s="78" t="s">
        <v>45</v>
      </c>
      <c r="E71" s="78" t="s">
        <v>15</v>
      </c>
      <c r="F71" s="79">
        <v>356403873881276</v>
      </c>
      <c r="G71" s="78"/>
      <c r="H71" s="80">
        <v>45780</v>
      </c>
      <c r="I71" s="81">
        <v>290</v>
      </c>
      <c r="J71" s="81"/>
      <c r="K71" s="80">
        <v>45787</v>
      </c>
      <c r="L71" s="82">
        <f>Таблица3[[#This Row],[OLINGAN NARXI $]]+Таблица3[[#This Row],[RASXOD]]</f>
        <v>720</v>
      </c>
      <c r="M71" s="81">
        <v>350</v>
      </c>
      <c r="N71" s="81">
        <v>60</v>
      </c>
      <c r="O71" s="77" t="s">
        <v>19</v>
      </c>
    </row>
    <row r="72" spans="1:15" s="99" customFormat="1" x14ac:dyDescent="0.3">
      <c r="A72" s="112">
        <v>71</v>
      </c>
      <c r="B72" s="92" t="s">
        <v>16</v>
      </c>
      <c r="C72" s="93" t="s">
        <v>312</v>
      </c>
      <c r="D72" s="94" t="s">
        <v>65</v>
      </c>
      <c r="E72" s="94" t="s">
        <v>22</v>
      </c>
      <c r="F72" s="95">
        <v>352653449829720</v>
      </c>
      <c r="G72" s="94"/>
      <c r="H72" s="96">
        <v>45770</v>
      </c>
      <c r="I72" s="97">
        <v>500</v>
      </c>
      <c r="J72" s="97"/>
      <c r="K72" s="96">
        <v>45787</v>
      </c>
      <c r="L72" s="98">
        <f>Таблица3[[#This Row],[OLINGAN NARXI $]]+Таблица3[[#This Row],[RASXOD]]</f>
        <v>464</v>
      </c>
      <c r="M72" s="97">
        <v>569</v>
      </c>
      <c r="N72" s="97">
        <v>69</v>
      </c>
      <c r="O72" s="93" t="s">
        <v>1092</v>
      </c>
    </row>
    <row r="73" spans="1:15" s="83" customFormat="1" x14ac:dyDescent="0.3">
      <c r="A73" s="112">
        <v>72</v>
      </c>
      <c r="B73" s="76" t="s">
        <v>16</v>
      </c>
      <c r="C73" s="77" t="s">
        <v>452</v>
      </c>
      <c r="D73" s="78" t="s">
        <v>18</v>
      </c>
      <c r="E73" s="78" t="s">
        <v>15</v>
      </c>
      <c r="F73" s="79">
        <v>352682659120553</v>
      </c>
      <c r="G73" s="78"/>
      <c r="H73" s="80">
        <v>45757</v>
      </c>
      <c r="I73" s="81">
        <v>230</v>
      </c>
      <c r="J73" s="81"/>
      <c r="K73" s="80">
        <v>45787</v>
      </c>
      <c r="L73" s="82">
        <f>Таблица3[[#This Row],[OLINGAN NARXI $]]+Таблица3[[#This Row],[RASXOD]]</f>
        <v>330</v>
      </c>
      <c r="M73" s="81">
        <v>269</v>
      </c>
      <c r="N73" s="81">
        <v>39</v>
      </c>
      <c r="O73" s="77" t="s">
        <v>19</v>
      </c>
    </row>
    <row r="74" spans="1:15" s="56" customFormat="1" x14ac:dyDescent="0.3">
      <c r="A74" s="112">
        <v>73</v>
      </c>
      <c r="B74" s="50" t="s">
        <v>16</v>
      </c>
      <c r="C74" s="51" t="s">
        <v>672</v>
      </c>
      <c r="D74" s="52" t="s">
        <v>187</v>
      </c>
      <c r="E74" s="52" t="s">
        <v>15</v>
      </c>
      <c r="F74" s="53">
        <v>353022115010594</v>
      </c>
      <c r="G74" s="52"/>
      <c r="H74" s="54">
        <v>45649</v>
      </c>
      <c r="I74" s="55">
        <v>160</v>
      </c>
      <c r="J74" s="55"/>
      <c r="K74" s="54">
        <v>45787</v>
      </c>
      <c r="L74" s="72">
        <f>Таблица3[[#This Row],[OLINGAN NARXI $]]+Таблица3[[#This Row],[RASXOD]]</f>
        <v>565</v>
      </c>
      <c r="M74" s="55">
        <v>190</v>
      </c>
      <c r="N74" s="72">
        <v>30</v>
      </c>
      <c r="O74" s="51" t="s">
        <v>673</v>
      </c>
    </row>
    <row r="75" spans="1:15" s="83" customFormat="1" x14ac:dyDescent="0.3">
      <c r="A75" s="112">
        <v>74</v>
      </c>
      <c r="B75" s="76" t="s">
        <v>16</v>
      </c>
      <c r="C75" s="77" t="s">
        <v>173</v>
      </c>
      <c r="D75" s="78" t="s">
        <v>21</v>
      </c>
      <c r="E75" s="78" t="s">
        <v>15</v>
      </c>
      <c r="F75" s="79">
        <v>354851095356992</v>
      </c>
      <c r="G75" s="78"/>
      <c r="H75" s="80">
        <v>45784</v>
      </c>
      <c r="I75" s="81">
        <v>110</v>
      </c>
      <c r="J75" s="81"/>
      <c r="K75" s="80">
        <v>45787</v>
      </c>
      <c r="L75" s="82">
        <f>Таблица3[[#This Row],[OLINGAN NARXI $]]+Таблица3[[#This Row],[RASXOD]]</f>
        <v>550</v>
      </c>
      <c r="M75" s="81">
        <v>150</v>
      </c>
      <c r="N75" s="81">
        <v>40</v>
      </c>
      <c r="O75" s="77" t="s">
        <v>1175</v>
      </c>
    </row>
    <row r="76" spans="1:15" s="99" customFormat="1" x14ac:dyDescent="0.3">
      <c r="A76" s="112">
        <v>75</v>
      </c>
      <c r="B76" s="92" t="s">
        <v>13</v>
      </c>
      <c r="C76" s="93" t="s">
        <v>563</v>
      </c>
      <c r="D76" s="94" t="s">
        <v>18</v>
      </c>
      <c r="E76" s="94" t="s">
        <v>15</v>
      </c>
      <c r="F76" s="95">
        <v>358725361289309</v>
      </c>
      <c r="G76" s="94"/>
      <c r="H76" s="96">
        <v>45654</v>
      </c>
      <c r="I76" s="97">
        <v>390</v>
      </c>
      <c r="J76" s="97"/>
      <c r="K76" s="96">
        <v>45787</v>
      </c>
      <c r="L76" s="98">
        <f>Таблица3[[#This Row],[OLINGAN NARXI $]]+Таблица3[[#This Row],[RASXOD]]</f>
        <v>330</v>
      </c>
      <c r="M76" s="97">
        <v>410</v>
      </c>
      <c r="N76" s="98">
        <v>20</v>
      </c>
      <c r="O76" s="93" t="s">
        <v>19</v>
      </c>
    </row>
    <row r="77" spans="1:15" s="83" customFormat="1" x14ac:dyDescent="0.3">
      <c r="A77" s="112">
        <v>76</v>
      </c>
      <c r="B77" s="76" t="s">
        <v>16</v>
      </c>
      <c r="C77" s="77" t="s">
        <v>1083</v>
      </c>
      <c r="D77" s="78" t="s">
        <v>35</v>
      </c>
      <c r="E77" s="78" t="s">
        <v>15</v>
      </c>
      <c r="F77" s="79">
        <v>350056593632357</v>
      </c>
      <c r="G77" s="78"/>
      <c r="H77" s="80">
        <v>45786</v>
      </c>
      <c r="I77" s="81">
        <v>570</v>
      </c>
      <c r="J77" s="81"/>
      <c r="K77" s="80">
        <v>45788</v>
      </c>
      <c r="L77" s="82">
        <f>Таблица3[[#This Row],[OLINGAN NARXI $]]+Таблица3[[#This Row],[RASXOD]]</f>
        <v>160</v>
      </c>
      <c r="M77" s="81">
        <v>620</v>
      </c>
      <c r="N77" s="81">
        <v>50</v>
      </c>
      <c r="O77" s="77" t="s">
        <v>1185</v>
      </c>
    </row>
    <row r="78" spans="1:15" s="83" customFormat="1" x14ac:dyDescent="0.3">
      <c r="A78" s="112">
        <v>77</v>
      </c>
      <c r="B78" s="76" t="s">
        <v>13</v>
      </c>
      <c r="C78" s="77" t="s">
        <v>502</v>
      </c>
      <c r="D78" s="78" t="s">
        <v>97</v>
      </c>
      <c r="E78" s="78" t="s">
        <v>22</v>
      </c>
      <c r="F78" s="79">
        <v>355157580628435</v>
      </c>
      <c r="G78" s="78"/>
      <c r="H78" s="80">
        <v>45780</v>
      </c>
      <c r="I78" s="81">
        <v>450</v>
      </c>
      <c r="J78" s="81"/>
      <c r="K78" s="80">
        <v>45788</v>
      </c>
      <c r="L78" s="82">
        <f>Таблица3[[#This Row],[OLINGAN NARXI $]]+Таблица3[[#This Row],[RASXOD]]</f>
        <v>450</v>
      </c>
      <c r="M78" s="81">
        <v>500</v>
      </c>
      <c r="N78" s="81">
        <v>50</v>
      </c>
      <c r="O78" s="77" t="s">
        <v>1143</v>
      </c>
    </row>
    <row r="79" spans="1:15" s="83" customFormat="1" x14ac:dyDescent="0.3">
      <c r="A79" s="112">
        <v>78</v>
      </c>
      <c r="B79" s="76" t="s">
        <v>16</v>
      </c>
      <c r="C79" s="77" t="s">
        <v>74</v>
      </c>
      <c r="D79" s="78" t="s">
        <v>35</v>
      </c>
      <c r="E79" s="78" t="s">
        <v>15</v>
      </c>
      <c r="F79" s="79">
        <v>358849707366991</v>
      </c>
      <c r="G79" s="78"/>
      <c r="H79" s="80">
        <v>45566</v>
      </c>
      <c r="I79" s="81">
        <v>645</v>
      </c>
      <c r="J79" s="81">
        <v>12</v>
      </c>
      <c r="K79" s="80">
        <v>45788</v>
      </c>
      <c r="L79" s="82">
        <v>657</v>
      </c>
      <c r="M79" s="81">
        <v>570</v>
      </c>
      <c r="N79" s="82">
        <v>-87</v>
      </c>
      <c r="O79" s="77" t="s">
        <v>29</v>
      </c>
    </row>
    <row r="80" spans="1:15" s="105" customFormat="1" x14ac:dyDescent="0.3">
      <c r="A80" s="112">
        <v>79</v>
      </c>
      <c r="B80" s="100" t="s">
        <v>13</v>
      </c>
      <c r="C80" s="101" t="s">
        <v>749</v>
      </c>
      <c r="D80" s="102" t="s">
        <v>97</v>
      </c>
      <c r="E80" s="102" t="s">
        <v>22</v>
      </c>
      <c r="F80" s="10">
        <v>355418871001116</v>
      </c>
      <c r="G80" s="102"/>
      <c r="H80" s="103">
        <v>45672</v>
      </c>
      <c r="I80" s="26">
        <v>350</v>
      </c>
      <c r="J80" s="26"/>
      <c r="K80" s="103">
        <v>45788</v>
      </c>
      <c r="L80" s="104">
        <v>350</v>
      </c>
      <c r="M80" s="26">
        <v>390</v>
      </c>
      <c r="N80" s="104">
        <v>40</v>
      </c>
      <c r="O80" s="101" t="s">
        <v>750</v>
      </c>
    </row>
    <row r="81" spans="1:15" s="83" customFormat="1" x14ac:dyDescent="0.3">
      <c r="A81" s="112">
        <v>80</v>
      </c>
      <c r="B81" s="76" t="s">
        <v>16</v>
      </c>
      <c r="C81" s="77" t="s">
        <v>1000</v>
      </c>
      <c r="D81" s="78" t="s">
        <v>21</v>
      </c>
      <c r="E81" s="78" t="s">
        <v>22</v>
      </c>
      <c r="F81" s="79">
        <v>354267958982594</v>
      </c>
      <c r="G81" s="78"/>
      <c r="H81" s="80">
        <v>45763</v>
      </c>
      <c r="I81" s="81">
        <v>1070</v>
      </c>
      <c r="J81" s="81"/>
      <c r="K81" s="80">
        <v>45788</v>
      </c>
      <c r="L81" s="82">
        <v>1070</v>
      </c>
      <c r="M81" s="81">
        <v>1107</v>
      </c>
      <c r="N81" s="81">
        <v>37</v>
      </c>
      <c r="O81" s="77" t="s">
        <v>1051</v>
      </c>
    </row>
    <row r="82" spans="1:15" s="56" customFormat="1" x14ac:dyDescent="0.3">
      <c r="A82" s="112">
        <v>81</v>
      </c>
      <c r="B82" s="50" t="s">
        <v>16</v>
      </c>
      <c r="C82" s="51" t="s">
        <v>34</v>
      </c>
      <c r="D82" s="52" t="s">
        <v>21</v>
      </c>
      <c r="E82" s="52" t="s">
        <v>22</v>
      </c>
      <c r="F82" s="53">
        <v>352221366894067</v>
      </c>
      <c r="G82" s="52"/>
      <c r="H82" s="54">
        <v>45775</v>
      </c>
      <c r="I82" s="55">
        <v>600</v>
      </c>
      <c r="J82" s="55"/>
      <c r="K82" s="54">
        <v>45788</v>
      </c>
      <c r="L82" s="72">
        <v>600</v>
      </c>
      <c r="M82" s="55">
        <v>660</v>
      </c>
      <c r="N82" s="55">
        <v>60</v>
      </c>
      <c r="O82" s="51" t="s">
        <v>1118</v>
      </c>
    </row>
    <row r="83" spans="1:15" s="83" customFormat="1" x14ac:dyDescent="0.3">
      <c r="A83" s="112">
        <v>82</v>
      </c>
      <c r="B83" s="76" t="s">
        <v>16</v>
      </c>
      <c r="C83" s="77" t="s">
        <v>418</v>
      </c>
      <c r="D83" s="78" t="s">
        <v>21</v>
      </c>
      <c r="E83" s="78" t="s">
        <v>22</v>
      </c>
      <c r="F83" s="79">
        <v>354553643537376</v>
      </c>
      <c r="G83" s="78"/>
      <c r="H83" s="80">
        <v>45778</v>
      </c>
      <c r="I83" s="81">
        <v>850</v>
      </c>
      <c r="J83" s="81"/>
      <c r="K83" s="80">
        <v>45788</v>
      </c>
      <c r="L83" s="82">
        <v>850</v>
      </c>
      <c r="M83" s="81">
        <v>900</v>
      </c>
      <c r="N83" s="81">
        <v>50</v>
      </c>
      <c r="O83" s="77" t="s">
        <v>1136</v>
      </c>
    </row>
    <row r="84" spans="1:15" s="83" customFormat="1" x14ac:dyDescent="0.3">
      <c r="A84" s="112">
        <v>83</v>
      </c>
      <c r="B84" s="76" t="s">
        <v>16</v>
      </c>
      <c r="C84" s="77" t="s">
        <v>32</v>
      </c>
      <c r="D84" s="78" t="s">
        <v>21</v>
      </c>
      <c r="E84" s="78" t="s">
        <v>22</v>
      </c>
      <c r="F84" s="79">
        <v>357662981948520</v>
      </c>
      <c r="G84" s="78"/>
      <c r="H84" s="80">
        <v>45786</v>
      </c>
      <c r="I84" s="81">
        <v>660</v>
      </c>
      <c r="J84" s="81"/>
      <c r="K84" s="80">
        <v>45788</v>
      </c>
      <c r="L84" s="82">
        <v>660</v>
      </c>
      <c r="M84" s="81">
        <v>730</v>
      </c>
      <c r="N84" s="81">
        <v>70</v>
      </c>
      <c r="O84" s="77" t="s">
        <v>1184</v>
      </c>
    </row>
    <row r="85" spans="1:15" s="83" customFormat="1" x14ac:dyDescent="0.3">
      <c r="A85" s="112">
        <v>84</v>
      </c>
      <c r="B85" s="76" t="s">
        <v>16</v>
      </c>
      <c r="C85" s="77" t="s">
        <v>25</v>
      </c>
      <c r="D85" s="78" t="s">
        <v>26</v>
      </c>
      <c r="E85" s="78" t="s">
        <v>22</v>
      </c>
      <c r="F85" s="79">
        <v>356642158663335</v>
      </c>
      <c r="G85" s="78"/>
      <c r="H85" s="80">
        <v>45787</v>
      </c>
      <c r="I85" s="81">
        <v>810</v>
      </c>
      <c r="J85" s="81"/>
      <c r="K85" s="80">
        <v>45788</v>
      </c>
      <c r="L85" s="82">
        <v>810</v>
      </c>
      <c r="M85" s="81">
        <v>860</v>
      </c>
      <c r="N85" s="81">
        <v>50</v>
      </c>
      <c r="O85" s="77">
        <v>771521212</v>
      </c>
    </row>
    <row r="86" spans="1:15" s="83" customFormat="1" x14ac:dyDescent="0.3">
      <c r="A86" s="112">
        <v>85</v>
      </c>
      <c r="B86" s="76" t="s">
        <v>16</v>
      </c>
      <c r="C86" s="77" t="s">
        <v>418</v>
      </c>
      <c r="D86" s="78"/>
      <c r="E86" s="78"/>
      <c r="F86" s="79">
        <v>959</v>
      </c>
      <c r="G86" s="78"/>
      <c r="H86" s="80"/>
      <c r="I86" s="81"/>
      <c r="J86" s="81"/>
      <c r="K86" s="80">
        <v>45789</v>
      </c>
      <c r="L86" s="82">
        <f>Таблица3758910[[#This Row],[OLINGAN NARXI $]]+Таблица3758910[[#This Row],[RASXOD]]</f>
        <v>0</v>
      </c>
      <c r="M86" s="81"/>
      <c r="N86" s="81">
        <v>30</v>
      </c>
      <c r="O86" s="77"/>
    </row>
    <row r="87" spans="1:15" s="105" customFormat="1" x14ac:dyDescent="0.3">
      <c r="A87" s="112">
        <v>86</v>
      </c>
      <c r="B87" s="100" t="s">
        <v>16</v>
      </c>
      <c r="C87" s="101" t="s">
        <v>111</v>
      </c>
      <c r="D87" s="102" t="s">
        <v>18</v>
      </c>
      <c r="E87" s="102" t="s">
        <v>15</v>
      </c>
      <c r="F87" s="10">
        <v>350424814457147</v>
      </c>
      <c r="G87" s="102"/>
      <c r="H87" s="103">
        <v>45760</v>
      </c>
      <c r="I87" s="26">
        <v>203</v>
      </c>
      <c r="J87" s="26"/>
      <c r="K87" s="103">
        <v>45789</v>
      </c>
      <c r="L87" s="104">
        <v>203</v>
      </c>
      <c r="M87" s="26">
        <v>258</v>
      </c>
      <c r="N87" s="26">
        <v>55</v>
      </c>
      <c r="O87" s="101" t="s">
        <v>147</v>
      </c>
    </row>
    <row r="88" spans="1:15" s="56" customFormat="1" x14ac:dyDescent="0.3">
      <c r="A88" s="112">
        <v>87</v>
      </c>
      <c r="B88" s="50" t="s">
        <v>1077</v>
      </c>
      <c r="C88" s="51" t="s">
        <v>1102</v>
      </c>
      <c r="D88" s="52" t="s">
        <v>65</v>
      </c>
      <c r="E88" s="52" t="s">
        <v>22</v>
      </c>
      <c r="F88" s="53">
        <v>866380069585825</v>
      </c>
      <c r="G88" s="52"/>
      <c r="H88" s="54">
        <v>45772</v>
      </c>
      <c r="I88" s="55">
        <v>85</v>
      </c>
      <c r="J88" s="55"/>
      <c r="K88" s="54">
        <v>45789</v>
      </c>
      <c r="L88" s="72">
        <v>85</v>
      </c>
      <c r="M88" s="55">
        <v>115</v>
      </c>
      <c r="N88" s="55">
        <v>30</v>
      </c>
      <c r="O88" s="51" t="s">
        <v>1103</v>
      </c>
    </row>
    <row r="89" spans="1:15" s="83" customFormat="1" x14ac:dyDescent="0.3">
      <c r="A89" s="112">
        <v>88</v>
      </c>
      <c r="B89" s="76" t="s">
        <v>16</v>
      </c>
      <c r="C89" s="77" t="s">
        <v>132</v>
      </c>
      <c r="D89" s="78" t="s">
        <v>18</v>
      </c>
      <c r="E89" s="78" t="s">
        <v>15</v>
      </c>
      <c r="F89" s="79">
        <v>351672921408143</v>
      </c>
      <c r="G89" s="78"/>
      <c r="H89" s="80">
        <v>45780</v>
      </c>
      <c r="I89" s="81">
        <v>205</v>
      </c>
      <c r="J89" s="81"/>
      <c r="K89" s="80">
        <v>45789</v>
      </c>
      <c r="L89" s="82">
        <v>205</v>
      </c>
      <c r="M89" s="81">
        <v>254</v>
      </c>
      <c r="N89" s="81">
        <v>49</v>
      </c>
      <c r="O89" s="77" t="s">
        <v>1148</v>
      </c>
    </row>
    <row r="90" spans="1:15" s="105" customFormat="1" x14ac:dyDescent="0.3">
      <c r="A90" s="112">
        <v>89</v>
      </c>
      <c r="B90" s="100" t="s">
        <v>13</v>
      </c>
      <c r="C90" s="101" t="s">
        <v>1154</v>
      </c>
      <c r="D90" s="102" t="s">
        <v>97</v>
      </c>
      <c r="E90" s="102" t="s">
        <v>22</v>
      </c>
      <c r="F90" s="10">
        <v>350532454845734</v>
      </c>
      <c r="G90" s="102"/>
      <c r="H90" s="103">
        <v>45781</v>
      </c>
      <c r="I90" s="26">
        <v>84</v>
      </c>
      <c r="J90" s="26"/>
      <c r="K90" s="103">
        <v>45789</v>
      </c>
      <c r="L90" s="104">
        <v>84</v>
      </c>
      <c r="M90" s="26">
        <v>107</v>
      </c>
      <c r="N90" s="26">
        <v>23</v>
      </c>
      <c r="O90" s="101" t="s">
        <v>1153</v>
      </c>
    </row>
    <row r="91" spans="1:15" s="56" customFormat="1" x14ac:dyDescent="0.3">
      <c r="A91" s="112">
        <v>90</v>
      </c>
      <c r="B91" s="50" t="s">
        <v>16</v>
      </c>
      <c r="C91" s="51" t="s">
        <v>83</v>
      </c>
      <c r="D91" s="52" t="s">
        <v>21</v>
      </c>
      <c r="E91" s="52" t="s">
        <v>22</v>
      </c>
      <c r="F91" s="53">
        <v>352544477832142</v>
      </c>
      <c r="G91" s="52"/>
      <c r="H91" s="54">
        <v>45786</v>
      </c>
      <c r="I91" s="55">
        <v>450</v>
      </c>
      <c r="J91" s="55"/>
      <c r="K91" s="54">
        <v>45789</v>
      </c>
      <c r="L91" s="72">
        <v>450</v>
      </c>
      <c r="M91" s="55">
        <v>510</v>
      </c>
      <c r="N91" s="55">
        <v>60</v>
      </c>
      <c r="O91" s="51" t="s">
        <v>19</v>
      </c>
    </row>
    <row r="92" spans="1:15" s="83" customFormat="1" x14ac:dyDescent="0.3">
      <c r="A92" s="112">
        <v>91</v>
      </c>
      <c r="B92" s="76" t="s">
        <v>16</v>
      </c>
      <c r="C92" s="77" t="s">
        <v>173</v>
      </c>
      <c r="D92" s="78" t="s">
        <v>18</v>
      </c>
      <c r="E92" s="78" t="s">
        <v>15</v>
      </c>
      <c r="F92" s="79">
        <v>353041091395589</v>
      </c>
      <c r="G92" s="78" t="s">
        <v>1190</v>
      </c>
      <c r="H92" s="80">
        <v>45787</v>
      </c>
      <c r="I92" s="81">
        <v>70</v>
      </c>
      <c r="J92" s="81"/>
      <c r="K92" s="80">
        <v>45789</v>
      </c>
      <c r="L92" s="82">
        <v>70</v>
      </c>
      <c r="M92" s="81">
        <v>100</v>
      </c>
      <c r="N92" s="81">
        <v>30</v>
      </c>
      <c r="O92" s="77">
        <v>974200115</v>
      </c>
    </row>
    <row r="93" spans="1:15" s="105" customFormat="1" x14ac:dyDescent="0.3">
      <c r="A93" s="112">
        <v>92</v>
      </c>
      <c r="B93" s="100" t="s">
        <v>13</v>
      </c>
      <c r="C93" s="101" t="s">
        <v>1110</v>
      </c>
      <c r="D93" s="102" t="s">
        <v>18</v>
      </c>
      <c r="E93" s="102" t="s">
        <v>22</v>
      </c>
      <c r="F93" s="10">
        <v>356388243488243</v>
      </c>
      <c r="G93" s="102"/>
      <c r="H93" s="103">
        <v>45774</v>
      </c>
      <c r="I93" s="26">
        <v>450</v>
      </c>
      <c r="J93" s="26"/>
      <c r="K93" s="103">
        <v>45787</v>
      </c>
      <c r="L93" s="104">
        <f>Таблица3[[#This Row],[OLINGAN NARXI $]]+Таблица3[[#This Row],[RASXOD]]</f>
        <v>700</v>
      </c>
      <c r="M93" s="26">
        <v>480</v>
      </c>
      <c r="N93" s="26">
        <v>30</v>
      </c>
      <c r="O93" s="101" t="s">
        <v>1111</v>
      </c>
    </row>
    <row r="94" spans="1:15" s="105" customFormat="1" x14ac:dyDescent="0.3">
      <c r="A94" s="112">
        <v>93</v>
      </c>
      <c r="B94" s="100" t="s">
        <v>16</v>
      </c>
      <c r="C94" s="101" t="s">
        <v>1203</v>
      </c>
      <c r="D94" s="102" t="s">
        <v>18</v>
      </c>
      <c r="E94" s="102" t="s">
        <v>15</v>
      </c>
      <c r="F94" s="10">
        <v>356774086794146</v>
      </c>
      <c r="G94" s="102" t="s">
        <v>140</v>
      </c>
      <c r="H94" s="103">
        <v>45789</v>
      </c>
      <c r="I94" s="26">
        <v>80</v>
      </c>
      <c r="J94" s="26"/>
      <c r="K94" s="103">
        <v>45789</v>
      </c>
      <c r="L94" s="104">
        <v>80</v>
      </c>
      <c r="M94" s="26">
        <v>100</v>
      </c>
      <c r="N94" s="26">
        <v>20</v>
      </c>
      <c r="O94" s="101" t="s">
        <v>1204</v>
      </c>
    </row>
    <row r="95" spans="1:15" s="99" customFormat="1" x14ac:dyDescent="0.3">
      <c r="A95" s="112">
        <v>94</v>
      </c>
      <c r="B95" s="92" t="s">
        <v>986</v>
      </c>
      <c r="C95" s="93" t="s">
        <v>987</v>
      </c>
      <c r="D95" s="94" t="s">
        <v>123</v>
      </c>
      <c r="E95" s="94" t="s">
        <v>15</v>
      </c>
      <c r="F95" s="95">
        <v>864441056192876</v>
      </c>
      <c r="G95" s="94"/>
      <c r="H95" s="96">
        <v>45751</v>
      </c>
      <c r="I95" s="97">
        <v>40</v>
      </c>
      <c r="J95" s="97"/>
      <c r="K95" s="96">
        <v>45790</v>
      </c>
      <c r="L95" s="98">
        <v>40</v>
      </c>
      <c r="M95" s="97">
        <v>50</v>
      </c>
      <c r="N95" s="97">
        <v>10</v>
      </c>
      <c r="O95" s="93" t="s">
        <v>988</v>
      </c>
    </row>
    <row r="96" spans="1:15" s="83" customFormat="1" x14ac:dyDescent="0.3">
      <c r="A96" s="112">
        <v>95</v>
      </c>
      <c r="B96" s="76" t="s">
        <v>16</v>
      </c>
      <c r="C96" s="77" t="s">
        <v>88</v>
      </c>
      <c r="D96" s="78" t="s">
        <v>65</v>
      </c>
      <c r="E96" s="78" t="s">
        <v>15</v>
      </c>
      <c r="F96" s="79">
        <v>353483517287380</v>
      </c>
      <c r="G96" s="78"/>
      <c r="H96" s="80">
        <v>45781</v>
      </c>
      <c r="I96" s="81">
        <v>335</v>
      </c>
      <c r="J96" s="81"/>
      <c r="K96" s="80">
        <v>45790</v>
      </c>
      <c r="L96" s="82">
        <v>335</v>
      </c>
      <c r="M96" s="81">
        <v>380</v>
      </c>
      <c r="N96" s="81">
        <v>45</v>
      </c>
      <c r="O96" s="77" t="s">
        <v>1158</v>
      </c>
    </row>
    <row r="97" spans="1:15" s="83" customFormat="1" x14ac:dyDescent="0.3">
      <c r="A97" s="112">
        <v>96</v>
      </c>
      <c r="B97" s="76" t="s">
        <v>16</v>
      </c>
      <c r="C97" s="77" t="s">
        <v>552</v>
      </c>
      <c r="D97" s="78"/>
      <c r="E97" s="78"/>
      <c r="F97" s="79">
        <v>3871</v>
      </c>
      <c r="G97" s="78"/>
      <c r="H97" s="80"/>
      <c r="I97" s="81"/>
      <c r="J97" s="81"/>
      <c r="K97" s="80">
        <v>45791</v>
      </c>
      <c r="L97" s="82">
        <f>Таблица3758910[[#This Row],[OLINGAN NARXI $]]+Таблица3758910[[#This Row],[RASXOD]]</f>
        <v>0</v>
      </c>
      <c r="M97" s="81"/>
      <c r="N97" s="81">
        <v>25</v>
      </c>
      <c r="O97" s="77"/>
    </row>
    <row r="98" spans="1:15" s="83" customFormat="1" x14ac:dyDescent="0.3">
      <c r="A98" s="112">
        <v>97</v>
      </c>
      <c r="B98" s="76" t="s">
        <v>13</v>
      </c>
      <c r="C98" s="84" t="s">
        <v>563</v>
      </c>
      <c r="D98" s="78" t="s">
        <v>21</v>
      </c>
      <c r="E98" s="78" t="s">
        <v>15</v>
      </c>
      <c r="F98" s="79">
        <v>351562310380708</v>
      </c>
      <c r="G98" s="78"/>
      <c r="H98" s="80">
        <v>45739</v>
      </c>
      <c r="I98" s="81">
        <v>340</v>
      </c>
      <c r="J98" s="81">
        <v>28</v>
      </c>
      <c r="K98" s="80">
        <v>45791</v>
      </c>
      <c r="L98" s="82">
        <v>368</v>
      </c>
      <c r="M98" s="81">
        <v>400</v>
      </c>
      <c r="N98" s="82">
        <v>32</v>
      </c>
      <c r="O98" s="77" t="s">
        <v>147</v>
      </c>
    </row>
    <row r="99" spans="1:15" s="105" customFormat="1" x14ac:dyDescent="0.3">
      <c r="A99" s="112">
        <v>98</v>
      </c>
      <c r="B99" s="100" t="s">
        <v>16</v>
      </c>
      <c r="C99" s="101" t="s">
        <v>111</v>
      </c>
      <c r="D99" s="102" t="s">
        <v>21</v>
      </c>
      <c r="E99" s="102" t="s">
        <v>15</v>
      </c>
      <c r="F99" s="10">
        <v>358082907724492</v>
      </c>
      <c r="G99" s="102"/>
      <c r="H99" s="103">
        <v>45760</v>
      </c>
      <c r="I99" s="26">
        <v>203</v>
      </c>
      <c r="J99" s="26">
        <v>17</v>
      </c>
      <c r="K99" s="103">
        <v>45791</v>
      </c>
      <c r="L99" s="104">
        <v>220</v>
      </c>
      <c r="M99" s="26">
        <v>262</v>
      </c>
      <c r="N99" s="26">
        <v>42</v>
      </c>
      <c r="O99" s="101" t="s">
        <v>147</v>
      </c>
    </row>
    <row r="100" spans="1:15" s="83" customFormat="1" x14ac:dyDescent="0.3">
      <c r="A100" s="112">
        <v>99</v>
      </c>
      <c r="B100" s="76" t="s">
        <v>16</v>
      </c>
      <c r="C100" s="77" t="s">
        <v>106</v>
      </c>
      <c r="D100" s="78" t="s">
        <v>18</v>
      </c>
      <c r="E100" s="78" t="s">
        <v>22</v>
      </c>
      <c r="F100" s="79">
        <v>353991103414408</v>
      </c>
      <c r="G100" s="78"/>
      <c r="H100" s="80">
        <v>45768</v>
      </c>
      <c r="I100" s="81">
        <v>160</v>
      </c>
      <c r="J100" s="81"/>
      <c r="K100" s="80">
        <v>45791</v>
      </c>
      <c r="L100" s="82">
        <v>160</v>
      </c>
      <c r="M100" s="81">
        <v>200</v>
      </c>
      <c r="N100" s="81">
        <v>40</v>
      </c>
      <c r="O100" s="77" t="s">
        <v>1074</v>
      </c>
    </row>
    <row r="101" spans="1:15" s="105" customFormat="1" x14ac:dyDescent="0.3">
      <c r="A101" s="112">
        <v>100</v>
      </c>
      <c r="B101" s="100" t="s">
        <v>16</v>
      </c>
      <c r="C101" s="101" t="s">
        <v>81</v>
      </c>
      <c r="D101" s="102" t="s">
        <v>97</v>
      </c>
      <c r="E101" s="102" t="s">
        <v>15</v>
      </c>
      <c r="F101" s="10">
        <v>359290145131573</v>
      </c>
      <c r="G101" s="102"/>
      <c r="H101" s="103">
        <v>45784</v>
      </c>
      <c r="I101" s="26">
        <v>420</v>
      </c>
      <c r="J101" s="26"/>
      <c r="K101" s="103">
        <v>45791</v>
      </c>
      <c r="L101" s="104">
        <v>420</v>
      </c>
      <c r="M101" s="26">
        <v>500</v>
      </c>
      <c r="N101" s="26">
        <v>80</v>
      </c>
      <c r="O101" s="101" t="s">
        <v>1176</v>
      </c>
    </row>
    <row r="102" spans="1:15" s="56" customFormat="1" x14ac:dyDescent="0.3">
      <c r="A102" s="112">
        <v>101</v>
      </c>
      <c r="B102" s="50" t="s">
        <v>16</v>
      </c>
      <c r="C102" s="51" t="s">
        <v>109</v>
      </c>
      <c r="D102" s="52" t="s">
        <v>45</v>
      </c>
      <c r="E102" s="52" t="s">
        <v>15</v>
      </c>
      <c r="F102" s="53">
        <v>357201097017076</v>
      </c>
      <c r="G102" s="52" t="s">
        <v>556</v>
      </c>
      <c r="H102" s="54">
        <v>45786</v>
      </c>
      <c r="I102" s="55">
        <v>96</v>
      </c>
      <c r="J102" s="55"/>
      <c r="K102" s="54">
        <v>45791</v>
      </c>
      <c r="L102" s="72">
        <v>96</v>
      </c>
      <c r="M102" s="55">
        <v>145</v>
      </c>
      <c r="N102" s="55">
        <v>49</v>
      </c>
      <c r="O102" s="51" t="s">
        <v>1186</v>
      </c>
    </row>
    <row r="103" spans="1:15" s="56" customFormat="1" x14ac:dyDescent="0.3">
      <c r="A103" s="112">
        <v>102</v>
      </c>
      <c r="B103" s="50" t="s">
        <v>16</v>
      </c>
      <c r="C103" s="51" t="s">
        <v>372</v>
      </c>
      <c r="D103" s="52" t="s">
        <v>21</v>
      </c>
      <c r="E103" s="52" t="s">
        <v>22</v>
      </c>
      <c r="F103" s="53">
        <v>351406664783440</v>
      </c>
      <c r="G103" s="52"/>
      <c r="H103" s="54">
        <v>45786</v>
      </c>
      <c r="I103" s="55">
        <v>380</v>
      </c>
      <c r="J103" s="55"/>
      <c r="K103" s="54">
        <v>45791</v>
      </c>
      <c r="L103" s="72">
        <v>380</v>
      </c>
      <c r="M103" s="55">
        <v>420</v>
      </c>
      <c r="N103" s="55">
        <v>40</v>
      </c>
      <c r="O103" s="51" t="s">
        <v>19</v>
      </c>
    </row>
    <row r="104" spans="1:15" s="83" customFormat="1" x14ac:dyDescent="0.3">
      <c r="A104" s="112">
        <v>103</v>
      </c>
      <c r="B104" s="76" t="s">
        <v>16</v>
      </c>
      <c r="C104" s="77" t="s">
        <v>39</v>
      </c>
      <c r="D104" s="78" t="s">
        <v>35</v>
      </c>
      <c r="E104" s="78" t="s">
        <v>22</v>
      </c>
      <c r="F104" s="79">
        <v>353843240153151</v>
      </c>
      <c r="G104" s="78"/>
      <c r="H104" s="80">
        <v>45787</v>
      </c>
      <c r="I104" s="81">
        <v>590</v>
      </c>
      <c r="J104" s="81"/>
      <c r="K104" s="80">
        <v>45791</v>
      </c>
      <c r="L104" s="82">
        <v>590</v>
      </c>
      <c r="M104" s="81">
        <v>650</v>
      </c>
      <c r="N104" s="81">
        <v>60</v>
      </c>
      <c r="O104" s="77" t="s">
        <v>1191</v>
      </c>
    </row>
    <row r="105" spans="1:15" s="56" customFormat="1" x14ac:dyDescent="0.3">
      <c r="A105" s="112">
        <v>104</v>
      </c>
      <c r="B105" s="50" t="s">
        <v>16</v>
      </c>
      <c r="C105" s="51" t="s">
        <v>34</v>
      </c>
      <c r="D105" s="52" t="s">
        <v>35</v>
      </c>
      <c r="E105" s="52" t="s">
        <v>22</v>
      </c>
      <c r="F105" s="53">
        <v>353751254766711</v>
      </c>
      <c r="G105" s="52"/>
      <c r="H105" s="54">
        <v>45787</v>
      </c>
      <c r="I105" s="55">
        <v>590</v>
      </c>
      <c r="J105" s="55"/>
      <c r="K105" s="54">
        <v>45791</v>
      </c>
      <c r="L105" s="72">
        <v>590</v>
      </c>
      <c r="M105" s="55">
        <v>660</v>
      </c>
      <c r="N105" s="55">
        <v>70</v>
      </c>
      <c r="O105" s="51" t="s">
        <v>1193</v>
      </c>
    </row>
    <row r="106" spans="1:15" s="83" customFormat="1" x14ac:dyDescent="0.3">
      <c r="A106" s="112">
        <v>105</v>
      </c>
      <c r="B106" s="76" t="s">
        <v>16</v>
      </c>
      <c r="C106" s="77" t="s">
        <v>157</v>
      </c>
      <c r="D106" s="78" t="s">
        <v>45</v>
      </c>
      <c r="E106" s="78" t="s">
        <v>15</v>
      </c>
      <c r="F106" s="79">
        <v>352622999980738</v>
      </c>
      <c r="G106" s="78"/>
      <c r="H106" s="80">
        <v>45788</v>
      </c>
      <c r="I106" s="81">
        <v>280</v>
      </c>
      <c r="J106" s="81"/>
      <c r="K106" s="80">
        <v>45791</v>
      </c>
      <c r="L106" s="82">
        <v>280</v>
      </c>
      <c r="M106" s="81">
        <v>330</v>
      </c>
      <c r="N106" s="81">
        <v>50</v>
      </c>
      <c r="O106" s="77" t="s">
        <v>1196</v>
      </c>
    </row>
    <row r="107" spans="1:15" s="83" customFormat="1" x14ac:dyDescent="0.3">
      <c r="A107" s="112">
        <v>106</v>
      </c>
      <c r="B107" s="76" t="s">
        <v>16</v>
      </c>
      <c r="C107" s="77" t="s">
        <v>165</v>
      </c>
      <c r="D107" s="78" t="s">
        <v>45</v>
      </c>
      <c r="E107" s="78" t="s">
        <v>22</v>
      </c>
      <c r="F107" s="79">
        <v>357268096240355</v>
      </c>
      <c r="G107" s="78"/>
      <c r="H107" s="80">
        <v>45788</v>
      </c>
      <c r="I107" s="81">
        <v>130</v>
      </c>
      <c r="J107" s="81"/>
      <c r="K107" s="80">
        <v>45791</v>
      </c>
      <c r="L107" s="82">
        <v>130</v>
      </c>
      <c r="M107" s="81">
        <v>170</v>
      </c>
      <c r="N107" s="81">
        <v>40</v>
      </c>
      <c r="O107" s="77" t="s">
        <v>1198</v>
      </c>
    </row>
    <row r="108" spans="1:15" s="105" customFormat="1" x14ac:dyDescent="0.3">
      <c r="A108" s="112">
        <v>107</v>
      </c>
      <c r="B108" s="100" t="s">
        <v>13</v>
      </c>
      <c r="C108" s="101" t="s">
        <v>1041</v>
      </c>
      <c r="D108" s="102" t="s">
        <v>89</v>
      </c>
      <c r="E108" s="102" t="s">
        <v>15</v>
      </c>
      <c r="F108" s="10">
        <v>353992852308080</v>
      </c>
      <c r="G108" s="102"/>
      <c r="H108" s="103">
        <v>45760</v>
      </c>
      <c r="I108" s="26">
        <v>445</v>
      </c>
      <c r="J108" s="26"/>
      <c r="K108" s="103">
        <v>45792</v>
      </c>
      <c r="L108" s="104">
        <v>445</v>
      </c>
      <c r="M108" s="26">
        <v>530</v>
      </c>
      <c r="N108" s="26">
        <v>85</v>
      </c>
      <c r="O108" s="101" t="s">
        <v>147</v>
      </c>
    </row>
    <row r="109" spans="1:15" s="83" customFormat="1" x14ac:dyDescent="0.3">
      <c r="A109" s="112">
        <v>108</v>
      </c>
      <c r="B109" s="76" t="s">
        <v>16</v>
      </c>
      <c r="C109" s="77" t="s">
        <v>83</v>
      </c>
      <c r="D109" s="78" t="s">
        <v>65</v>
      </c>
      <c r="E109" s="78" t="s">
        <v>15</v>
      </c>
      <c r="F109" s="79">
        <v>353165806711291</v>
      </c>
      <c r="G109" s="78"/>
      <c r="H109" s="80">
        <v>45775</v>
      </c>
      <c r="I109" s="81">
        <v>440</v>
      </c>
      <c r="J109" s="81"/>
      <c r="K109" s="80">
        <v>45792</v>
      </c>
      <c r="L109" s="82">
        <v>440</v>
      </c>
      <c r="M109" s="81">
        <v>487</v>
      </c>
      <c r="N109" s="81">
        <v>47</v>
      </c>
      <c r="O109" s="77" t="s">
        <v>1119</v>
      </c>
    </row>
    <row r="110" spans="1:15" s="83" customFormat="1" x14ac:dyDescent="0.3">
      <c r="A110" s="112">
        <v>109</v>
      </c>
      <c r="B110" s="76" t="s">
        <v>16</v>
      </c>
      <c r="C110" s="77" t="s">
        <v>104</v>
      </c>
      <c r="D110" s="78" t="s">
        <v>65</v>
      </c>
      <c r="E110" s="78" t="s">
        <v>22</v>
      </c>
      <c r="F110" s="79">
        <v>354741669528003</v>
      </c>
      <c r="G110" s="78"/>
      <c r="H110" s="80">
        <v>45782</v>
      </c>
      <c r="I110" s="81">
        <v>300</v>
      </c>
      <c r="J110" s="81"/>
      <c r="K110" s="80">
        <v>45792</v>
      </c>
      <c r="L110" s="82">
        <v>300</v>
      </c>
      <c r="M110" s="81">
        <v>380</v>
      </c>
      <c r="N110" s="81">
        <v>80</v>
      </c>
      <c r="O110" s="77" t="s">
        <v>1166</v>
      </c>
    </row>
    <row r="111" spans="1:15" s="83" customFormat="1" x14ac:dyDescent="0.3">
      <c r="A111" s="112">
        <v>110</v>
      </c>
      <c r="B111" s="76" t="s">
        <v>16</v>
      </c>
      <c r="C111" s="77" t="s">
        <v>106</v>
      </c>
      <c r="D111" s="78" t="s">
        <v>21</v>
      </c>
      <c r="E111" s="78" t="s">
        <v>15</v>
      </c>
      <c r="F111" s="79">
        <v>354790159698818</v>
      </c>
      <c r="G111" s="78"/>
      <c r="H111" s="80">
        <v>45786</v>
      </c>
      <c r="I111" s="81">
        <v>170</v>
      </c>
      <c r="J111" s="81"/>
      <c r="K111" s="80">
        <v>45792</v>
      </c>
      <c r="L111" s="82">
        <v>170</v>
      </c>
      <c r="M111" s="81">
        <v>215</v>
      </c>
      <c r="N111" s="81">
        <v>45</v>
      </c>
      <c r="O111" s="77" t="s">
        <v>1181</v>
      </c>
    </row>
    <row r="112" spans="1:15" s="83" customFormat="1" x14ac:dyDescent="0.3">
      <c r="A112" s="112">
        <v>111</v>
      </c>
      <c r="B112" s="76" t="s">
        <v>16</v>
      </c>
      <c r="C112" s="77" t="s">
        <v>81</v>
      </c>
      <c r="D112" s="78" t="s">
        <v>45</v>
      </c>
      <c r="E112" s="78" t="s">
        <v>15</v>
      </c>
      <c r="F112" s="79">
        <v>353103647388193</v>
      </c>
      <c r="G112" s="78"/>
      <c r="H112" s="80">
        <v>45786</v>
      </c>
      <c r="I112" s="81">
        <v>440</v>
      </c>
      <c r="J112" s="81"/>
      <c r="K112" s="80">
        <v>45792</v>
      </c>
      <c r="L112" s="82">
        <v>440</v>
      </c>
      <c r="M112" s="81">
        <v>480</v>
      </c>
      <c r="N112" s="81">
        <v>40</v>
      </c>
      <c r="O112" s="77" t="s">
        <v>19</v>
      </c>
    </row>
    <row r="113" spans="1:15" s="105" customFormat="1" x14ac:dyDescent="0.3">
      <c r="A113" s="112">
        <v>112</v>
      </c>
      <c r="B113" s="100" t="s">
        <v>16</v>
      </c>
      <c r="C113" s="101" t="s">
        <v>109</v>
      </c>
      <c r="D113" s="102" t="s">
        <v>45</v>
      </c>
      <c r="E113" s="102" t="s">
        <v>15</v>
      </c>
      <c r="F113" s="10">
        <v>357215099153283</v>
      </c>
      <c r="G113" s="102" t="s">
        <v>1199</v>
      </c>
      <c r="H113" s="103">
        <v>45788</v>
      </c>
      <c r="I113" s="26">
        <v>77</v>
      </c>
      <c r="J113" s="26"/>
      <c r="K113" s="103">
        <v>45792</v>
      </c>
      <c r="L113" s="104">
        <v>77</v>
      </c>
      <c r="M113" s="26">
        <v>150</v>
      </c>
      <c r="N113" s="26">
        <v>73</v>
      </c>
      <c r="O113" s="101" t="s">
        <v>1198</v>
      </c>
    </row>
    <row r="114" spans="1:15" s="105" customFormat="1" x14ac:dyDescent="0.3">
      <c r="A114" s="112">
        <v>113</v>
      </c>
      <c r="B114" s="100" t="s">
        <v>16</v>
      </c>
      <c r="C114" s="101" t="s">
        <v>106</v>
      </c>
      <c r="D114" s="102" t="s">
        <v>21</v>
      </c>
      <c r="E114" s="102" t="s">
        <v>15</v>
      </c>
      <c r="F114" s="10">
        <v>6810</v>
      </c>
      <c r="G114" s="102"/>
      <c r="H114" s="103">
        <v>45792</v>
      </c>
      <c r="I114" s="26">
        <v>150</v>
      </c>
      <c r="J114" s="26"/>
      <c r="K114" s="103">
        <v>45792</v>
      </c>
      <c r="L114" s="104">
        <v>150</v>
      </c>
      <c r="M114" s="26">
        <v>200</v>
      </c>
      <c r="N114" s="26">
        <v>50</v>
      </c>
      <c r="O114" s="101" t="s">
        <v>262</v>
      </c>
    </row>
    <row r="115" spans="1:15" s="105" customFormat="1" x14ac:dyDescent="0.3">
      <c r="A115" s="112">
        <v>114</v>
      </c>
      <c r="B115" s="100" t="s">
        <v>13</v>
      </c>
      <c r="C115" s="101" t="s">
        <v>1047</v>
      </c>
      <c r="D115" s="102" t="s">
        <v>65</v>
      </c>
      <c r="E115" s="102" t="s">
        <v>22</v>
      </c>
      <c r="F115" s="10">
        <v>351351028280768</v>
      </c>
      <c r="G115" s="102"/>
      <c r="H115" s="103">
        <v>45763</v>
      </c>
      <c r="I115" s="26">
        <v>232</v>
      </c>
      <c r="J115" s="26"/>
      <c r="K115" s="103">
        <v>45793</v>
      </c>
      <c r="L115" s="104">
        <v>232</v>
      </c>
      <c r="M115" s="26">
        <v>250</v>
      </c>
      <c r="N115" s="26">
        <v>18</v>
      </c>
      <c r="O115" s="101" t="s">
        <v>1048</v>
      </c>
    </row>
    <row r="116" spans="1:15" s="105" customFormat="1" x14ac:dyDescent="0.3">
      <c r="A116" s="112">
        <v>115</v>
      </c>
      <c r="B116" s="100" t="s">
        <v>16</v>
      </c>
      <c r="C116" s="101" t="s">
        <v>39</v>
      </c>
      <c r="D116" s="102" t="s">
        <v>35</v>
      </c>
      <c r="E116" s="102" t="s">
        <v>22</v>
      </c>
      <c r="F116" s="10">
        <v>352680949870201</v>
      </c>
      <c r="G116" s="102"/>
      <c r="H116" s="103">
        <v>45783</v>
      </c>
      <c r="I116" s="26">
        <v>410</v>
      </c>
      <c r="J116" s="26">
        <v>39</v>
      </c>
      <c r="K116" s="103">
        <v>45793</v>
      </c>
      <c r="L116" s="104">
        <v>449</v>
      </c>
      <c r="M116" s="26">
        <v>628</v>
      </c>
      <c r="N116" s="26">
        <v>179</v>
      </c>
      <c r="O116" s="101" t="s">
        <v>262</v>
      </c>
    </row>
    <row r="117" spans="1:15" s="105" customFormat="1" x14ac:dyDescent="0.3">
      <c r="A117" s="112">
        <v>116</v>
      </c>
      <c r="B117" s="100" t="s">
        <v>16</v>
      </c>
      <c r="C117" s="101" t="s">
        <v>83</v>
      </c>
      <c r="D117" s="102" t="s">
        <v>45</v>
      </c>
      <c r="E117" s="102" t="s">
        <v>15</v>
      </c>
      <c r="F117" s="10">
        <v>350060425641016</v>
      </c>
      <c r="G117" s="102" t="s">
        <v>1202</v>
      </c>
      <c r="H117" s="103">
        <v>45789</v>
      </c>
      <c r="I117" s="26">
        <v>295</v>
      </c>
      <c r="J117" s="26">
        <v>16</v>
      </c>
      <c r="K117" s="103">
        <v>45793</v>
      </c>
      <c r="L117" s="104">
        <v>311</v>
      </c>
      <c r="M117" s="26">
        <v>400</v>
      </c>
      <c r="N117" s="26">
        <v>89</v>
      </c>
      <c r="O117" s="101" t="s">
        <v>147</v>
      </c>
    </row>
    <row r="118" spans="1:15" s="105" customFormat="1" x14ac:dyDescent="0.3">
      <c r="A118" s="112">
        <v>117</v>
      </c>
      <c r="B118" s="100" t="s">
        <v>13</v>
      </c>
      <c r="C118" s="101" t="s">
        <v>115</v>
      </c>
      <c r="D118" s="102" t="s">
        <v>18</v>
      </c>
      <c r="E118" s="102" t="s">
        <v>15</v>
      </c>
      <c r="F118" s="10">
        <v>351376414892603</v>
      </c>
      <c r="G118" s="102"/>
      <c r="H118" s="103">
        <v>45790</v>
      </c>
      <c r="I118" s="26">
        <v>155</v>
      </c>
      <c r="J118" s="26">
        <v>28</v>
      </c>
      <c r="K118" s="103">
        <v>45793</v>
      </c>
      <c r="L118" s="104">
        <v>183</v>
      </c>
      <c r="M118" s="26">
        <v>225</v>
      </c>
      <c r="N118" s="26">
        <v>42</v>
      </c>
      <c r="O118" s="101" t="s">
        <v>147</v>
      </c>
    </row>
    <row r="119" spans="1:15" s="56" customFormat="1" x14ac:dyDescent="0.3">
      <c r="A119" s="112">
        <v>118</v>
      </c>
      <c r="B119" s="50" t="s">
        <v>13</v>
      </c>
      <c r="C119" s="51" t="s">
        <v>455</v>
      </c>
      <c r="D119" s="52" t="s">
        <v>21</v>
      </c>
      <c r="E119" s="52" t="s">
        <v>15</v>
      </c>
      <c r="F119" s="53">
        <v>352412373758862</v>
      </c>
      <c r="G119" s="52"/>
      <c r="H119" s="54">
        <v>45757</v>
      </c>
      <c r="I119" s="55">
        <v>310</v>
      </c>
      <c r="J119" s="55"/>
      <c r="K119" s="54">
        <v>45794</v>
      </c>
      <c r="L119" s="72">
        <v>310</v>
      </c>
      <c r="M119" s="55">
        <v>320</v>
      </c>
      <c r="N119" s="55">
        <v>10</v>
      </c>
      <c r="O119" s="51" t="s">
        <v>19</v>
      </c>
    </row>
    <row r="120" spans="1:15" s="56" customFormat="1" x14ac:dyDescent="0.3">
      <c r="A120" s="112">
        <v>119</v>
      </c>
      <c r="B120" s="50" t="s">
        <v>1026</v>
      </c>
      <c r="C120" s="51" t="s">
        <v>1036</v>
      </c>
      <c r="D120" s="52" t="s">
        <v>18</v>
      </c>
      <c r="E120" s="52" t="s">
        <v>22</v>
      </c>
      <c r="F120" s="53">
        <v>1572</v>
      </c>
      <c r="G120" s="52" t="s">
        <v>98</v>
      </c>
      <c r="H120" s="54">
        <v>45760</v>
      </c>
      <c r="I120" s="55">
        <v>23</v>
      </c>
      <c r="J120" s="55">
        <v>19</v>
      </c>
      <c r="K120" s="54">
        <v>45794</v>
      </c>
      <c r="L120" s="72">
        <v>42</v>
      </c>
      <c r="M120" s="55">
        <v>100</v>
      </c>
      <c r="N120" s="55">
        <v>58</v>
      </c>
      <c r="O120" s="51" t="s">
        <v>1035</v>
      </c>
    </row>
    <row r="121" spans="1:15" s="99" customFormat="1" x14ac:dyDescent="0.3">
      <c r="A121" s="112">
        <v>120</v>
      </c>
      <c r="B121" s="92" t="s">
        <v>16</v>
      </c>
      <c r="C121" s="93" t="s">
        <v>1105</v>
      </c>
      <c r="D121" s="94" t="s">
        <v>21</v>
      </c>
      <c r="E121" s="94" t="s">
        <v>15</v>
      </c>
      <c r="F121" s="95">
        <v>356393105161367</v>
      </c>
      <c r="G121" s="94" t="s">
        <v>66</v>
      </c>
      <c r="H121" s="96">
        <v>45788</v>
      </c>
      <c r="I121" s="97">
        <v>54</v>
      </c>
      <c r="J121" s="97"/>
      <c r="K121" s="96">
        <v>45794</v>
      </c>
      <c r="L121" s="98">
        <v>54</v>
      </c>
      <c r="M121" s="97">
        <v>77</v>
      </c>
      <c r="N121" s="97">
        <v>23</v>
      </c>
      <c r="O121" s="93"/>
    </row>
    <row r="122" spans="1:15" s="56" customFormat="1" x14ac:dyDescent="0.3">
      <c r="A122" s="112">
        <v>121</v>
      </c>
      <c r="B122" s="50" t="s">
        <v>16</v>
      </c>
      <c r="C122" s="51" t="s">
        <v>34</v>
      </c>
      <c r="D122" s="52" t="s">
        <v>35</v>
      </c>
      <c r="E122" s="52" t="s">
        <v>22</v>
      </c>
      <c r="F122" s="53">
        <v>351344356872652</v>
      </c>
      <c r="G122" s="52"/>
      <c r="H122" s="54">
        <v>45790</v>
      </c>
      <c r="I122" s="55">
        <v>655</v>
      </c>
      <c r="J122" s="55"/>
      <c r="K122" s="54">
        <v>45794</v>
      </c>
      <c r="L122" s="72">
        <v>655</v>
      </c>
      <c r="M122" s="55">
        <v>665</v>
      </c>
      <c r="N122" s="55">
        <v>10</v>
      </c>
      <c r="O122" s="51" t="s">
        <v>262</v>
      </c>
    </row>
    <row r="123" spans="1:15" s="105" customFormat="1" x14ac:dyDescent="0.3">
      <c r="A123" s="112">
        <v>122</v>
      </c>
      <c r="B123" s="100" t="s">
        <v>16</v>
      </c>
      <c r="C123" s="101" t="s">
        <v>34</v>
      </c>
      <c r="D123" s="102" t="s">
        <v>35</v>
      </c>
      <c r="E123" s="102" t="s">
        <v>22</v>
      </c>
      <c r="F123" s="10">
        <v>355597826979896</v>
      </c>
      <c r="G123" s="102" t="s">
        <v>98</v>
      </c>
      <c r="H123" s="103">
        <v>45506</v>
      </c>
      <c r="I123" s="26">
        <v>710</v>
      </c>
      <c r="J123" s="26"/>
      <c r="K123" s="103">
        <v>45795</v>
      </c>
      <c r="L123" s="104">
        <v>710</v>
      </c>
      <c r="M123" s="26">
        <v>680</v>
      </c>
      <c r="N123" s="104">
        <v>-30</v>
      </c>
      <c r="O123" s="101" t="s">
        <v>126</v>
      </c>
    </row>
    <row r="124" spans="1:15" s="83" customFormat="1" x14ac:dyDescent="0.3">
      <c r="A124" s="112">
        <v>123</v>
      </c>
      <c r="B124" s="76" t="s">
        <v>13</v>
      </c>
      <c r="C124" s="77" t="s">
        <v>255</v>
      </c>
      <c r="D124" s="78" t="s">
        <v>21</v>
      </c>
      <c r="E124" s="78" t="s">
        <v>15</v>
      </c>
      <c r="F124" s="79">
        <v>350513045052873</v>
      </c>
      <c r="G124" s="78"/>
      <c r="H124" s="80">
        <v>45791</v>
      </c>
      <c r="I124" s="81">
        <v>615</v>
      </c>
      <c r="J124" s="81"/>
      <c r="K124" s="80">
        <v>45795</v>
      </c>
      <c r="L124" s="82">
        <v>615</v>
      </c>
      <c r="M124" s="81">
        <v>680</v>
      </c>
      <c r="N124" s="81">
        <v>65</v>
      </c>
      <c r="O124" s="77"/>
    </row>
    <row r="125" spans="1:15" s="83" customFormat="1" x14ac:dyDescent="0.3">
      <c r="A125" s="112">
        <v>124</v>
      </c>
      <c r="B125" s="76" t="s">
        <v>16</v>
      </c>
      <c r="C125" s="77" t="s">
        <v>34</v>
      </c>
      <c r="D125" s="78" t="s">
        <v>21</v>
      </c>
      <c r="E125" s="78" t="s">
        <v>22</v>
      </c>
      <c r="F125" s="79">
        <v>358034169204739</v>
      </c>
      <c r="G125" s="78"/>
      <c r="H125" s="80">
        <v>45792</v>
      </c>
      <c r="I125" s="81">
        <v>600</v>
      </c>
      <c r="J125" s="81"/>
      <c r="K125" s="80">
        <v>45795</v>
      </c>
      <c r="L125" s="82">
        <v>600</v>
      </c>
      <c r="M125" s="81">
        <v>650</v>
      </c>
      <c r="N125" s="81">
        <v>50</v>
      </c>
      <c r="O125" s="77" t="s">
        <v>1220</v>
      </c>
    </row>
    <row r="126" spans="1:15" s="83" customFormat="1" x14ac:dyDescent="0.3">
      <c r="A126" s="112">
        <v>125</v>
      </c>
      <c r="B126" s="76" t="s">
        <v>16</v>
      </c>
      <c r="C126" s="77" t="s">
        <v>88</v>
      </c>
      <c r="D126" s="78" t="s">
        <v>21</v>
      </c>
      <c r="E126" s="78" t="s">
        <v>15</v>
      </c>
      <c r="F126" s="79">
        <v>350852696157015</v>
      </c>
      <c r="G126" s="78"/>
      <c r="H126" s="80">
        <v>45792</v>
      </c>
      <c r="I126" s="81">
        <v>266</v>
      </c>
      <c r="J126" s="81"/>
      <c r="K126" s="80">
        <v>45795</v>
      </c>
      <c r="L126" s="82">
        <v>266</v>
      </c>
      <c r="M126" s="81">
        <v>340</v>
      </c>
      <c r="N126" s="81">
        <v>74</v>
      </c>
      <c r="O126" s="77" t="s">
        <v>262</v>
      </c>
    </row>
    <row r="127" spans="1:15" s="105" customFormat="1" x14ac:dyDescent="0.3">
      <c r="A127" s="112">
        <v>126</v>
      </c>
      <c r="B127" s="100" t="s">
        <v>13</v>
      </c>
      <c r="C127" s="101" t="s">
        <v>1047</v>
      </c>
      <c r="D127" s="102" t="s">
        <v>21</v>
      </c>
      <c r="E127" s="102" t="s">
        <v>15</v>
      </c>
      <c r="F127" s="10">
        <v>351351025001829</v>
      </c>
      <c r="G127" s="102"/>
      <c r="H127" s="103">
        <v>45773</v>
      </c>
      <c r="I127" s="26">
        <v>169</v>
      </c>
      <c r="J127" s="26"/>
      <c r="K127" s="103">
        <v>45796</v>
      </c>
      <c r="L127" s="104">
        <v>169</v>
      </c>
      <c r="M127" s="26">
        <v>222</v>
      </c>
      <c r="N127" s="26">
        <v>53</v>
      </c>
      <c r="O127" s="101" t="s">
        <v>1108</v>
      </c>
    </row>
    <row r="128" spans="1:15" s="83" customFormat="1" x14ac:dyDescent="0.3">
      <c r="A128" s="112">
        <v>127</v>
      </c>
      <c r="B128" s="76" t="s">
        <v>16</v>
      </c>
      <c r="C128" s="77" t="s">
        <v>157</v>
      </c>
      <c r="D128" s="78" t="s">
        <v>65</v>
      </c>
      <c r="E128" s="78" t="s">
        <v>22</v>
      </c>
      <c r="F128" s="79">
        <v>351880157436197</v>
      </c>
      <c r="G128" s="78"/>
      <c r="H128" s="80">
        <v>45787</v>
      </c>
      <c r="I128" s="81">
        <v>295</v>
      </c>
      <c r="J128" s="81"/>
      <c r="K128" s="80">
        <v>45796</v>
      </c>
      <c r="L128" s="82">
        <v>295</v>
      </c>
      <c r="M128" s="81">
        <v>380</v>
      </c>
      <c r="N128" s="81">
        <v>85</v>
      </c>
      <c r="O128" s="77" t="s">
        <v>1195</v>
      </c>
    </row>
    <row r="129" spans="1:15" s="83" customFormat="1" x14ac:dyDescent="0.3">
      <c r="A129" s="112">
        <v>128</v>
      </c>
      <c r="B129" s="76" t="s">
        <v>16</v>
      </c>
      <c r="C129" s="77" t="s">
        <v>319</v>
      </c>
      <c r="D129" s="78" t="s">
        <v>35</v>
      </c>
      <c r="E129" s="78" t="s">
        <v>15</v>
      </c>
      <c r="F129" s="79">
        <v>352377991261955</v>
      </c>
      <c r="G129" s="78"/>
      <c r="H129" s="80">
        <v>45775</v>
      </c>
      <c r="I129" s="81">
        <v>220</v>
      </c>
      <c r="J129" s="81"/>
      <c r="K129" s="80">
        <v>45797</v>
      </c>
      <c r="L129" s="82">
        <v>220</v>
      </c>
      <c r="M129" s="81">
        <v>270</v>
      </c>
      <c r="N129" s="81">
        <v>50</v>
      </c>
      <c r="O129" s="77" t="s">
        <v>1120</v>
      </c>
    </row>
    <row r="130" spans="1:15" s="56" customFormat="1" x14ac:dyDescent="0.3">
      <c r="A130" s="112">
        <v>129</v>
      </c>
      <c r="B130" s="50" t="s">
        <v>13</v>
      </c>
      <c r="C130" s="51" t="s">
        <v>1207</v>
      </c>
      <c r="D130" s="52" t="s">
        <v>21</v>
      </c>
      <c r="E130" s="52" t="s">
        <v>15</v>
      </c>
      <c r="F130" s="53">
        <v>355595479258980</v>
      </c>
      <c r="G130" s="52" t="s">
        <v>556</v>
      </c>
      <c r="H130" s="54">
        <v>45791</v>
      </c>
      <c r="I130" s="55">
        <v>58</v>
      </c>
      <c r="J130" s="55"/>
      <c r="K130" s="54">
        <v>45797</v>
      </c>
      <c r="L130" s="72">
        <v>58</v>
      </c>
      <c r="M130" s="55">
        <v>92</v>
      </c>
      <c r="N130" s="55">
        <v>34</v>
      </c>
      <c r="O130" s="51" t="s">
        <v>1213</v>
      </c>
    </row>
    <row r="131" spans="1:15" s="56" customFormat="1" x14ac:dyDescent="0.3">
      <c r="A131" s="112">
        <v>130</v>
      </c>
      <c r="B131" s="50" t="s">
        <v>1077</v>
      </c>
      <c r="C131" s="51" t="s">
        <v>1221</v>
      </c>
      <c r="D131" s="52" t="s">
        <v>65</v>
      </c>
      <c r="E131" s="52" t="s">
        <v>15</v>
      </c>
      <c r="F131" s="53">
        <v>865869059083743</v>
      </c>
      <c r="G131" s="52" t="s">
        <v>556</v>
      </c>
      <c r="H131" s="54">
        <v>45792</v>
      </c>
      <c r="I131" s="55">
        <v>34</v>
      </c>
      <c r="J131" s="55"/>
      <c r="K131" s="54">
        <v>45797</v>
      </c>
      <c r="L131" s="72">
        <v>34</v>
      </c>
      <c r="M131" s="55">
        <v>69</v>
      </c>
      <c r="N131" s="55">
        <v>35</v>
      </c>
      <c r="O131" s="51" t="s">
        <v>1222</v>
      </c>
    </row>
    <row r="132" spans="1:15" s="83" customFormat="1" x14ac:dyDescent="0.3">
      <c r="A132" s="112">
        <v>131</v>
      </c>
      <c r="B132" s="76" t="s">
        <v>13</v>
      </c>
      <c r="C132" s="77" t="s">
        <v>502</v>
      </c>
      <c r="D132" s="78" t="s">
        <v>21</v>
      </c>
      <c r="E132" s="78" t="s">
        <v>15</v>
      </c>
      <c r="F132" s="79">
        <v>351747950487513</v>
      </c>
      <c r="G132" s="78"/>
      <c r="H132" s="80">
        <v>45771</v>
      </c>
      <c r="I132" s="81">
        <v>400</v>
      </c>
      <c r="J132" s="81">
        <v>28</v>
      </c>
      <c r="K132" s="80">
        <v>45797</v>
      </c>
      <c r="L132" s="82">
        <f>Таблица3[[#This Row],[OLINGAN NARXI $]]+Таблица3[[#This Row],[RASXOD]]</f>
        <v>0</v>
      </c>
      <c r="M132" s="81">
        <v>500</v>
      </c>
      <c r="N132" s="81">
        <v>72</v>
      </c>
      <c r="O132" s="77" t="s">
        <v>147</v>
      </c>
    </row>
    <row r="133" spans="1:15" s="56" customFormat="1" x14ac:dyDescent="0.3">
      <c r="A133" s="112">
        <v>132</v>
      </c>
      <c r="B133" s="50" t="s">
        <v>16</v>
      </c>
      <c r="C133" s="51" t="s">
        <v>83</v>
      </c>
      <c r="D133" s="52" t="s">
        <v>21</v>
      </c>
      <c r="E133" s="52" t="s">
        <v>15</v>
      </c>
      <c r="F133" s="53">
        <v>355015327833660</v>
      </c>
      <c r="G133" s="52"/>
      <c r="H133" s="54">
        <v>45796</v>
      </c>
      <c r="I133" s="55">
        <v>440</v>
      </c>
      <c r="J133" s="55"/>
      <c r="K133" s="54">
        <v>45797</v>
      </c>
      <c r="L133" s="72">
        <f>Таблица3[[#This Row],[OLINGAN NARXI $]]+Таблица3[[#This Row],[RASXOD]]</f>
        <v>0</v>
      </c>
      <c r="M133" s="55">
        <v>470</v>
      </c>
      <c r="N133" s="55">
        <v>30</v>
      </c>
      <c r="O133" s="51" t="s">
        <v>262</v>
      </c>
    </row>
    <row r="134" spans="1:15" s="56" customFormat="1" x14ac:dyDescent="0.3">
      <c r="A134" s="112">
        <v>133</v>
      </c>
      <c r="B134" s="50" t="s">
        <v>13</v>
      </c>
      <c r="C134" s="51" t="s">
        <v>1223</v>
      </c>
      <c r="D134" s="52" t="s">
        <v>21</v>
      </c>
      <c r="E134" s="52" t="s">
        <v>22</v>
      </c>
      <c r="F134" s="53">
        <v>352525280127697</v>
      </c>
      <c r="G134" s="52"/>
      <c r="H134" s="54">
        <v>45794</v>
      </c>
      <c r="I134" s="55">
        <v>112</v>
      </c>
      <c r="J134" s="55"/>
      <c r="K134" s="54">
        <v>45797</v>
      </c>
      <c r="L134" s="72">
        <f>Таблица3[[#This Row],[OLINGAN NARXI $]]+Таблица3[[#This Row],[RASXOD]]</f>
        <v>0</v>
      </c>
      <c r="M134" s="55">
        <v>138</v>
      </c>
      <c r="N134" s="55">
        <v>26</v>
      </c>
      <c r="O134" s="51" t="s">
        <v>1224</v>
      </c>
    </row>
    <row r="135" spans="1:15" s="105" customFormat="1" x14ac:dyDescent="0.3">
      <c r="A135" s="112">
        <v>134</v>
      </c>
      <c r="B135" s="100" t="s">
        <v>16</v>
      </c>
      <c r="C135" s="101" t="s">
        <v>312</v>
      </c>
      <c r="D135" s="102" t="s">
        <v>65</v>
      </c>
      <c r="E135" s="102" t="s">
        <v>22</v>
      </c>
      <c r="F135" s="10">
        <v>350566105340810</v>
      </c>
      <c r="G135" s="102"/>
      <c r="H135" s="103">
        <v>45774</v>
      </c>
      <c r="I135" s="26">
        <v>440</v>
      </c>
      <c r="J135" s="26"/>
      <c r="K135" s="103">
        <v>45797</v>
      </c>
      <c r="L135" s="104">
        <f>Таблица3[[#This Row],[OLINGAN NARXI $]]+Таблица3[[#This Row],[RASXOD]]</f>
        <v>0</v>
      </c>
      <c r="M135" s="26">
        <v>550</v>
      </c>
      <c r="N135" s="26">
        <v>110</v>
      </c>
      <c r="O135" s="101" t="s">
        <v>1113</v>
      </c>
    </row>
    <row r="136" spans="1:15" s="105" customFormat="1" x14ac:dyDescent="0.3">
      <c r="A136" s="112">
        <v>135</v>
      </c>
      <c r="B136" s="100" t="s">
        <v>13</v>
      </c>
      <c r="C136" s="101" t="s">
        <v>117</v>
      </c>
      <c r="D136" s="102" t="s">
        <v>97</v>
      </c>
      <c r="E136" s="102" t="s">
        <v>15</v>
      </c>
      <c r="F136" s="10">
        <v>352854661482954</v>
      </c>
      <c r="G136" s="102"/>
      <c r="H136" s="103">
        <v>45772</v>
      </c>
      <c r="I136" s="26">
        <v>240</v>
      </c>
      <c r="J136" s="26"/>
      <c r="K136" s="103">
        <v>45798</v>
      </c>
      <c r="L136" s="104">
        <f>Таблица3[[#This Row],[OLINGAN NARXI $]]+Таблица3[[#This Row],[RASXOD]]</f>
        <v>0</v>
      </c>
      <c r="M136" s="26">
        <v>280</v>
      </c>
      <c r="N136" s="26">
        <v>40</v>
      </c>
      <c r="O136" s="101" t="s">
        <v>147</v>
      </c>
    </row>
    <row r="137" spans="1:15" s="105" customFormat="1" x14ac:dyDescent="0.3">
      <c r="A137" s="112">
        <v>136</v>
      </c>
      <c r="B137" s="100" t="s">
        <v>13</v>
      </c>
      <c r="C137" s="101" t="s">
        <v>384</v>
      </c>
      <c r="D137" s="102" t="s">
        <v>93</v>
      </c>
      <c r="E137" s="102" t="s">
        <v>15</v>
      </c>
      <c r="F137" s="10">
        <v>353561333449928</v>
      </c>
      <c r="G137" s="102"/>
      <c r="H137" s="103">
        <v>45764</v>
      </c>
      <c r="I137" s="26">
        <v>205</v>
      </c>
      <c r="J137" s="26"/>
      <c r="K137" s="103">
        <v>45798</v>
      </c>
      <c r="L137" s="104">
        <f>Таблица3[[#This Row],[OLINGAN NARXI $]]+Таблица3[[#This Row],[RASXOD]]</f>
        <v>0</v>
      </c>
      <c r="M137" s="26">
        <v>270</v>
      </c>
      <c r="N137" s="26">
        <v>65</v>
      </c>
      <c r="O137" s="101" t="s">
        <v>147</v>
      </c>
    </row>
    <row r="138" spans="1:15" s="56" customFormat="1" x14ac:dyDescent="0.3">
      <c r="A138" s="112">
        <v>137</v>
      </c>
      <c r="B138" s="50" t="s">
        <v>16</v>
      </c>
      <c r="C138" s="51" t="s">
        <v>88</v>
      </c>
      <c r="D138" s="52" t="s">
        <v>21</v>
      </c>
      <c r="E138" s="52" t="s">
        <v>22</v>
      </c>
      <c r="F138" s="53">
        <v>353082802808551</v>
      </c>
      <c r="G138" s="52"/>
      <c r="H138" s="54">
        <v>45788</v>
      </c>
      <c r="I138" s="55">
        <v>400</v>
      </c>
      <c r="J138" s="55"/>
      <c r="K138" s="54">
        <v>45798</v>
      </c>
      <c r="L138" s="72">
        <f>Таблица3[[#This Row],[OLINGAN NARXI $]]+Таблица3[[#This Row],[RASXOD]]</f>
        <v>0</v>
      </c>
      <c r="M138" s="55">
        <v>450</v>
      </c>
      <c r="N138" s="55">
        <v>40</v>
      </c>
      <c r="O138" s="51" t="s">
        <v>147</v>
      </c>
    </row>
    <row r="139" spans="1:15" s="56" customFormat="1" x14ac:dyDescent="0.3">
      <c r="A139" s="112">
        <v>138</v>
      </c>
      <c r="B139" s="50" t="s">
        <v>16</v>
      </c>
      <c r="C139" s="51" t="s">
        <v>149</v>
      </c>
      <c r="D139" s="52" t="s">
        <v>21</v>
      </c>
      <c r="E139" s="52" t="s">
        <v>15</v>
      </c>
      <c r="F139" s="53">
        <v>359051887459816</v>
      </c>
      <c r="G139" s="52"/>
      <c r="H139" s="54">
        <v>45764</v>
      </c>
      <c r="I139" s="55">
        <v>100</v>
      </c>
      <c r="J139" s="55">
        <v>23</v>
      </c>
      <c r="K139" s="54">
        <v>45798</v>
      </c>
      <c r="L139" s="72">
        <f>Таблица3[[#This Row],[OLINGAN NARXI $]]+Таблица3[[#This Row],[RASXOD]]</f>
        <v>0</v>
      </c>
      <c r="M139" s="55">
        <v>198</v>
      </c>
      <c r="N139" s="55">
        <v>75</v>
      </c>
      <c r="O139" s="51" t="s">
        <v>1053</v>
      </c>
    </row>
    <row r="140" spans="1:15" s="105" customFormat="1" x14ac:dyDescent="0.3">
      <c r="A140" s="112">
        <v>139</v>
      </c>
      <c r="B140" s="100" t="s">
        <v>16</v>
      </c>
      <c r="C140" s="101" t="s">
        <v>39</v>
      </c>
      <c r="D140" s="102" t="s">
        <v>35</v>
      </c>
      <c r="E140" s="102" t="s">
        <v>22</v>
      </c>
      <c r="F140" s="10">
        <v>350997791058327</v>
      </c>
      <c r="G140" s="102" t="s">
        <v>556</v>
      </c>
      <c r="H140" s="103">
        <v>45792</v>
      </c>
      <c r="I140" s="26">
        <v>500</v>
      </c>
      <c r="J140" s="26">
        <v>24</v>
      </c>
      <c r="K140" s="103">
        <v>45798</v>
      </c>
      <c r="L140" s="104">
        <f>Таблица3[[#This Row],[OLINGAN NARXI $]]+Таблица3[[#This Row],[RASXOD]]</f>
        <v>0</v>
      </c>
      <c r="M140" s="26">
        <v>638</v>
      </c>
      <c r="N140" s="26">
        <v>114</v>
      </c>
      <c r="O140" s="101"/>
    </row>
    <row r="141" spans="1:15" s="105" customFormat="1" x14ac:dyDescent="0.3">
      <c r="A141" s="112">
        <v>140</v>
      </c>
      <c r="B141" s="100" t="s">
        <v>16</v>
      </c>
      <c r="C141" s="101" t="s">
        <v>39</v>
      </c>
      <c r="D141" s="102" t="s">
        <v>35</v>
      </c>
      <c r="E141" s="102" t="s">
        <v>22</v>
      </c>
      <c r="F141" s="10">
        <v>359761977950504</v>
      </c>
      <c r="G141" s="102"/>
      <c r="H141" s="103">
        <v>45582</v>
      </c>
      <c r="I141" s="26">
        <v>680</v>
      </c>
      <c r="J141" s="26"/>
      <c r="K141" s="103">
        <v>45800</v>
      </c>
      <c r="L141" s="104">
        <f>Таблица3[[#This Row],[OLINGAN NARXI $]]+Таблица3[[#This Row],[RASXOD]]</f>
        <v>0</v>
      </c>
      <c r="M141" s="26">
        <v>648</v>
      </c>
      <c r="N141" s="26">
        <v>-32</v>
      </c>
      <c r="O141" s="101" t="s">
        <v>204</v>
      </c>
    </row>
    <row r="142" spans="1:15" s="105" customFormat="1" x14ac:dyDescent="0.3">
      <c r="A142" s="112">
        <v>141</v>
      </c>
      <c r="B142" s="100" t="s">
        <v>13</v>
      </c>
      <c r="C142" s="101" t="s">
        <v>115</v>
      </c>
      <c r="D142" s="102" t="s">
        <v>21</v>
      </c>
      <c r="E142" s="102" t="s">
        <v>15</v>
      </c>
      <c r="F142" s="10">
        <v>354773805346107</v>
      </c>
      <c r="G142" s="102" t="s">
        <v>61</v>
      </c>
      <c r="H142" s="103">
        <v>45790</v>
      </c>
      <c r="I142" s="26">
        <v>145</v>
      </c>
      <c r="J142" s="26">
        <v>27</v>
      </c>
      <c r="K142" s="103">
        <v>45798</v>
      </c>
      <c r="L142" s="104">
        <f>Таблица3[[#This Row],[OLINGAN NARXI $]]+Таблица3[[#This Row],[RASXOD]]</f>
        <v>0</v>
      </c>
      <c r="M142" s="26">
        <v>230</v>
      </c>
      <c r="N142" s="26">
        <v>58</v>
      </c>
      <c r="O142" s="101" t="s">
        <v>147</v>
      </c>
    </row>
    <row r="143" spans="1:15" s="99" customFormat="1" x14ac:dyDescent="0.3">
      <c r="A143" s="112">
        <v>142</v>
      </c>
      <c r="B143" s="92" t="s">
        <v>16</v>
      </c>
      <c r="C143" s="93" t="s">
        <v>109</v>
      </c>
      <c r="D143" s="94" t="s">
        <v>21</v>
      </c>
      <c r="E143" s="94" t="s">
        <v>15</v>
      </c>
      <c r="F143" s="95">
        <v>357203095539846</v>
      </c>
      <c r="G143" s="94" t="s">
        <v>1190</v>
      </c>
      <c r="H143" s="96">
        <v>45795</v>
      </c>
      <c r="I143" s="97">
        <v>85</v>
      </c>
      <c r="J143" s="97"/>
      <c r="K143" s="96">
        <v>45798</v>
      </c>
      <c r="L143" s="98">
        <f>Таблица3[[#This Row],[OLINGAN NARXI $]]+Таблица3[[#This Row],[RASXOD]]</f>
        <v>0</v>
      </c>
      <c r="M143" s="97">
        <v>114</v>
      </c>
      <c r="N143" s="97">
        <v>29</v>
      </c>
      <c r="O143" s="93">
        <v>507280737</v>
      </c>
    </row>
    <row r="144" spans="1:15" s="105" customFormat="1" x14ac:dyDescent="0.3">
      <c r="A144" s="112">
        <v>143</v>
      </c>
      <c r="B144" s="100" t="s">
        <v>16</v>
      </c>
      <c r="C144" s="101" t="s">
        <v>81</v>
      </c>
      <c r="D144" s="102" t="s">
        <v>21</v>
      </c>
      <c r="E144" s="102" t="s">
        <v>15</v>
      </c>
      <c r="F144" s="10">
        <v>358298167389434</v>
      </c>
      <c r="G144" s="102" t="s">
        <v>556</v>
      </c>
      <c r="H144" s="103">
        <v>45798</v>
      </c>
      <c r="I144" s="26">
        <v>400</v>
      </c>
      <c r="J144" s="26"/>
      <c r="K144" s="103">
        <v>45798</v>
      </c>
      <c r="L144" s="104">
        <f>Таблица3[[#This Row],[OLINGAN NARXI $]]+Таблица3[[#This Row],[RASXOD]]</f>
        <v>200</v>
      </c>
      <c r="M144" s="26">
        <v>440</v>
      </c>
      <c r="N144" s="26">
        <v>40</v>
      </c>
      <c r="O144" s="101" t="s">
        <v>1243</v>
      </c>
    </row>
    <row r="145" spans="1:15" s="99" customFormat="1" x14ac:dyDescent="0.3">
      <c r="A145" s="112">
        <v>144</v>
      </c>
      <c r="B145" s="92" t="s">
        <v>16</v>
      </c>
      <c r="C145" s="93" t="s">
        <v>129</v>
      </c>
      <c r="D145" s="94" t="s">
        <v>65</v>
      </c>
      <c r="E145" s="94" t="s">
        <v>15</v>
      </c>
      <c r="F145" s="95">
        <v>358408872089688</v>
      </c>
      <c r="G145" s="94" t="s">
        <v>1151</v>
      </c>
      <c r="H145" s="96">
        <v>45780</v>
      </c>
      <c r="I145" s="97">
        <v>308</v>
      </c>
      <c r="J145" s="97"/>
      <c r="K145" s="96">
        <v>45799</v>
      </c>
      <c r="L145" s="98">
        <f>Таблица3[[#This Row],[OLINGAN NARXI $]]+Таблица3[[#This Row],[RASXOD]]</f>
        <v>208</v>
      </c>
      <c r="M145" s="97">
        <v>390</v>
      </c>
      <c r="N145" s="97">
        <v>82</v>
      </c>
      <c r="O145" s="93" t="s">
        <v>1152</v>
      </c>
    </row>
    <row r="146" spans="1:15" s="83" customFormat="1" x14ac:dyDescent="0.3">
      <c r="A146" s="112">
        <v>145</v>
      </c>
      <c r="B146" s="76" t="s">
        <v>16</v>
      </c>
      <c r="C146" s="77" t="s">
        <v>106</v>
      </c>
      <c r="D146" s="78" t="s">
        <v>21</v>
      </c>
      <c r="E146" s="78" t="s">
        <v>22</v>
      </c>
      <c r="F146" s="79">
        <v>356786286599927</v>
      </c>
      <c r="G146" s="78"/>
      <c r="H146" s="80">
        <v>45799</v>
      </c>
      <c r="I146" s="81">
        <v>230</v>
      </c>
      <c r="J146" s="81"/>
      <c r="K146" s="80">
        <v>45799</v>
      </c>
      <c r="L146" s="82">
        <f>Таблица3[[#This Row],[OLINGAN NARXI $]]+Таблица3[[#This Row],[RASXOD]]</f>
        <v>170</v>
      </c>
      <c r="M146" s="81">
        <v>260</v>
      </c>
      <c r="N146" s="81">
        <v>30</v>
      </c>
      <c r="O146" s="77" t="s">
        <v>19</v>
      </c>
    </row>
    <row r="147" spans="1:15" s="83" customFormat="1" ht="14.25" customHeight="1" x14ac:dyDescent="0.3">
      <c r="A147" s="112">
        <v>146</v>
      </c>
      <c r="B147" s="76" t="s">
        <v>16</v>
      </c>
      <c r="C147" s="77" t="s">
        <v>39</v>
      </c>
      <c r="D147" s="78" t="s">
        <v>35</v>
      </c>
      <c r="E147" s="78" t="s">
        <v>15</v>
      </c>
      <c r="F147" s="79">
        <v>352872338305127</v>
      </c>
      <c r="G147" s="78"/>
      <c r="H147" s="80">
        <v>45562</v>
      </c>
      <c r="I147" s="81">
        <v>730</v>
      </c>
      <c r="J147" s="81">
        <v>12</v>
      </c>
      <c r="K147" s="80">
        <v>45799</v>
      </c>
      <c r="L147" s="82">
        <f>Таблица3[[#This Row],[OLINGAN NARXI $]]+Таблица3[[#This Row],[RASXOD]]</f>
        <v>275</v>
      </c>
      <c r="M147" s="81">
        <v>680</v>
      </c>
      <c r="N147" s="81">
        <v>-62</v>
      </c>
      <c r="O147" s="77" t="s">
        <v>29</v>
      </c>
    </row>
    <row r="148" spans="1:15" s="105" customFormat="1" x14ac:dyDescent="0.3">
      <c r="A148" s="112">
        <v>147</v>
      </c>
      <c r="B148" s="100" t="s">
        <v>16</v>
      </c>
      <c r="C148" s="101" t="s">
        <v>88</v>
      </c>
      <c r="D148" s="102" t="s">
        <v>65</v>
      </c>
      <c r="E148" s="102" t="s">
        <v>15</v>
      </c>
      <c r="F148" s="10">
        <v>358021947402917</v>
      </c>
      <c r="G148" s="102"/>
      <c r="H148" s="103">
        <v>45789</v>
      </c>
      <c r="I148" s="26">
        <v>320</v>
      </c>
      <c r="J148" s="26"/>
      <c r="K148" s="103">
        <v>45800</v>
      </c>
      <c r="L148" s="104">
        <f>Таблица3[[#This Row],[OLINGAN NARXI $]]+Таблица3[[#This Row],[RASXOD]]</f>
        <v>250</v>
      </c>
      <c r="M148" s="26">
        <v>370</v>
      </c>
      <c r="N148" s="26">
        <v>50</v>
      </c>
      <c r="O148" s="101" t="s">
        <v>1205</v>
      </c>
    </row>
    <row r="149" spans="1:15" s="83" customFormat="1" x14ac:dyDescent="0.3">
      <c r="A149" s="112">
        <v>148</v>
      </c>
      <c r="B149" s="76" t="s">
        <v>13</v>
      </c>
      <c r="C149" s="77" t="s">
        <v>1218</v>
      </c>
      <c r="D149" s="78" t="s">
        <v>21</v>
      </c>
      <c r="E149" s="78" t="s">
        <v>15</v>
      </c>
      <c r="F149" s="79">
        <v>357774831226120</v>
      </c>
      <c r="G149" s="78"/>
      <c r="H149" s="80">
        <v>45792</v>
      </c>
      <c r="I149" s="81">
        <v>30</v>
      </c>
      <c r="J149" s="81"/>
      <c r="K149" s="80">
        <v>45800</v>
      </c>
      <c r="L149" s="82">
        <f>Таблица3[[#This Row],[OLINGAN NARXI $]]+Таблица3[[#This Row],[RASXOD]]</f>
        <v>275</v>
      </c>
      <c r="M149" s="81">
        <v>50</v>
      </c>
      <c r="N149" s="81">
        <v>20</v>
      </c>
      <c r="O149" s="77" t="s">
        <v>1219</v>
      </c>
    </row>
    <row r="150" spans="1:15" s="99" customFormat="1" x14ac:dyDescent="0.3">
      <c r="A150" s="112">
        <v>149</v>
      </c>
      <c r="B150" s="92" t="s">
        <v>16</v>
      </c>
      <c r="C150" s="93" t="s">
        <v>151</v>
      </c>
      <c r="D150" s="94" t="s">
        <v>21</v>
      </c>
      <c r="E150" s="94" t="s">
        <v>15</v>
      </c>
      <c r="F150" s="95">
        <v>353072093566067</v>
      </c>
      <c r="G150" s="94" t="s">
        <v>61</v>
      </c>
      <c r="H150" s="96">
        <v>45777</v>
      </c>
      <c r="I150" s="97">
        <v>38</v>
      </c>
      <c r="J150" s="97"/>
      <c r="K150" s="96">
        <v>45800</v>
      </c>
      <c r="L150" s="98">
        <f>Таблица3[[#This Row],[OLINGAN NARXI $]]+Таблица3[[#This Row],[RASXOD]]</f>
        <v>275</v>
      </c>
      <c r="M150" s="97">
        <v>75</v>
      </c>
      <c r="N150" s="97">
        <v>37</v>
      </c>
      <c r="O150" s="93"/>
    </row>
    <row r="151" spans="1:15" s="105" customFormat="1" x14ac:dyDescent="0.3">
      <c r="A151" s="112">
        <v>150</v>
      </c>
      <c r="B151" s="100" t="s">
        <v>13</v>
      </c>
      <c r="C151" s="101" t="s">
        <v>115</v>
      </c>
      <c r="D151" s="102" t="s">
        <v>18</v>
      </c>
      <c r="E151" s="102" t="s">
        <v>15</v>
      </c>
      <c r="F151" s="10">
        <v>351376411215089</v>
      </c>
      <c r="G151" s="102" t="s">
        <v>556</v>
      </c>
      <c r="H151" s="103">
        <v>45627</v>
      </c>
      <c r="I151" s="26">
        <v>150</v>
      </c>
      <c r="J151" s="26"/>
      <c r="K151" s="103">
        <v>45800</v>
      </c>
      <c r="L151" s="104">
        <f>Таблица3[[#This Row],[OLINGAN NARXI $]]+Таблица3[[#This Row],[RASXOD]]</f>
        <v>35</v>
      </c>
      <c r="M151" s="26">
        <v>190</v>
      </c>
      <c r="N151" s="26">
        <v>40</v>
      </c>
      <c r="O151" s="101"/>
    </row>
    <row r="152" spans="1:15" s="83" customFormat="1" x14ac:dyDescent="0.3">
      <c r="A152" s="112">
        <v>151</v>
      </c>
      <c r="B152" s="76" t="s">
        <v>16</v>
      </c>
      <c r="C152" s="77" t="s">
        <v>128</v>
      </c>
      <c r="D152" s="78" t="s">
        <v>26</v>
      </c>
      <c r="E152" s="78" t="s">
        <v>22</v>
      </c>
      <c r="F152" s="79">
        <v>353233954397899</v>
      </c>
      <c r="G152" s="78"/>
      <c r="H152" s="80">
        <v>45781</v>
      </c>
      <c r="I152" s="81">
        <v>650</v>
      </c>
      <c r="J152" s="81"/>
      <c r="K152" s="80">
        <v>45800</v>
      </c>
      <c r="L152" s="82">
        <v>650</v>
      </c>
      <c r="M152" s="81">
        <v>750</v>
      </c>
      <c r="N152" s="81">
        <v>100</v>
      </c>
      <c r="O152" s="77" t="s">
        <v>147</v>
      </c>
    </row>
    <row r="153" spans="1:15" s="105" customFormat="1" x14ac:dyDescent="0.3">
      <c r="A153" s="112">
        <v>152</v>
      </c>
      <c r="B153" s="100" t="s">
        <v>16</v>
      </c>
      <c r="C153" s="101" t="s">
        <v>83</v>
      </c>
      <c r="D153" s="102" t="s">
        <v>65</v>
      </c>
      <c r="E153" s="102" t="s">
        <v>15</v>
      </c>
      <c r="F153" s="10">
        <v>359664924935927</v>
      </c>
      <c r="G153" s="102"/>
      <c r="H153" s="103">
        <v>45796</v>
      </c>
      <c r="I153" s="26">
        <v>370</v>
      </c>
      <c r="J153" s="26"/>
      <c r="K153" s="103">
        <v>45800</v>
      </c>
      <c r="L153" s="104">
        <f>Таблица3[[#This Row],[OLINGAN NARXI $]]+Таблица3[[#This Row],[RASXOD]]</f>
        <v>154</v>
      </c>
      <c r="M153" s="26">
        <v>408</v>
      </c>
      <c r="N153" s="26">
        <v>38</v>
      </c>
      <c r="O153" s="101" t="s">
        <v>1228</v>
      </c>
    </row>
    <row r="154" spans="1:15" s="83" customFormat="1" x14ac:dyDescent="0.3">
      <c r="A154" s="112">
        <v>153</v>
      </c>
      <c r="B154" s="76" t="s">
        <v>16</v>
      </c>
      <c r="C154" s="77" t="s">
        <v>128</v>
      </c>
      <c r="D154" s="78" t="s">
        <v>21</v>
      </c>
      <c r="E154" s="78" t="s">
        <v>22</v>
      </c>
      <c r="F154" s="79">
        <v>353233958724338</v>
      </c>
      <c r="G154" s="78"/>
      <c r="H154" s="80">
        <v>45786</v>
      </c>
      <c r="I154" s="81">
        <v>600</v>
      </c>
      <c r="J154" s="81">
        <v>23</v>
      </c>
      <c r="K154" s="80">
        <v>45801</v>
      </c>
      <c r="L154" s="82">
        <f>Таблица3[[#This Row],[OLINGAN NARXI $]]+Таблица3[[#This Row],[RASXOD]]</f>
        <v>252.6</v>
      </c>
      <c r="M154" s="81">
        <v>650</v>
      </c>
      <c r="N154" s="81">
        <v>27</v>
      </c>
      <c r="O154" s="77" t="s">
        <v>1187</v>
      </c>
    </row>
    <row r="155" spans="1:15" s="99" customFormat="1" x14ac:dyDescent="0.3">
      <c r="A155" s="112">
        <v>154</v>
      </c>
      <c r="B155" s="92" t="s">
        <v>16</v>
      </c>
      <c r="C155" s="93" t="s">
        <v>148</v>
      </c>
      <c r="D155" s="94" t="s">
        <v>21</v>
      </c>
      <c r="E155" s="94" t="s">
        <v>22</v>
      </c>
      <c r="F155" s="95">
        <v>355942859626784</v>
      </c>
      <c r="G155" s="94"/>
      <c r="H155" s="96">
        <v>45798</v>
      </c>
      <c r="I155" s="97">
        <v>300</v>
      </c>
      <c r="J155" s="97"/>
      <c r="K155" s="96">
        <v>45801</v>
      </c>
      <c r="L155" s="98">
        <f>Таблица3[[#This Row],[OLINGAN NARXI $]]+Таблица3[[#This Row],[RASXOD]]</f>
        <v>286</v>
      </c>
      <c r="M155" s="97">
        <v>370</v>
      </c>
      <c r="N155" s="97">
        <v>70</v>
      </c>
      <c r="O155" s="93" t="s">
        <v>1240</v>
      </c>
    </row>
    <row r="156" spans="1:15" s="105" customFormat="1" x14ac:dyDescent="0.3">
      <c r="A156" s="112">
        <v>155</v>
      </c>
      <c r="B156" s="100" t="s">
        <v>13</v>
      </c>
      <c r="C156" s="101" t="s">
        <v>455</v>
      </c>
      <c r="D156" s="102" t="s">
        <v>1123</v>
      </c>
      <c r="E156" s="102" t="s">
        <v>15</v>
      </c>
      <c r="F156" s="10">
        <v>352412372415613</v>
      </c>
      <c r="G156" s="102"/>
      <c r="H156" s="103">
        <v>45776</v>
      </c>
      <c r="I156" s="26">
        <v>295</v>
      </c>
      <c r="J156" s="26"/>
      <c r="K156" s="103">
        <v>45801</v>
      </c>
      <c r="L156" s="104">
        <f>Таблица3[[#This Row],[OLINGAN NARXI $]]+Таблица3[[#This Row],[RASXOD]]</f>
        <v>250</v>
      </c>
      <c r="M156" s="26">
        <v>340</v>
      </c>
      <c r="N156" s="26">
        <v>45</v>
      </c>
      <c r="O156" s="101" t="s">
        <v>147</v>
      </c>
    </row>
    <row r="157" spans="1:15" s="83" customFormat="1" x14ac:dyDescent="0.3">
      <c r="A157" s="112">
        <v>156</v>
      </c>
      <c r="B157" s="76" t="s">
        <v>16</v>
      </c>
      <c r="C157" s="77" t="s">
        <v>83</v>
      </c>
      <c r="D157" s="78" t="s">
        <v>65</v>
      </c>
      <c r="E157" s="78" t="s">
        <v>22</v>
      </c>
      <c r="F157" s="79">
        <v>355471420907416</v>
      </c>
      <c r="G157" s="78"/>
      <c r="H157" s="80">
        <v>45787</v>
      </c>
      <c r="I157" s="81">
        <v>390</v>
      </c>
      <c r="J157" s="81"/>
      <c r="K157" s="80">
        <v>45802</v>
      </c>
      <c r="L157" s="82">
        <f>Таблица3[[#This Row],[OLINGAN NARXI $]]+Таблица3[[#This Row],[RASXOD]]</f>
        <v>250</v>
      </c>
      <c r="M157" s="81">
        <v>450</v>
      </c>
      <c r="N157" s="81">
        <v>60</v>
      </c>
      <c r="O157" s="77" t="s">
        <v>1194</v>
      </c>
    </row>
    <row r="158" spans="1:15" s="83" customFormat="1" x14ac:dyDescent="0.3">
      <c r="A158" s="112">
        <v>157</v>
      </c>
      <c r="B158" s="76" t="s">
        <v>16</v>
      </c>
      <c r="C158" s="77" t="s">
        <v>1083</v>
      </c>
      <c r="D158" s="78" t="s">
        <v>21</v>
      </c>
      <c r="E158" s="78" t="s">
        <v>22</v>
      </c>
      <c r="F158" s="79">
        <v>351131122503012</v>
      </c>
      <c r="G158" s="78" t="s">
        <v>145</v>
      </c>
      <c r="H158" s="80">
        <v>45786</v>
      </c>
      <c r="I158" s="81">
        <v>450</v>
      </c>
      <c r="J158" s="81">
        <v>23</v>
      </c>
      <c r="K158" s="80">
        <v>45802</v>
      </c>
      <c r="L158" s="82">
        <f>Таблица3[[#This Row],[OLINGAN NARXI $]]+Таблица3[[#This Row],[RASXOD]]</f>
        <v>645</v>
      </c>
      <c r="M158" s="81">
        <v>550</v>
      </c>
      <c r="N158" s="81">
        <v>77</v>
      </c>
      <c r="O158" s="77" t="s">
        <v>1188</v>
      </c>
    </row>
    <row r="159" spans="1:15" s="83" customFormat="1" x14ac:dyDescent="0.3">
      <c r="A159" s="112">
        <v>158</v>
      </c>
      <c r="B159" s="76" t="s">
        <v>13</v>
      </c>
      <c r="C159" s="77" t="s">
        <v>565</v>
      </c>
      <c r="D159" s="78" t="s">
        <v>21</v>
      </c>
      <c r="E159" s="78" t="s">
        <v>15</v>
      </c>
      <c r="F159" s="79">
        <v>353238130454365</v>
      </c>
      <c r="G159" s="78"/>
      <c r="H159" s="80">
        <v>45771</v>
      </c>
      <c r="I159" s="81">
        <v>390</v>
      </c>
      <c r="J159" s="81"/>
      <c r="K159" s="80">
        <v>45802</v>
      </c>
      <c r="L159" s="82">
        <f>Таблица3[[#This Row],[OLINGAN NARXI $]]+Таблица3[[#This Row],[RASXOD]]</f>
        <v>180</v>
      </c>
      <c r="M159" s="81">
        <v>430</v>
      </c>
      <c r="N159" s="81">
        <v>40</v>
      </c>
      <c r="O159" s="77" t="s">
        <v>147</v>
      </c>
    </row>
    <row r="160" spans="1:15" s="83" customFormat="1" x14ac:dyDescent="0.3">
      <c r="A160" s="112">
        <v>159</v>
      </c>
      <c r="B160" s="76" t="s">
        <v>16</v>
      </c>
      <c r="C160" s="77" t="s">
        <v>312</v>
      </c>
      <c r="D160" s="78" t="s">
        <v>18</v>
      </c>
      <c r="E160" s="78" t="s">
        <v>15</v>
      </c>
      <c r="F160" s="79">
        <v>355908667472745</v>
      </c>
      <c r="G160" s="78"/>
      <c r="H160" s="80">
        <v>45786</v>
      </c>
      <c r="I160" s="81">
        <v>510</v>
      </c>
      <c r="J160" s="81"/>
      <c r="K160" s="80">
        <v>45802</v>
      </c>
      <c r="L160" s="82">
        <f>Таблица3[[#This Row],[OLINGAN NARXI $]]+Таблица3[[#This Row],[RASXOD]]</f>
        <v>245</v>
      </c>
      <c r="M160" s="81">
        <v>560</v>
      </c>
      <c r="N160" s="81">
        <v>50</v>
      </c>
      <c r="O160" s="77" t="s">
        <v>19</v>
      </c>
    </row>
    <row r="161" spans="1:15" s="56" customFormat="1" x14ac:dyDescent="0.3">
      <c r="A161" s="112">
        <v>160</v>
      </c>
      <c r="B161" s="50" t="s">
        <v>16</v>
      </c>
      <c r="C161" s="51" t="s">
        <v>327</v>
      </c>
      <c r="D161" s="52"/>
      <c r="E161" s="52"/>
      <c r="F161" s="53"/>
      <c r="G161" s="52"/>
      <c r="H161" s="54"/>
      <c r="I161" s="55">
        <v>530</v>
      </c>
      <c r="J161" s="55"/>
      <c r="K161" s="54">
        <v>45802</v>
      </c>
      <c r="L161" s="72">
        <f>Таблица3758910[[#This Row],[OLINGAN NARXI $]]+Таблица3758910[[#This Row],[RASXOD]]</f>
        <v>530</v>
      </c>
      <c r="M161" s="55">
        <v>530</v>
      </c>
      <c r="N161" s="55">
        <f>Таблица3758910[[#This Row],[SOTILGAN NARXI]]-Таблица3758910[[#This Row],[OLINGAN NARXI $]]-Таблица3758910[[#This Row],[RASXOD]]</f>
        <v>0</v>
      </c>
      <c r="O161" s="51"/>
    </row>
    <row r="162" spans="1:15" s="83" customFormat="1" x14ac:dyDescent="0.3">
      <c r="A162" s="112">
        <v>161</v>
      </c>
      <c r="B162" s="76" t="s">
        <v>16</v>
      </c>
      <c r="C162" s="77" t="s">
        <v>32</v>
      </c>
      <c r="D162" s="78" t="s">
        <v>65</v>
      </c>
      <c r="E162" s="78" t="s">
        <v>22</v>
      </c>
      <c r="F162" s="79">
        <v>354321296872528</v>
      </c>
      <c r="G162" s="78"/>
      <c r="H162" s="80">
        <v>45789</v>
      </c>
      <c r="I162" s="81">
        <v>650</v>
      </c>
      <c r="J162" s="81"/>
      <c r="K162" s="80">
        <v>45803</v>
      </c>
      <c r="L162" s="82">
        <f>Таблица3[[#This Row],[OLINGAN NARXI $]]+Таблица3[[#This Row],[RASXOD]]</f>
        <v>565</v>
      </c>
      <c r="M162" s="81">
        <v>710</v>
      </c>
      <c r="N162" s="81">
        <v>60</v>
      </c>
      <c r="O162" s="77" t="s">
        <v>1206</v>
      </c>
    </row>
    <row r="163" spans="1:15" s="83" customFormat="1" x14ac:dyDescent="0.3">
      <c r="A163" s="112">
        <v>162</v>
      </c>
      <c r="B163" s="76" t="s">
        <v>16</v>
      </c>
      <c r="C163" s="77" t="s">
        <v>303</v>
      </c>
      <c r="D163" s="78" t="s">
        <v>18</v>
      </c>
      <c r="E163" s="78" t="s">
        <v>15</v>
      </c>
      <c r="F163" s="79">
        <v>359922412743504</v>
      </c>
      <c r="G163" s="78"/>
      <c r="H163" s="80">
        <v>45802</v>
      </c>
      <c r="I163" s="81">
        <v>390</v>
      </c>
      <c r="J163" s="81"/>
      <c r="K163" s="80">
        <v>45803</v>
      </c>
      <c r="L163" s="82">
        <f>Таблица3[[#This Row],[OLINGAN NARXI $]]+Таблица3[[#This Row],[RASXOD]]</f>
        <v>301</v>
      </c>
      <c r="M163" s="81">
        <v>465</v>
      </c>
      <c r="N163" s="81">
        <v>75</v>
      </c>
      <c r="O163" s="77" t="s">
        <v>19</v>
      </c>
    </row>
    <row r="164" spans="1:15" s="83" customFormat="1" x14ac:dyDescent="0.3">
      <c r="A164" s="112">
        <v>163</v>
      </c>
      <c r="B164" s="76" t="s">
        <v>16</v>
      </c>
      <c r="C164" s="77" t="s">
        <v>1083</v>
      </c>
      <c r="D164" s="78" t="s">
        <v>35</v>
      </c>
      <c r="E164" s="78" t="s">
        <v>15</v>
      </c>
      <c r="F164" s="79">
        <v>354569162258335</v>
      </c>
      <c r="G164" s="78"/>
      <c r="H164" s="80">
        <v>45790</v>
      </c>
      <c r="I164" s="81">
        <v>510</v>
      </c>
      <c r="J164" s="81"/>
      <c r="K164" s="80">
        <v>45803</v>
      </c>
      <c r="L164" s="82">
        <f>Таблица3[[#This Row],[OLINGAN NARXI $]]+Таблица3[[#This Row],[RASXOD]]</f>
        <v>57</v>
      </c>
      <c r="M164" s="81">
        <v>570</v>
      </c>
      <c r="N164" s="81">
        <v>60</v>
      </c>
      <c r="O164" s="77" t="s">
        <v>1210</v>
      </c>
    </row>
    <row r="165" spans="1:15" s="83" customFormat="1" x14ac:dyDescent="0.3">
      <c r="A165" s="112">
        <v>164</v>
      </c>
      <c r="B165" s="76" t="s">
        <v>16</v>
      </c>
      <c r="C165" s="77" t="s">
        <v>81</v>
      </c>
      <c r="D165" s="78" t="s">
        <v>65</v>
      </c>
      <c r="E165" s="78" t="s">
        <v>15</v>
      </c>
      <c r="F165" s="79">
        <v>351619858558028</v>
      </c>
      <c r="G165" s="78"/>
      <c r="H165" s="80">
        <v>45786</v>
      </c>
      <c r="I165" s="81">
        <v>440</v>
      </c>
      <c r="J165" s="81"/>
      <c r="K165" s="80">
        <v>45803</v>
      </c>
      <c r="L165" s="82">
        <f>Таблица3[[#This Row],[OLINGAN NARXI $]]+Таблица3[[#This Row],[RASXOD]]</f>
        <v>150</v>
      </c>
      <c r="M165" s="81">
        <v>490</v>
      </c>
      <c r="N165" s="81">
        <v>50</v>
      </c>
      <c r="O165" s="77" t="s">
        <v>19</v>
      </c>
    </row>
    <row r="166" spans="1:15" s="105" customFormat="1" x14ac:dyDescent="0.3">
      <c r="A166" s="112">
        <v>165</v>
      </c>
      <c r="B166" s="100" t="s">
        <v>207</v>
      </c>
      <c r="C166" s="101" t="s">
        <v>437</v>
      </c>
      <c r="D166" s="102" t="s">
        <v>21</v>
      </c>
      <c r="E166" s="102" t="s">
        <v>22</v>
      </c>
      <c r="F166" s="10"/>
      <c r="G166" s="102"/>
      <c r="H166" s="103">
        <v>45800</v>
      </c>
      <c r="I166" s="26">
        <v>150</v>
      </c>
      <c r="J166" s="26"/>
      <c r="K166" s="103">
        <v>45803</v>
      </c>
      <c r="L166" s="104">
        <f>Таблица3[[#This Row],[OLINGAN NARXI $]]+Таблица3[[#This Row],[RASXOD]]</f>
        <v>200</v>
      </c>
      <c r="M166" s="26">
        <v>190</v>
      </c>
      <c r="N166" s="26">
        <v>40</v>
      </c>
      <c r="O166" s="101" t="s">
        <v>262</v>
      </c>
    </row>
    <row r="167" spans="1:15" s="83" customFormat="1" ht="15" customHeight="1" x14ac:dyDescent="0.3">
      <c r="A167" s="112">
        <v>166</v>
      </c>
      <c r="B167" s="76" t="s">
        <v>16</v>
      </c>
      <c r="C167" s="77" t="s">
        <v>74</v>
      </c>
      <c r="D167" s="78" t="s">
        <v>35</v>
      </c>
      <c r="E167" s="78" t="s">
        <v>15</v>
      </c>
      <c r="F167" s="79">
        <v>351553269861574</v>
      </c>
      <c r="G167" s="78"/>
      <c r="H167" s="80">
        <v>45566</v>
      </c>
      <c r="I167" s="81">
        <v>645</v>
      </c>
      <c r="J167" s="81">
        <v>12</v>
      </c>
      <c r="K167" s="80">
        <v>45803</v>
      </c>
      <c r="L167" s="82">
        <f>Таблица3[[#This Row],[OLINGAN NARXI $]]+Таблица3[[#This Row],[RASXOD]]</f>
        <v>160</v>
      </c>
      <c r="M167" s="81">
        <v>580</v>
      </c>
      <c r="N167" s="81">
        <v>-77</v>
      </c>
      <c r="O167" s="77" t="s">
        <v>29</v>
      </c>
    </row>
    <row r="168" spans="1:15" s="105" customFormat="1" x14ac:dyDescent="0.3">
      <c r="A168" s="112">
        <v>167</v>
      </c>
      <c r="B168" s="100" t="s">
        <v>16</v>
      </c>
      <c r="C168" s="101" t="s">
        <v>74</v>
      </c>
      <c r="D168" s="102" t="s">
        <v>35</v>
      </c>
      <c r="E168" s="102" t="s">
        <v>15</v>
      </c>
      <c r="F168" s="10">
        <v>353730790699842</v>
      </c>
      <c r="G168" s="102"/>
      <c r="H168" s="103">
        <v>45802</v>
      </c>
      <c r="I168" s="26">
        <v>460</v>
      </c>
      <c r="J168" s="26"/>
      <c r="K168" s="103">
        <v>45803</v>
      </c>
      <c r="L168" s="104">
        <f>Таблица3[[#This Row],[OLINGAN NARXI $]]+Таблица3[[#This Row],[RASXOD]]</f>
        <v>160</v>
      </c>
      <c r="M168" s="26">
        <v>520</v>
      </c>
      <c r="N168" s="26">
        <v>60</v>
      </c>
      <c r="O168" s="101" t="s">
        <v>19</v>
      </c>
    </row>
    <row r="169" spans="1:15" s="83" customFormat="1" x14ac:dyDescent="0.3">
      <c r="A169" s="112">
        <v>168</v>
      </c>
      <c r="B169" s="76" t="s">
        <v>13</v>
      </c>
      <c r="C169" s="77" t="s">
        <v>119</v>
      </c>
      <c r="D169" s="78" t="s">
        <v>89</v>
      </c>
      <c r="E169" s="78" t="s">
        <v>15</v>
      </c>
      <c r="F169" s="79">
        <v>350865891246516</v>
      </c>
      <c r="G169" s="78"/>
      <c r="H169" s="80">
        <v>45790</v>
      </c>
      <c r="I169" s="81">
        <v>250</v>
      </c>
      <c r="J169" s="81">
        <v>26</v>
      </c>
      <c r="K169" s="80">
        <v>45803</v>
      </c>
      <c r="L169" s="82">
        <f>Таблица3[[#This Row],[OLINGAN NARXI $]]+Таблица3[[#This Row],[RASXOD]]</f>
        <v>160</v>
      </c>
      <c r="M169" s="81">
        <v>320</v>
      </c>
      <c r="N169" s="81">
        <v>44</v>
      </c>
      <c r="O169" s="77" t="s">
        <v>147</v>
      </c>
    </row>
    <row r="170" spans="1:15" s="83" customFormat="1" x14ac:dyDescent="0.3">
      <c r="A170" s="112">
        <v>169</v>
      </c>
      <c r="B170" s="76" t="s">
        <v>13</v>
      </c>
      <c r="C170" s="77" t="s">
        <v>119</v>
      </c>
      <c r="D170" s="78" t="s">
        <v>65</v>
      </c>
      <c r="E170" s="78" t="s">
        <v>15</v>
      </c>
      <c r="F170" s="79">
        <v>350345221070894</v>
      </c>
      <c r="G170" s="78"/>
      <c r="H170" s="80">
        <v>45771</v>
      </c>
      <c r="I170" s="81">
        <v>260</v>
      </c>
      <c r="J170" s="81">
        <v>16</v>
      </c>
      <c r="K170" s="80">
        <v>45803</v>
      </c>
      <c r="L170" s="82">
        <f>Таблица3[[#This Row],[OLINGAN NARXI $]]+Таблица3[[#This Row],[RASXOD]]</f>
        <v>160</v>
      </c>
      <c r="M170" s="81">
        <v>320</v>
      </c>
      <c r="N170" s="81">
        <v>44</v>
      </c>
      <c r="O170" s="77" t="s">
        <v>147</v>
      </c>
    </row>
    <row r="171" spans="1:15" s="83" customFormat="1" x14ac:dyDescent="0.3">
      <c r="A171" s="112">
        <v>170</v>
      </c>
      <c r="B171" s="76" t="s">
        <v>16</v>
      </c>
      <c r="C171" s="77" t="s">
        <v>83</v>
      </c>
      <c r="D171" s="78" t="s">
        <v>65</v>
      </c>
      <c r="E171" s="78" t="s">
        <v>22</v>
      </c>
      <c r="F171" s="79">
        <v>355196750106012</v>
      </c>
      <c r="G171" s="78"/>
      <c r="H171" s="80">
        <v>45786</v>
      </c>
      <c r="I171" s="81">
        <v>450</v>
      </c>
      <c r="J171" s="81"/>
      <c r="K171" s="80">
        <v>45803</v>
      </c>
      <c r="L171" s="82">
        <f>Таблица3[[#This Row],[OLINGAN NARXI $]]+Таблица3[[#This Row],[RASXOD]]</f>
        <v>160</v>
      </c>
      <c r="M171" s="81">
        <v>470</v>
      </c>
      <c r="N171" s="81">
        <v>20</v>
      </c>
      <c r="O171" s="77" t="s">
        <v>19</v>
      </c>
    </row>
    <row r="172" spans="1:15" s="83" customFormat="1" x14ac:dyDescent="0.3">
      <c r="A172" s="112">
        <v>171</v>
      </c>
      <c r="B172" s="76" t="s">
        <v>16</v>
      </c>
      <c r="C172" s="77" t="s">
        <v>418</v>
      </c>
      <c r="D172" s="78" t="s">
        <v>583</v>
      </c>
      <c r="E172" s="78" t="s">
        <v>22</v>
      </c>
      <c r="F172" s="79"/>
      <c r="G172" s="78"/>
      <c r="H172" s="80"/>
      <c r="I172" s="81"/>
      <c r="J172" s="81"/>
      <c r="K172" s="80">
        <v>45804</v>
      </c>
      <c r="L172" s="82">
        <f>Таблица3758910[[#This Row],[OLINGAN NARXI $]]+Таблица3758910[[#This Row],[RASXOD]]</f>
        <v>0</v>
      </c>
      <c r="M172" s="81">
        <v>20</v>
      </c>
      <c r="N172" s="81">
        <f>Таблица3758910[[#This Row],[SOTILGAN NARXI]]-Таблица3758910[[#This Row],[OLINGAN NARXI $]]-Таблица3758910[[#This Row],[RASXOD]]</f>
        <v>20</v>
      </c>
      <c r="O172" s="77"/>
    </row>
    <row r="173" spans="1:15" s="99" customFormat="1" x14ac:dyDescent="0.3">
      <c r="A173" s="112">
        <v>172</v>
      </c>
      <c r="B173" s="93" t="s">
        <v>13</v>
      </c>
      <c r="C173" s="92" t="s">
        <v>563</v>
      </c>
      <c r="D173" s="94" t="s">
        <v>97</v>
      </c>
      <c r="E173" s="95" t="s">
        <v>15</v>
      </c>
      <c r="F173" s="95">
        <v>352019421869607</v>
      </c>
      <c r="G173" s="96"/>
      <c r="H173" s="96">
        <v>45764</v>
      </c>
      <c r="I173" s="97">
        <v>360</v>
      </c>
      <c r="J173" s="96"/>
      <c r="K173" s="96">
        <v>45804</v>
      </c>
      <c r="L173" s="98">
        <f>Таблица3[[#This Row],[OLINGAN NARXI $]]+Таблица3[[#This Row],[RASXOD]]</f>
        <v>421.2</v>
      </c>
      <c r="M173" s="97">
        <v>407</v>
      </c>
      <c r="N173" s="97">
        <v>47</v>
      </c>
      <c r="O173" s="99" t="s">
        <v>147</v>
      </c>
    </row>
    <row r="174" spans="1:15" s="56" customFormat="1" x14ac:dyDescent="0.3">
      <c r="A174" s="112">
        <v>173</v>
      </c>
      <c r="B174" s="50" t="s">
        <v>13</v>
      </c>
      <c r="C174" s="51" t="s">
        <v>502</v>
      </c>
      <c r="D174" s="52" t="s">
        <v>21</v>
      </c>
      <c r="E174" s="52" t="s">
        <v>22</v>
      </c>
      <c r="F174" s="53">
        <v>351247572259523</v>
      </c>
      <c r="G174" s="52" t="s">
        <v>1255</v>
      </c>
      <c r="H174" s="54">
        <v>45802</v>
      </c>
      <c r="I174" s="55">
        <v>430</v>
      </c>
      <c r="J174" s="55"/>
      <c r="K174" s="54">
        <v>45804</v>
      </c>
      <c r="L174" s="72">
        <f>Таблица3[[#This Row],[OLINGAN NARXI $]]+Таблица3[[#This Row],[RASXOD]]</f>
        <v>100</v>
      </c>
      <c r="M174" s="55">
        <v>497</v>
      </c>
      <c r="N174" s="55">
        <v>67</v>
      </c>
      <c r="O174" s="51" t="s">
        <v>1256</v>
      </c>
    </row>
    <row r="175" spans="1:15" s="83" customFormat="1" x14ac:dyDescent="0.3">
      <c r="A175" s="112">
        <v>174</v>
      </c>
      <c r="B175" s="76" t="s">
        <v>16</v>
      </c>
      <c r="C175" s="77" t="s">
        <v>1109</v>
      </c>
      <c r="D175" s="78" t="s">
        <v>97</v>
      </c>
      <c r="E175" s="78" t="s">
        <v>15</v>
      </c>
      <c r="F175" s="79">
        <v>351069580275493</v>
      </c>
      <c r="G175" s="78"/>
      <c r="H175" s="80">
        <v>45773</v>
      </c>
      <c r="I175" s="81">
        <v>470</v>
      </c>
      <c r="J175" s="81"/>
      <c r="K175" s="80">
        <v>45804</v>
      </c>
      <c r="L175" s="82">
        <f>Таблица3[[#This Row],[OLINGAN NARXI $]]+Таблица3[[#This Row],[RASXOD]]</f>
        <v>40</v>
      </c>
      <c r="M175" s="81">
        <v>527</v>
      </c>
      <c r="N175" s="81">
        <v>57</v>
      </c>
      <c r="O175" s="77" t="s">
        <v>147</v>
      </c>
    </row>
    <row r="176" spans="1:15" s="83" customFormat="1" x14ac:dyDescent="0.3">
      <c r="A176" s="112">
        <v>175</v>
      </c>
      <c r="B176" s="76" t="s">
        <v>16</v>
      </c>
      <c r="C176" s="77" t="s">
        <v>17</v>
      </c>
      <c r="D176" s="78" t="s">
        <v>97</v>
      </c>
      <c r="E176" s="78" t="s">
        <v>15</v>
      </c>
      <c r="F176" s="79">
        <v>353842105377038</v>
      </c>
      <c r="G176" s="78" t="s">
        <v>66</v>
      </c>
      <c r="H176" s="80">
        <v>45795</v>
      </c>
      <c r="I176" s="81">
        <v>150</v>
      </c>
      <c r="J176" s="81"/>
      <c r="K176" s="80">
        <v>45804</v>
      </c>
      <c r="L176" s="82">
        <f>Таблица3[[#This Row],[OLINGAN NARXI $]]+Таблица3[[#This Row],[RASXOD]]</f>
        <v>292</v>
      </c>
      <c r="M176" s="81">
        <v>220</v>
      </c>
      <c r="N176" s="81">
        <v>70</v>
      </c>
      <c r="O176" s="77" t="s">
        <v>262</v>
      </c>
    </row>
    <row r="177" spans="1:15" s="83" customFormat="1" x14ac:dyDescent="0.3">
      <c r="A177" s="112">
        <v>176</v>
      </c>
      <c r="B177" s="76" t="s">
        <v>16</v>
      </c>
      <c r="C177" s="77" t="s">
        <v>17</v>
      </c>
      <c r="D177" s="78" t="s">
        <v>97</v>
      </c>
      <c r="E177" s="78" t="s">
        <v>15</v>
      </c>
      <c r="F177" s="79">
        <v>353831102503019</v>
      </c>
      <c r="G177" s="78"/>
      <c r="H177" s="80">
        <v>45793</v>
      </c>
      <c r="I177" s="81">
        <v>200</v>
      </c>
      <c r="J177" s="81"/>
      <c r="K177" s="80">
        <v>45804</v>
      </c>
      <c r="L177" s="82">
        <f>Таблица3[[#This Row],[OLINGAN NARXI $]]+Таблица3[[#This Row],[RASXOD]]</f>
        <v>24</v>
      </c>
      <c r="M177" s="81">
        <v>260</v>
      </c>
      <c r="N177" s="81">
        <v>60</v>
      </c>
      <c r="O177" s="77" t="s">
        <v>147</v>
      </c>
    </row>
    <row r="178" spans="1:15" s="105" customFormat="1" x14ac:dyDescent="0.3">
      <c r="A178" s="112">
        <v>177</v>
      </c>
      <c r="B178" s="100" t="s">
        <v>16</v>
      </c>
      <c r="C178" s="101" t="s">
        <v>1000</v>
      </c>
      <c r="D178" s="102" t="s">
        <v>583</v>
      </c>
      <c r="E178" s="102" t="s">
        <v>22</v>
      </c>
      <c r="F178" s="10">
        <v>357988121541655</v>
      </c>
      <c r="G178" s="102"/>
      <c r="H178" s="103">
        <v>45804</v>
      </c>
      <c r="I178" s="26">
        <v>1100</v>
      </c>
      <c r="J178" s="26"/>
      <c r="K178" s="103">
        <v>45804</v>
      </c>
      <c r="L178" s="104">
        <f>Таблица3[[#This Row],[OLINGAN NARXI $]]+Таблица3[[#This Row],[RASXOD]]</f>
        <v>80</v>
      </c>
      <c r="M178" s="26">
        <v>1200</v>
      </c>
      <c r="N178" s="26">
        <v>100</v>
      </c>
      <c r="O178" s="101" t="s">
        <v>1259</v>
      </c>
    </row>
    <row r="179" spans="1:15" s="56" customFormat="1" x14ac:dyDescent="0.3">
      <c r="A179" s="112">
        <v>178</v>
      </c>
      <c r="B179" s="50" t="s">
        <v>16</v>
      </c>
      <c r="C179" s="51" t="s">
        <v>312</v>
      </c>
      <c r="D179" s="52" t="s">
        <v>97</v>
      </c>
      <c r="E179" s="52" t="s">
        <v>22</v>
      </c>
      <c r="F179" s="53">
        <v>358408877053820</v>
      </c>
      <c r="G179" s="52"/>
      <c r="H179" s="54">
        <v>45803</v>
      </c>
      <c r="I179" s="55">
        <v>500</v>
      </c>
      <c r="J179" s="55"/>
      <c r="K179" s="54">
        <v>45804</v>
      </c>
      <c r="L179" s="72">
        <f>Таблица3[[#This Row],[OLINGAN NARXI $]]+Таблица3[[#This Row],[RASXOD]]</f>
        <v>56</v>
      </c>
      <c r="M179" s="55">
        <v>570</v>
      </c>
      <c r="N179" s="55">
        <v>70</v>
      </c>
      <c r="O179" s="51">
        <v>936128748</v>
      </c>
    </row>
    <row r="180" spans="1:15" s="105" customFormat="1" x14ac:dyDescent="0.3">
      <c r="A180" s="112">
        <v>179</v>
      </c>
      <c r="B180" s="100" t="s">
        <v>16</v>
      </c>
      <c r="C180" s="101" t="s">
        <v>39</v>
      </c>
      <c r="D180" s="102" t="s">
        <v>35</v>
      </c>
      <c r="E180" s="102" t="s">
        <v>22</v>
      </c>
      <c r="F180" s="10">
        <v>354064850624584</v>
      </c>
      <c r="G180" s="102" t="s">
        <v>1150</v>
      </c>
      <c r="H180" s="103">
        <v>45780</v>
      </c>
      <c r="I180" s="26">
        <v>570</v>
      </c>
      <c r="J180" s="26"/>
      <c r="K180" s="103">
        <v>45804</v>
      </c>
      <c r="L180" s="104">
        <f>Таблица3[[#This Row],[OLINGAN NARXI $]]+Таблица3[[#This Row],[RASXOD]]</f>
        <v>0</v>
      </c>
      <c r="M180" s="26">
        <v>650</v>
      </c>
      <c r="N180" s="26">
        <v>80</v>
      </c>
      <c r="O180" s="101" t="s">
        <v>262</v>
      </c>
    </row>
    <row r="181" spans="1:15" s="99" customFormat="1" x14ac:dyDescent="0.3">
      <c r="A181" s="112">
        <v>180</v>
      </c>
      <c r="B181" s="92" t="s">
        <v>1077</v>
      </c>
      <c r="C181" s="93" t="s">
        <v>595</v>
      </c>
      <c r="D181" s="94" t="s">
        <v>21</v>
      </c>
      <c r="E181" s="94" t="s">
        <v>15</v>
      </c>
      <c r="F181" s="95">
        <v>862908042733833</v>
      </c>
      <c r="G181" s="94" t="s">
        <v>282</v>
      </c>
      <c r="H181" s="96">
        <v>45792</v>
      </c>
      <c r="I181" s="97">
        <v>62</v>
      </c>
      <c r="J181" s="97">
        <v>16</v>
      </c>
      <c r="K181" s="96">
        <v>45804</v>
      </c>
      <c r="L181" s="98">
        <f>Таблица3[[#This Row],[OLINGAN NARXI $]]+Таблица3[[#This Row],[RASXOD]]</f>
        <v>0</v>
      </c>
      <c r="M181" s="97">
        <v>92</v>
      </c>
      <c r="N181" s="97">
        <v>14</v>
      </c>
      <c r="O181" s="93" t="s">
        <v>596</v>
      </c>
    </row>
    <row r="182" spans="1:15" s="83" customFormat="1" x14ac:dyDescent="0.3">
      <c r="A182" s="112">
        <v>181</v>
      </c>
      <c r="B182" s="76" t="s">
        <v>16</v>
      </c>
      <c r="C182" s="77" t="s">
        <v>1084</v>
      </c>
      <c r="D182" s="78" t="s">
        <v>65</v>
      </c>
      <c r="E182" s="78" t="s">
        <v>22</v>
      </c>
      <c r="F182" s="79"/>
      <c r="G182" s="78"/>
      <c r="H182" s="80"/>
      <c r="I182" s="81"/>
      <c r="J182" s="81"/>
      <c r="K182" s="80">
        <v>45804</v>
      </c>
      <c r="L182" s="82">
        <f>Таблица3758910[[#This Row],[OLINGAN NARXI $]]+Таблица3758910[[#This Row],[RASXOD]]</f>
        <v>0</v>
      </c>
      <c r="M182" s="81">
        <v>35</v>
      </c>
      <c r="N182" s="81">
        <f>Таблица3758910[[#This Row],[SOTILGAN NARXI]]-Таблица3758910[[#This Row],[OLINGAN NARXI $]]-Таблица3758910[[#This Row],[RASXOD]]</f>
        <v>35</v>
      </c>
      <c r="O182" s="77" t="s">
        <v>136</v>
      </c>
    </row>
    <row r="183" spans="1:15" s="83" customFormat="1" x14ac:dyDescent="0.3">
      <c r="A183" s="112">
        <v>182</v>
      </c>
      <c r="B183" s="76" t="s">
        <v>16</v>
      </c>
      <c r="C183" s="77" t="s">
        <v>88</v>
      </c>
      <c r="D183" s="78" t="s">
        <v>89</v>
      </c>
      <c r="E183" s="78" t="s">
        <v>15</v>
      </c>
      <c r="F183" s="79">
        <v>351843197127770</v>
      </c>
      <c r="G183" s="78" t="s">
        <v>61</v>
      </c>
      <c r="H183" s="80">
        <v>45791</v>
      </c>
      <c r="I183" s="81">
        <v>300</v>
      </c>
      <c r="J183" s="81"/>
      <c r="K183" s="80">
        <v>45804</v>
      </c>
      <c r="L183" s="82">
        <f>Таблица3[[#This Row],[OLINGAN NARXI $]]+Таблица3[[#This Row],[RASXOD]]</f>
        <v>0</v>
      </c>
      <c r="M183" s="81">
        <v>346</v>
      </c>
      <c r="N183" s="81">
        <v>46</v>
      </c>
      <c r="O183" s="77" t="s">
        <v>1217</v>
      </c>
    </row>
    <row r="184" spans="1:15" s="99" customFormat="1" x14ac:dyDescent="0.3">
      <c r="A184" s="112">
        <v>183</v>
      </c>
      <c r="B184" s="92" t="s">
        <v>1077</v>
      </c>
      <c r="C184" s="93" t="s">
        <v>1266</v>
      </c>
      <c r="D184" s="94" t="s">
        <v>21</v>
      </c>
      <c r="E184" s="94" t="s">
        <v>22</v>
      </c>
      <c r="F184" s="95">
        <v>866875072665464</v>
      </c>
      <c r="G184" s="94"/>
      <c r="H184" s="96">
        <v>45805</v>
      </c>
      <c r="I184" s="97">
        <v>120</v>
      </c>
      <c r="J184" s="97"/>
      <c r="K184" s="96">
        <v>45805</v>
      </c>
      <c r="L184" s="98">
        <f>Таблица3758910[[#This Row],[OLINGAN NARXI $]]+Таблица3758910[[#This Row],[RASXOD]]</f>
        <v>120</v>
      </c>
      <c r="M184" s="97">
        <v>140</v>
      </c>
      <c r="N184" s="97">
        <f>Таблица3758910[[#This Row],[SOTILGAN NARXI]]-Таблица3758910[[#This Row],[OLINGAN NARXI $]]-Таблица3758910[[#This Row],[RASXOD]]</f>
        <v>20</v>
      </c>
      <c r="O184" s="93" t="s">
        <v>1267</v>
      </c>
    </row>
    <row r="185" spans="1:15" s="83" customFormat="1" ht="14.25" customHeight="1" x14ac:dyDescent="0.3">
      <c r="A185" s="112">
        <v>184</v>
      </c>
      <c r="B185" s="76" t="s">
        <v>13</v>
      </c>
      <c r="C185" s="77" t="s">
        <v>1041</v>
      </c>
      <c r="D185" s="78" t="s">
        <v>18</v>
      </c>
      <c r="E185" s="78" t="s">
        <v>15</v>
      </c>
      <c r="F185" s="79">
        <v>353992853181783</v>
      </c>
      <c r="G185" s="78" t="s">
        <v>27</v>
      </c>
      <c r="H185" s="80">
        <v>45790</v>
      </c>
      <c r="I185" s="81">
        <v>450</v>
      </c>
      <c r="J185" s="81">
        <v>27</v>
      </c>
      <c r="K185" s="80">
        <v>45805</v>
      </c>
      <c r="L185" s="82">
        <f>Таблица3[[#This Row],[OLINGAN NARXI $]]+Таблица3[[#This Row],[RASXOD]]</f>
        <v>0</v>
      </c>
      <c r="M185" s="81">
        <v>530</v>
      </c>
      <c r="N185" s="81">
        <v>53</v>
      </c>
      <c r="O185" s="77" t="s">
        <v>147</v>
      </c>
    </row>
    <row r="186" spans="1:15" s="56" customFormat="1" x14ac:dyDescent="0.3">
      <c r="A186" s="112">
        <v>185</v>
      </c>
      <c r="B186" s="50" t="s">
        <v>13</v>
      </c>
      <c r="C186" s="51" t="s">
        <v>455</v>
      </c>
      <c r="D186" s="52" t="s">
        <v>21</v>
      </c>
      <c r="E186" s="52" t="s">
        <v>15</v>
      </c>
      <c r="F186" s="53">
        <v>352412374368752</v>
      </c>
      <c r="G186" s="52" t="s">
        <v>556</v>
      </c>
      <c r="H186" s="54">
        <v>45788</v>
      </c>
      <c r="I186" s="55">
        <v>250</v>
      </c>
      <c r="J186" s="55"/>
      <c r="K186" s="54">
        <v>45806</v>
      </c>
      <c r="L186" s="72">
        <f>Таблица3[[#This Row],[OLINGAN NARXI $]]+Таблица3[[#This Row],[RASXOD]]</f>
        <v>0</v>
      </c>
      <c r="M186" s="55">
        <v>320</v>
      </c>
      <c r="N186" s="55">
        <v>70</v>
      </c>
      <c r="O186" s="51" t="s">
        <v>1197</v>
      </c>
    </row>
    <row r="187" spans="1:15" s="83" customFormat="1" x14ac:dyDescent="0.3">
      <c r="A187" s="112">
        <v>186</v>
      </c>
      <c r="B187" s="76" t="s">
        <v>16</v>
      </c>
      <c r="C187" s="77" t="s">
        <v>372</v>
      </c>
      <c r="D187" s="78" t="s">
        <v>21</v>
      </c>
      <c r="E187" s="78" t="s">
        <v>22</v>
      </c>
      <c r="F187" s="79">
        <v>354245333343328</v>
      </c>
      <c r="G187" s="78" t="s">
        <v>1268</v>
      </c>
      <c r="H187" s="80">
        <v>45805</v>
      </c>
      <c r="I187" s="81">
        <v>275</v>
      </c>
      <c r="J187" s="81">
        <v>5</v>
      </c>
      <c r="K187" s="80">
        <v>45806</v>
      </c>
      <c r="L187" s="82">
        <f>Таблица3[[#This Row],[OLINGAN NARXI $]]+Таблица3[[#This Row],[RASXOD]]</f>
        <v>0</v>
      </c>
      <c r="M187" s="81">
        <v>355</v>
      </c>
      <c r="N187" s="81">
        <v>75</v>
      </c>
      <c r="O187" s="77" t="s">
        <v>1269</v>
      </c>
    </row>
    <row r="188" spans="1:15" s="83" customFormat="1" x14ac:dyDescent="0.3">
      <c r="A188" s="112">
        <v>187</v>
      </c>
      <c r="B188" s="76" t="s">
        <v>16</v>
      </c>
      <c r="C188" s="77" t="s">
        <v>452</v>
      </c>
      <c r="D188" s="78" t="s">
        <v>18</v>
      </c>
      <c r="E188" s="78" t="s">
        <v>15</v>
      </c>
      <c r="F188" s="79">
        <v>356581102457255</v>
      </c>
      <c r="G188" s="78"/>
      <c r="H188" s="80">
        <v>45798</v>
      </c>
      <c r="I188" s="81">
        <v>210</v>
      </c>
      <c r="J188" s="81"/>
      <c r="K188" s="80">
        <v>45806</v>
      </c>
      <c r="L188" s="82">
        <f>Таблица3[[#This Row],[OLINGAN NARXI $]]+Таблица3[[#This Row],[RASXOD]]</f>
        <v>0</v>
      </c>
      <c r="M188" s="81">
        <v>260</v>
      </c>
      <c r="N188" s="81">
        <v>50</v>
      </c>
      <c r="O188" s="77" t="s">
        <v>1244</v>
      </c>
    </row>
    <row r="189" spans="1:15" s="83" customFormat="1" x14ac:dyDescent="0.3">
      <c r="A189" s="112">
        <v>188</v>
      </c>
      <c r="B189" s="76" t="s">
        <v>16</v>
      </c>
      <c r="C189" s="77" t="s">
        <v>106</v>
      </c>
      <c r="D189" s="78" t="s">
        <v>21</v>
      </c>
      <c r="E189" s="78" t="s">
        <v>22</v>
      </c>
      <c r="F189" s="79">
        <v>356543103477294</v>
      </c>
      <c r="G189" s="78" t="s">
        <v>1261</v>
      </c>
      <c r="H189" s="80">
        <v>45804</v>
      </c>
      <c r="I189" s="81">
        <v>150</v>
      </c>
      <c r="J189" s="81">
        <v>19</v>
      </c>
      <c r="K189" s="80">
        <v>45807</v>
      </c>
      <c r="L189" s="82">
        <f>Таблица3[[#This Row],[OLINGAN NARXI $]]+Таблица3[[#This Row],[RASXOD]]</f>
        <v>0</v>
      </c>
      <c r="M189" s="81">
        <v>210</v>
      </c>
      <c r="N189" s="81">
        <v>41</v>
      </c>
      <c r="O189" s="77">
        <v>909394042</v>
      </c>
    </row>
    <row r="190" spans="1:15" s="105" customFormat="1" x14ac:dyDescent="0.3">
      <c r="A190" s="112">
        <v>189</v>
      </c>
      <c r="B190" s="100" t="s">
        <v>16</v>
      </c>
      <c r="C190" s="101" t="s">
        <v>74</v>
      </c>
      <c r="D190" s="102" t="s">
        <v>18</v>
      </c>
      <c r="E190" s="102" t="s">
        <v>15</v>
      </c>
      <c r="F190" s="10">
        <v>357170548191949</v>
      </c>
      <c r="G190" s="102"/>
      <c r="H190" s="103">
        <v>45806</v>
      </c>
      <c r="I190" s="26">
        <v>560</v>
      </c>
      <c r="J190" s="26"/>
      <c r="K190" s="103">
        <v>45807</v>
      </c>
      <c r="L190" s="104">
        <f>Таблица3[[#This Row],[OLINGAN NARXI $]]+Таблица3[[#This Row],[RASXOD]]</f>
        <v>0</v>
      </c>
      <c r="M190" s="26">
        <v>600</v>
      </c>
      <c r="N190" s="26">
        <v>40</v>
      </c>
      <c r="O190" s="101" t="s">
        <v>19</v>
      </c>
    </row>
    <row r="191" spans="1:15" s="56" customFormat="1" x14ac:dyDescent="0.3">
      <c r="A191" s="112">
        <v>190</v>
      </c>
      <c r="B191" s="50" t="s">
        <v>16</v>
      </c>
      <c r="C191" s="51" t="s">
        <v>157</v>
      </c>
      <c r="D191" s="52" t="s">
        <v>21</v>
      </c>
      <c r="E191" s="52" t="s">
        <v>15</v>
      </c>
      <c r="F191" s="53">
        <v>356694115364812</v>
      </c>
      <c r="G191" s="52" t="s">
        <v>1168</v>
      </c>
      <c r="H191" s="54">
        <v>45782</v>
      </c>
      <c r="I191" s="55">
        <v>220</v>
      </c>
      <c r="J191" s="55"/>
      <c r="K191" s="54">
        <v>45807</v>
      </c>
      <c r="L191" s="72">
        <f>Таблица3[[#This Row],[OLINGAN NARXI $]]+Таблица3[[#This Row],[RASXOD]]</f>
        <v>120</v>
      </c>
      <c r="M191" s="55">
        <v>250</v>
      </c>
      <c r="N191" s="55">
        <v>30</v>
      </c>
      <c r="O191" s="51" t="s">
        <v>262</v>
      </c>
    </row>
    <row r="192" spans="1:15" s="105" customFormat="1" x14ac:dyDescent="0.3">
      <c r="A192" s="112">
        <v>191</v>
      </c>
      <c r="B192" s="100" t="s">
        <v>16</v>
      </c>
      <c r="C192" s="101" t="s">
        <v>104</v>
      </c>
      <c r="D192" s="102" t="s">
        <v>65</v>
      </c>
      <c r="E192" s="102" t="s">
        <v>22</v>
      </c>
      <c r="F192" s="10">
        <v>353369286606613</v>
      </c>
      <c r="G192" s="102"/>
      <c r="H192" s="103">
        <v>45806</v>
      </c>
      <c r="I192" s="26">
        <v>330</v>
      </c>
      <c r="J192" s="26"/>
      <c r="K192" s="103">
        <v>45807</v>
      </c>
      <c r="L192" s="104">
        <f>Таблица3[[#This Row],[OLINGAN NARXI $]]+Таблица3[[#This Row],[RASXOD]]</f>
        <v>30</v>
      </c>
      <c r="M192" s="26">
        <v>395</v>
      </c>
      <c r="N192" s="26">
        <v>65</v>
      </c>
      <c r="O192" s="101" t="s">
        <v>1273</v>
      </c>
    </row>
    <row r="193" spans="1:15" s="83" customFormat="1" x14ac:dyDescent="0.3">
      <c r="A193" s="112">
        <v>192</v>
      </c>
      <c r="B193" s="76" t="s">
        <v>16</v>
      </c>
      <c r="C193" s="77" t="s">
        <v>88</v>
      </c>
      <c r="D193" s="78" t="s">
        <v>21</v>
      </c>
      <c r="E193" s="78" t="s">
        <v>22</v>
      </c>
      <c r="F193" s="79">
        <v>353082802808551</v>
      </c>
      <c r="G193" s="78"/>
      <c r="H193" s="80">
        <v>45802</v>
      </c>
      <c r="I193" s="81">
        <v>395</v>
      </c>
      <c r="J193" s="81"/>
      <c r="K193" s="80">
        <v>45807</v>
      </c>
      <c r="L193" s="82">
        <f>Таблица3[[#This Row],[OLINGAN NARXI $]]+Таблица3[[#This Row],[RASXOD]]</f>
        <v>48</v>
      </c>
      <c r="M193" s="81">
        <v>440</v>
      </c>
      <c r="N193" s="81">
        <v>45</v>
      </c>
      <c r="O193" s="77" t="s">
        <v>262</v>
      </c>
    </row>
    <row r="194" spans="1:15" s="99" customFormat="1" x14ac:dyDescent="0.3">
      <c r="A194" s="112">
        <v>193</v>
      </c>
      <c r="B194" s="92" t="s">
        <v>16</v>
      </c>
      <c r="C194" s="93" t="s">
        <v>1000</v>
      </c>
      <c r="D194" s="94" t="s">
        <v>583</v>
      </c>
      <c r="E194" s="94" t="s">
        <v>22</v>
      </c>
      <c r="F194" s="95">
        <v>357988121828201</v>
      </c>
      <c r="G194" s="94" t="s">
        <v>556</v>
      </c>
      <c r="H194" s="96">
        <v>45806</v>
      </c>
      <c r="I194" s="97">
        <v>970</v>
      </c>
      <c r="J194" s="97"/>
      <c r="K194" s="96">
        <v>45807</v>
      </c>
      <c r="L194" s="98">
        <f>Таблица3[[#This Row],[OLINGAN NARXI $]]+Таблица3[[#This Row],[RASXOD]]</f>
        <v>440</v>
      </c>
      <c r="M194" s="97">
        <v>1010</v>
      </c>
      <c r="N194" s="97">
        <v>40</v>
      </c>
      <c r="O194" s="93" t="s">
        <v>1278</v>
      </c>
    </row>
    <row r="195" spans="1:15" s="99" customFormat="1" x14ac:dyDescent="0.3">
      <c r="A195" s="112">
        <v>194</v>
      </c>
      <c r="B195" s="92" t="s">
        <v>13</v>
      </c>
      <c r="C195" s="93" t="s">
        <v>1275</v>
      </c>
      <c r="D195" s="94" t="s">
        <v>21</v>
      </c>
      <c r="E195" s="94" t="s">
        <v>22</v>
      </c>
      <c r="F195" s="95">
        <v>356560116832737</v>
      </c>
      <c r="G195" s="94"/>
      <c r="H195" s="96">
        <v>45806</v>
      </c>
      <c r="I195" s="97">
        <v>46</v>
      </c>
      <c r="J195" s="97"/>
      <c r="K195" s="96">
        <v>45807</v>
      </c>
      <c r="L195" s="98">
        <f>Таблица3[[#This Row],[OLINGAN NARXI $]]+Таблица3[[#This Row],[RASXOD]]</f>
        <v>490</v>
      </c>
      <c r="M195" s="97">
        <v>68</v>
      </c>
      <c r="N195" s="97">
        <v>22</v>
      </c>
      <c r="O195" s="93" t="s">
        <v>1276</v>
      </c>
    </row>
    <row r="196" spans="1:15" s="105" customFormat="1" x14ac:dyDescent="0.3">
      <c r="A196" s="112">
        <v>195</v>
      </c>
      <c r="B196" s="100" t="s">
        <v>1077</v>
      </c>
      <c r="C196" s="101" t="s">
        <v>1282</v>
      </c>
      <c r="D196" s="102" t="s">
        <v>65</v>
      </c>
      <c r="E196" s="102" t="s">
        <v>22</v>
      </c>
      <c r="F196" s="10"/>
      <c r="G196" s="102"/>
      <c r="H196" s="103"/>
      <c r="I196" s="26"/>
      <c r="J196" s="26"/>
      <c r="K196" s="103">
        <v>45807</v>
      </c>
      <c r="L196" s="104">
        <f>Таблица3758910[[#This Row],[OLINGAN NARXI $]]+Таблица3758910[[#This Row],[RASXOD]]</f>
        <v>0</v>
      </c>
      <c r="M196" s="26">
        <v>16</v>
      </c>
      <c r="N196" s="26">
        <f>Таблица3758910[[#This Row],[SOTILGAN NARXI]]-Таблица3758910[[#This Row],[OLINGAN NARXI $]]-Таблица3758910[[#This Row],[RASXOD]]</f>
        <v>16</v>
      </c>
      <c r="O196" s="101" t="s">
        <v>1283</v>
      </c>
    </row>
    <row r="197" spans="1:15" s="99" customFormat="1" x14ac:dyDescent="0.3">
      <c r="A197" s="112">
        <v>196</v>
      </c>
      <c r="B197" s="92" t="s">
        <v>16</v>
      </c>
      <c r="C197" s="93" t="s">
        <v>32</v>
      </c>
      <c r="D197" s="94" t="s">
        <v>26</v>
      </c>
      <c r="E197" s="94" t="s">
        <v>22</v>
      </c>
      <c r="F197" s="95">
        <v>353233956393847</v>
      </c>
      <c r="G197" s="94"/>
      <c r="H197" s="96">
        <v>45806</v>
      </c>
      <c r="I197" s="97">
        <v>675</v>
      </c>
      <c r="J197" s="97"/>
      <c r="K197" s="96">
        <v>45808</v>
      </c>
      <c r="L197" s="98">
        <f>Таблица3[[#This Row],[OLINGAN NARXI $]]+Таблица3[[#This Row],[RASXOD]]</f>
        <v>0</v>
      </c>
      <c r="M197" s="97">
        <v>730</v>
      </c>
      <c r="N197" s="97">
        <v>55</v>
      </c>
      <c r="O197" s="93" t="s">
        <v>1280</v>
      </c>
    </row>
    <row r="198" spans="1:15" s="83" customFormat="1" x14ac:dyDescent="0.3">
      <c r="A198" s="112">
        <v>197</v>
      </c>
      <c r="B198" s="76" t="s">
        <v>13</v>
      </c>
      <c r="C198" s="77" t="s">
        <v>1229</v>
      </c>
      <c r="D198" s="78" t="s">
        <v>21</v>
      </c>
      <c r="E198" s="78" t="s">
        <v>22</v>
      </c>
      <c r="F198" s="79">
        <v>350320361496159</v>
      </c>
      <c r="G198" s="78"/>
      <c r="H198" s="80">
        <v>45797</v>
      </c>
      <c r="I198" s="81">
        <v>154</v>
      </c>
      <c r="J198" s="81"/>
      <c r="K198" s="80">
        <v>45808</v>
      </c>
      <c r="L198" s="82">
        <f>Таблица3[[#This Row],[OLINGAN NARXI $]]+Таблица3[[#This Row],[RASXOD]]</f>
        <v>0</v>
      </c>
      <c r="M198" s="81">
        <v>188</v>
      </c>
      <c r="N198" s="81">
        <v>34</v>
      </c>
      <c r="O198" s="77" t="s">
        <v>1237</v>
      </c>
    </row>
    <row r="199" spans="1:15" s="83" customFormat="1" x14ac:dyDescent="0.3">
      <c r="A199" s="112">
        <v>198</v>
      </c>
      <c r="B199" s="76" t="s">
        <v>13</v>
      </c>
      <c r="C199" s="77" t="s">
        <v>455</v>
      </c>
      <c r="D199" s="78" t="s">
        <v>21</v>
      </c>
      <c r="E199" s="78" t="s">
        <v>15</v>
      </c>
      <c r="F199" s="79">
        <v>352412373891051</v>
      </c>
      <c r="G199" s="78"/>
      <c r="H199" s="80">
        <v>45789</v>
      </c>
      <c r="I199" s="81">
        <v>258</v>
      </c>
      <c r="J199" s="81">
        <v>27</v>
      </c>
      <c r="K199" s="80">
        <v>45808</v>
      </c>
      <c r="L199" s="82">
        <f>Таблица3[[#This Row],[OLINGAN NARXI $]]+Таблица3[[#This Row],[RASXOD]]</f>
        <v>0</v>
      </c>
      <c r="M199" s="81">
        <v>330</v>
      </c>
      <c r="N199" s="81">
        <v>45</v>
      </c>
      <c r="O199" s="77" t="s">
        <v>147</v>
      </c>
    </row>
    <row r="200" spans="1:15" s="99" customFormat="1" x14ac:dyDescent="0.3">
      <c r="A200" s="112">
        <v>199</v>
      </c>
      <c r="B200" s="92" t="s">
        <v>16</v>
      </c>
      <c r="C200" s="93" t="s">
        <v>496</v>
      </c>
      <c r="D200" s="94" t="s">
        <v>18</v>
      </c>
      <c r="E200" s="94" t="s">
        <v>22</v>
      </c>
      <c r="F200" s="95">
        <v>350852695861112</v>
      </c>
      <c r="G200" s="94"/>
      <c r="H200" s="96">
        <v>45655</v>
      </c>
      <c r="I200" s="97">
        <v>305</v>
      </c>
      <c r="J200" s="97"/>
      <c r="K200" s="96">
        <v>45808</v>
      </c>
      <c r="L200" s="98">
        <f>Таблица3[[#This Row],[OLINGAN NARXI $]]+Таблица3[[#This Row],[RASXOD]]</f>
        <v>78.400000000000006</v>
      </c>
      <c r="M200" s="97">
        <v>350</v>
      </c>
      <c r="N200" s="97">
        <v>45</v>
      </c>
      <c r="O200" s="93" t="s">
        <v>262</v>
      </c>
    </row>
    <row r="201" spans="1:15" s="83" customFormat="1" x14ac:dyDescent="0.3">
      <c r="A201" s="112">
        <v>200</v>
      </c>
      <c r="B201" s="76" t="s">
        <v>13</v>
      </c>
      <c r="C201" s="77" t="s">
        <v>255</v>
      </c>
      <c r="D201" s="78" t="s">
        <v>26</v>
      </c>
      <c r="E201" s="78" t="s">
        <v>15</v>
      </c>
      <c r="F201" s="79">
        <v>350683211671952</v>
      </c>
      <c r="G201" s="78"/>
      <c r="H201" s="80">
        <v>45806</v>
      </c>
      <c r="I201" s="81">
        <v>620</v>
      </c>
      <c r="J201" s="81"/>
      <c r="K201" s="80">
        <v>45808</v>
      </c>
      <c r="L201" s="82">
        <f>Таблица3[[#This Row],[OLINGAN NARXI $]]+Таблица3[[#This Row],[RASXOD]]</f>
        <v>140</v>
      </c>
      <c r="M201" s="81">
        <v>675</v>
      </c>
      <c r="N201" s="81">
        <v>55</v>
      </c>
      <c r="O201" s="77" t="s">
        <v>1272</v>
      </c>
    </row>
    <row r="202" spans="1:15" s="56" customFormat="1" x14ac:dyDescent="0.3">
      <c r="A202" s="112">
        <v>201</v>
      </c>
      <c r="B202" s="50" t="s">
        <v>13</v>
      </c>
      <c r="C202" s="51" t="s">
        <v>115</v>
      </c>
      <c r="D202" s="52" t="s">
        <v>21</v>
      </c>
      <c r="E202" s="52" t="s">
        <v>15</v>
      </c>
      <c r="F202" s="53">
        <v>354773800967279</v>
      </c>
      <c r="G202" s="52"/>
      <c r="H202" s="54">
        <v>45806</v>
      </c>
      <c r="I202" s="55">
        <v>170</v>
      </c>
      <c r="J202" s="55"/>
      <c r="K202" s="54">
        <v>45808</v>
      </c>
      <c r="L202" s="72">
        <f>Таблица3[[#This Row],[OLINGAN NARXI $]]+Таблица3[[#This Row],[RASXOD]]</f>
        <v>23</v>
      </c>
      <c r="M202" s="55">
        <v>225</v>
      </c>
      <c r="N202" s="55">
        <v>55</v>
      </c>
      <c r="O202" s="51" t="s">
        <v>1271</v>
      </c>
    </row>
    <row r="203" spans="1:15" x14ac:dyDescent="0.3">
      <c r="A203" s="112">
        <v>202</v>
      </c>
      <c r="B203" s="23"/>
      <c r="C203" s="6"/>
      <c r="D203" s="1"/>
      <c r="E203" s="1"/>
      <c r="F203" s="3"/>
      <c r="G203" s="1"/>
      <c r="H203" s="5"/>
      <c r="I203" s="4"/>
      <c r="J203" s="4"/>
      <c r="K203" s="5"/>
      <c r="L203" s="58">
        <f>Таблица3758910[[#This Row],[OLINGAN NARXI $]]+Таблица3758910[[#This Row],[RASXOD]]</f>
        <v>0</v>
      </c>
      <c r="M203" s="4"/>
      <c r="N203" s="4">
        <f>Таблица3758910[[#This Row],[SOTILGAN NARXI]]-Таблица3758910[[#This Row],[OLINGAN NARXI $]]-Таблица3758910[[#This Row],[RASXOD]]</f>
        <v>0</v>
      </c>
      <c r="O203" s="6"/>
    </row>
    <row r="204" spans="1:15" x14ac:dyDescent="0.3">
      <c r="A204" s="112">
        <v>203</v>
      </c>
      <c r="B204" s="23"/>
      <c r="C204" s="6"/>
      <c r="D204" s="1"/>
      <c r="E204" s="1"/>
      <c r="F204" s="3"/>
      <c r="G204" s="1"/>
      <c r="H204" s="5"/>
      <c r="I204" s="4"/>
      <c r="J204" s="4"/>
      <c r="K204" s="5"/>
      <c r="L204" s="58">
        <f>Таблица3758910[[#This Row],[OLINGAN NARXI $]]+Таблица3758910[[#This Row],[RASXOD]]</f>
        <v>0</v>
      </c>
      <c r="M204" s="4"/>
      <c r="N204" s="4">
        <f>Таблица3758910[[#This Row],[SOTILGAN NARXI]]-Таблица3758910[[#This Row],[OLINGAN NARXI $]]-Таблица3758910[[#This Row],[RASXOD]]</f>
        <v>0</v>
      </c>
      <c r="O204" s="6"/>
    </row>
    <row r="205" spans="1:15" x14ac:dyDescent="0.3">
      <c r="A205" s="112">
        <v>204</v>
      </c>
      <c r="B205" s="23"/>
      <c r="C205" s="6"/>
      <c r="D205" s="1"/>
      <c r="E205" s="1"/>
      <c r="F205" s="3"/>
      <c r="G205" s="1"/>
      <c r="H205" s="5"/>
      <c r="I205" s="4"/>
      <c r="J205" s="4"/>
      <c r="K205" s="5"/>
      <c r="L205" s="58">
        <f>Таблица3758910[[#This Row],[OLINGAN NARXI $]]+Таблица3758910[[#This Row],[RASXOD]]</f>
        <v>0</v>
      </c>
      <c r="M205" s="4"/>
      <c r="N205" s="4">
        <f>Таблица3758910[[#This Row],[SOTILGAN NARXI]]-Таблица3758910[[#This Row],[OLINGAN NARXI $]]-Таблица3758910[[#This Row],[RASXOD]]</f>
        <v>0</v>
      </c>
      <c r="O205" s="6"/>
    </row>
    <row r="206" spans="1:15" x14ac:dyDescent="0.3">
      <c r="A206" s="112">
        <v>205</v>
      </c>
      <c r="B206" s="23"/>
      <c r="C206" s="6"/>
      <c r="D206" s="1"/>
      <c r="E206" s="1"/>
      <c r="F206" s="3"/>
      <c r="G206" s="1"/>
      <c r="H206" s="5"/>
      <c r="I206" s="4"/>
      <c r="J206" s="4"/>
      <c r="K206" s="5"/>
      <c r="L206" s="58">
        <f>Таблица3758910[[#This Row],[OLINGAN NARXI $]]+Таблица3758910[[#This Row],[RASXOD]]</f>
        <v>0</v>
      </c>
      <c r="M206" s="4"/>
      <c r="N206" s="4">
        <f>Таблица3758910[[#This Row],[SOTILGAN NARXI]]-Таблица3758910[[#This Row],[OLINGAN NARXI $]]-Таблица3758910[[#This Row],[RASXOD]]</f>
        <v>0</v>
      </c>
      <c r="O206" s="6"/>
    </row>
    <row r="207" spans="1:15" x14ac:dyDescent="0.3">
      <c r="A207" s="112">
        <v>206</v>
      </c>
      <c r="B207" s="23"/>
      <c r="C207" s="22"/>
      <c r="D207" s="1"/>
      <c r="E207" s="1"/>
      <c r="F207" s="3"/>
      <c r="G207" s="1"/>
      <c r="H207" s="5"/>
      <c r="I207" s="4"/>
      <c r="J207" s="4"/>
      <c r="K207" s="5"/>
      <c r="L207" s="58">
        <f>Таблица3758910[[#This Row],[OLINGAN NARXI $]]+Таблица3758910[[#This Row],[RASXOD]]</f>
        <v>0</v>
      </c>
      <c r="M207" s="4"/>
      <c r="N207" s="4">
        <f>Таблица3758910[[#This Row],[SOTILGAN NARXI]]-Таблица3758910[[#This Row],[OLINGAN NARXI $]]-Таблица3758910[[#This Row],[RASXOD]]</f>
        <v>0</v>
      </c>
      <c r="O207" s="6"/>
    </row>
    <row r="208" spans="1:15" x14ac:dyDescent="0.3">
      <c r="A208" s="112">
        <v>207</v>
      </c>
      <c r="B208" s="23"/>
      <c r="C208" s="22"/>
      <c r="D208" s="1"/>
      <c r="E208" s="1"/>
      <c r="F208" s="3"/>
      <c r="G208" s="1"/>
      <c r="H208" s="5"/>
      <c r="I208" s="4"/>
      <c r="J208" s="4"/>
      <c r="K208" s="5"/>
      <c r="L208" s="58">
        <f>Таблица3758910[[#This Row],[OLINGAN NARXI $]]+Таблица3758910[[#This Row],[RASXOD]]</f>
        <v>0</v>
      </c>
      <c r="M208" s="4"/>
      <c r="N208" s="4">
        <f>Таблица3758910[[#This Row],[SOTILGAN NARXI]]-Таблица3758910[[#This Row],[OLINGAN NARXI $]]-Таблица3758910[[#This Row],[RASXOD]]</f>
        <v>0</v>
      </c>
      <c r="O208" s="6"/>
    </row>
    <row r="209" spans="1:15" x14ac:dyDescent="0.3">
      <c r="A209" s="112">
        <v>208</v>
      </c>
      <c r="B209" s="23"/>
      <c r="C209" s="22"/>
      <c r="D209" s="1"/>
      <c r="E209" s="1"/>
      <c r="F209" s="3"/>
      <c r="G209" s="1"/>
      <c r="H209" s="5"/>
      <c r="I209" s="4"/>
      <c r="J209" s="4"/>
      <c r="K209" s="5"/>
      <c r="L209" s="58">
        <f>Таблица3758910[[#This Row],[OLINGAN NARXI $]]+Таблица3758910[[#This Row],[RASXOD]]</f>
        <v>0</v>
      </c>
      <c r="M209" s="4"/>
      <c r="N209" s="4">
        <f>Таблица3758910[[#This Row],[SOTILGAN NARXI]]-Таблица3758910[[#This Row],[OLINGAN NARXI $]]-Таблица3758910[[#This Row],[RASXOD]]</f>
        <v>0</v>
      </c>
      <c r="O209" s="6"/>
    </row>
    <row r="210" spans="1:15" x14ac:dyDescent="0.3">
      <c r="A210" s="112">
        <v>209</v>
      </c>
      <c r="B210" s="23"/>
      <c r="C210" s="22"/>
      <c r="D210" s="1"/>
      <c r="E210" s="1"/>
      <c r="F210" s="3"/>
      <c r="G210" s="1"/>
      <c r="H210" s="5"/>
      <c r="I210" s="4"/>
      <c r="J210" s="4"/>
      <c r="K210" s="5"/>
      <c r="L210" s="58">
        <f>Таблица3758910[[#This Row],[OLINGAN NARXI $]]+Таблица3758910[[#This Row],[RASXOD]]</f>
        <v>0</v>
      </c>
      <c r="M210" s="4"/>
      <c r="N210" s="4">
        <f>Таблица3758910[[#This Row],[SOTILGAN NARXI]]-Таблица3758910[[#This Row],[OLINGAN NARXI $]]-Таблица3758910[[#This Row],[RASXOD]]</f>
        <v>0</v>
      </c>
      <c r="O210" s="6"/>
    </row>
    <row r="211" spans="1:15" x14ac:dyDescent="0.3">
      <c r="A211" s="112">
        <v>210</v>
      </c>
      <c r="B211" s="23"/>
      <c r="C211" s="6"/>
      <c r="D211" s="1"/>
      <c r="E211" s="1"/>
      <c r="F211" s="3"/>
      <c r="G211" s="1"/>
      <c r="H211" s="43"/>
      <c r="I211" s="1"/>
      <c r="J211" s="4"/>
      <c r="K211" s="5"/>
      <c r="L211" s="58">
        <f>Таблица3758910[[#This Row],[OLINGAN NARXI $]]+Таблица3758910[[#This Row],[RASXOD]]</f>
        <v>0</v>
      </c>
      <c r="M211" s="1"/>
      <c r="N211" s="4">
        <f>Таблица3758910[[#This Row],[SOTILGAN NARXI]]-Таблица3758910[[#This Row],[OLINGAN NARXI $]]-Таблица3758910[[#This Row],[RASXOD]]</f>
        <v>0</v>
      </c>
      <c r="O211" s="6"/>
    </row>
    <row r="212" spans="1:15" x14ac:dyDescent="0.3">
      <c r="A212" s="112"/>
      <c r="B212" s="23"/>
      <c r="C212" s="91" t="s">
        <v>1130</v>
      </c>
      <c r="D212" s="24" t="s">
        <v>1131</v>
      </c>
      <c r="E212" s="1"/>
      <c r="F212" s="34" t="s">
        <v>237</v>
      </c>
      <c r="G212" s="35" t="s">
        <v>238</v>
      </c>
      <c r="H212" s="43"/>
      <c r="I212" s="1"/>
      <c r="J212" s="4"/>
      <c r="K212" s="28"/>
      <c r="L212" s="58">
        <f>Таблица3758910[[#This Row],[OLINGAN NARXI $]]+Таблица3758910[[#This Row],[RASXOD]]</f>
        <v>0</v>
      </c>
      <c r="M212" s="1"/>
      <c r="N212" s="4">
        <f>Таблица3758910[[#This Row],[SOTILGAN NARXI]]-Таблица3758910[[#This Row],[OLINGAN NARXI $]]-Таблица3758910[[#This Row],[RASXOD]]</f>
        <v>0</v>
      </c>
      <c r="O212" s="6"/>
    </row>
    <row r="213" spans="1:15" x14ac:dyDescent="0.3">
      <c r="A213" s="113"/>
      <c r="B213" s="23"/>
      <c r="C213" s="89" t="s">
        <v>226</v>
      </c>
      <c r="D213" s="90">
        <v>22</v>
      </c>
      <c r="E213" s="1"/>
      <c r="F213" s="17" t="s">
        <v>1128</v>
      </c>
      <c r="G213" s="18">
        <v>2171</v>
      </c>
      <c r="H213" s="2" t="s">
        <v>1409</v>
      </c>
      <c r="I213" s="1" t="s">
        <v>1410</v>
      </c>
      <c r="J213" s="4"/>
      <c r="K213" s="28"/>
      <c r="L213" s="58"/>
      <c r="M213" s="1"/>
      <c r="N213" s="4"/>
      <c r="O213" s="6"/>
    </row>
    <row r="214" spans="1:15" x14ac:dyDescent="0.3">
      <c r="A214" s="113"/>
      <c r="B214" s="23"/>
      <c r="C214" s="86" t="s">
        <v>1132</v>
      </c>
      <c r="D214" s="87">
        <v>43</v>
      </c>
      <c r="E214" s="1"/>
      <c r="F214" s="17" t="s">
        <v>1129</v>
      </c>
      <c r="G214" s="18">
        <v>2150</v>
      </c>
      <c r="H214" s="2" t="s">
        <v>1411</v>
      </c>
      <c r="I214" s="1" t="s">
        <v>1410</v>
      </c>
      <c r="J214" s="4"/>
      <c r="K214" s="5"/>
      <c r="L214" s="58"/>
      <c r="M214" s="1"/>
      <c r="N214" s="4"/>
      <c r="O214" s="6"/>
    </row>
    <row r="215" spans="1:15" x14ac:dyDescent="0.3">
      <c r="A215" s="113"/>
      <c r="B215" s="23"/>
      <c r="C215" s="17" t="s">
        <v>905</v>
      </c>
      <c r="D215" s="18">
        <v>31</v>
      </c>
      <c r="E215" s="1"/>
      <c r="F215" s="33" t="s">
        <v>1134</v>
      </c>
      <c r="G215" s="18">
        <v>231</v>
      </c>
      <c r="H215" s="2"/>
      <c r="I215" s="1"/>
      <c r="J215" s="4"/>
      <c r="K215" s="5"/>
      <c r="L215" s="58">
        <f>Таблица3758910[[#This Row],[OLINGAN NARXI $]]+Таблица3758910[[#This Row],[RASXOD]]</f>
        <v>0</v>
      </c>
      <c r="M215" s="1"/>
      <c r="N215" s="4">
        <f>Таблица3758910[[#This Row],[SOTILGAN NARXI]]-Таблица3758910[[#This Row],[OLINGAN NARXI $]]-Таблица3758910[[#This Row],[RASXOD]]</f>
        <v>0</v>
      </c>
      <c r="O215" s="6"/>
    </row>
    <row r="216" spans="1:15" x14ac:dyDescent="0.3">
      <c r="A216" s="113"/>
      <c r="B216" s="23"/>
      <c r="C216" s="88" t="s">
        <v>1133</v>
      </c>
      <c r="D216" s="15">
        <v>87</v>
      </c>
      <c r="E216" s="1"/>
      <c r="F216" s="19" t="s">
        <v>1163</v>
      </c>
      <c r="G216" s="21">
        <v>50</v>
      </c>
      <c r="H216" s="2"/>
      <c r="I216" s="1"/>
      <c r="J216" s="4"/>
      <c r="K216" s="5"/>
      <c r="L216" s="58">
        <f>Таблица3758910[[#This Row],[OLINGAN NARXI $]]+Таблица3758910[[#This Row],[RASXOD]]</f>
        <v>0</v>
      </c>
      <c r="M216" s="1"/>
      <c r="N216" s="4">
        <f>Таблица3758910[[#This Row],[SOTILGAN NARXI]]-Таблица3758910[[#This Row],[OLINGAN NARXI $]]-Таблица3758910[[#This Row],[RASXOD]]</f>
        <v>0</v>
      </c>
      <c r="O216" s="6"/>
    </row>
    <row r="217" spans="1:15" x14ac:dyDescent="0.3">
      <c r="A217" s="113"/>
      <c r="B217" s="23"/>
      <c r="C217" s="6"/>
      <c r="D217" s="1"/>
      <c r="E217" s="1"/>
      <c r="F217" s="33" t="s">
        <v>1137</v>
      </c>
      <c r="G217" s="18">
        <v>30</v>
      </c>
      <c r="H217" s="2"/>
      <c r="I217" s="1"/>
      <c r="J217" s="4"/>
      <c r="K217" s="5"/>
      <c r="L217" s="58">
        <f>Таблица3758910[[#This Row],[OLINGAN NARXI $]]+Таблица3758910[[#This Row],[RASXOD]]</f>
        <v>0</v>
      </c>
      <c r="M217" s="1"/>
      <c r="N217" s="4">
        <f>Таблица3758910[[#This Row],[SOTILGAN NARXI]]-Таблица3758910[[#This Row],[OLINGAN NARXI $]]-Таблица3758910[[#This Row],[RASXOD]]</f>
        <v>0</v>
      </c>
      <c r="O217" s="6"/>
    </row>
    <row r="218" spans="1:15" x14ac:dyDescent="0.3">
      <c r="A218" s="113"/>
      <c r="B218" s="23"/>
      <c r="C218" s="6"/>
      <c r="D218" s="1"/>
      <c r="E218" s="1"/>
      <c r="F218" s="19" t="s">
        <v>1142</v>
      </c>
      <c r="G218" s="21">
        <v>590</v>
      </c>
      <c r="H218" s="2"/>
      <c r="I218" s="1"/>
      <c r="J218" s="4"/>
      <c r="K218" s="5"/>
      <c r="L218" s="58">
        <f>Таблица3758910[[#This Row],[OLINGAN NARXI $]]+Таблица3758910[[#This Row],[RASXOD]]</f>
        <v>0</v>
      </c>
      <c r="M218" s="1"/>
      <c r="N218" s="4">
        <f>Таблица3758910[[#This Row],[SOTILGAN NARXI]]-Таблица3758910[[#This Row],[OLINGAN NARXI $]]-Таблица3758910[[#This Row],[RASXOD]]</f>
        <v>0</v>
      </c>
      <c r="O218" s="6"/>
    </row>
    <row r="219" spans="1:15" x14ac:dyDescent="0.3">
      <c r="A219" s="113"/>
      <c r="B219" s="23"/>
      <c r="C219" s="6"/>
      <c r="D219" s="1"/>
      <c r="E219" s="1"/>
      <c r="F219" s="33" t="s">
        <v>1155</v>
      </c>
      <c r="G219" s="21">
        <v>500</v>
      </c>
      <c r="H219" s="2"/>
      <c r="I219" s="1"/>
      <c r="J219" s="4"/>
      <c r="K219" s="5"/>
      <c r="L219" s="58">
        <f>Таблица3758910[[#This Row],[OLINGAN NARXI $]]+Таблица3758910[[#This Row],[RASXOD]]</f>
        <v>0</v>
      </c>
      <c r="M219" s="1"/>
      <c r="N219" s="4">
        <f>Таблица3758910[[#This Row],[SOTILGAN NARXI]]-Таблица3758910[[#This Row],[OLINGAN NARXI $]]-Таблица3758910[[#This Row],[RASXOD]]</f>
        <v>0</v>
      </c>
      <c r="O219" s="6"/>
    </row>
    <row r="220" spans="1:15" x14ac:dyDescent="0.3">
      <c r="A220" s="113"/>
      <c r="B220" s="23"/>
      <c r="C220" s="6"/>
      <c r="D220" s="1"/>
      <c r="E220" s="1"/>
      <c r="F220" s="33" t="s">
        <v>1156</v>
      </c>
      <c r="G220" s="21">
        <v>53</v>
      </c>
      <c r="H220" s="2"/>
      <c r="I220" s="1"/>
      <c r="J220" s="4"/>
      <c r="K220" s="5"/>
      <c r="L220" s="58">
        <f>Таблица3758910[[#This Row],[OLINGAN NARXI $]]+Таблица3758910[[#This Row],[RASXOD]]</f>
        <v>0</v>
      </c>
      <c r="M220" s="1"/>
      <c r="N220" s="4">
        <f>Таблица3758910[[#This Row],[SOTILGAN NARXI]]-Таблица3758910[[#This Row],[OLINGAN NARXI $]]-Таблица3758910[[#This Row],[RASXOD]]</f>
        <v>0</v>
      </c>
      <c r="O220" s="6"/>
    </row>
    <row r="221" spans="1:15" x14ac:dyDescent="0.3">
      <c r="A221" s="113"/>
      <c r="B221" s="23"/>
      <c r="C221" s="6"/>
      <c r="D221" s="1"/>
      <c r="E221" s="1"/>
      <c r="F221" s="33" t="s">
        <v>4</v>
      </c>
      <c r="G221" s="21">
        <v>119.2</v>
      </c>
      <c r="H221" s="2"/>
      <c r="I221" s="1"/>
      <c r="J221" s="4"/>
      <c r="K221" s="5"/>
      <c r="L221" s="58">
        <f>Таблица3758910[[#This Row],[OLINGAN NARXI $]]+Таблица3758910[[#This Row],[RASXOD]]</f>
        <v>0</v>
      </c>
      <c r="M221" s="1"/>
      <c r="N221" s="4">
        <f>Таблица3758910[[#This Row],[SOTILGAN NARXI]]-Таблица3758910[[#This Row],[OLINGAN NARXI $]]-Таблица3758910[[#This Row],[RASXOD]]</f>
        <v>0</v>
      </c>
      <c r="O221" s="6"/>
    </row>
    <row r="222" spans="1:15" x14ac:dyDescent="0.3">
      <c r="A222" s="113"/>
      <c r="B222" s="23"/>
      <c r="C222" s="6"/>
      <c r="D222" s="1"/>
      <c r="E222" s="1"/>
      <c r="F222" s="33" t="s">
        <v>1258</v>
      </c>
      <c r="G222" s="21">
        <v>24</v>
      </c>
      <c r="H222" s="2"/>
      <c r="I222" s="1"/>
      <c r="J222" s="4"/>
      <c r="K222" s="5"/>
      <c r="L222" s="58">
        <f>Таблица3758910[[#This Row],[OLINGAN NARXI $]]+Таблица3758910[[#This Row],[RASXOD]]</f>
        <v>0</v>
      </c>
      <c r="M222" s="1"/>
      <c r="N222" s="4">
        <f>Таблица3758910[[#This Row],[SOTILGAN NARXI]]-Таблица3758910[[#This Row],[OLINGAN NARXI $]]-Таблица3758910[[#This Row],[RASXOD]]</f>
        <v>0</v>
      </c>
      <c r="O222" s="6"/>
    </row>
    <row r="223" spans="1:15" x14ac:dyDescent="0.3">
      <c r="A223" s="113"/>
      <c r="B223" s="23"/>
      <c r="C223" s="6"/>
      <c r="D223" s="1"/>
      <c r="E223" s="1"/>
      <c r="F223" s="33"/>
      <c r="G223" s="21"/>
      <c r="H223" s="2"/>
      <c r="I223" s="1"/>
      <c r="J223" s="4"/>
      <c r="K223" s="5"/>
      <c r="L223" s="58">
        <f>Таблица3758910[[#This Row],[OLINGAN NARXI $]]+Таблица3758910[[#This Row],[RASXOD]]</f>
        <v>0</v>
      </c>
      <c r="M223" s="1"/>
      <c r="N223" s="4">
        <f>Таблица3758910[[#This Row],[SOTILGAN NARXI]]-Таблица3758910[[#This Row],[OLINGAN NARXI $]]-Таблица3758910[[#This Row],[RASXOD]]</f>
        <v>0</v>
      </c>
      <c r="O223" s="6"/>
    </row>
    <row r="224" spans="1:15" x14ac:dyDescent="0.3">
      <c r="A224" s="113"/>
      <c r="B224" s="23"/>
      <c r="C224" s="6"/>
      <c r="D224" s="1"/>
      <c r="E224" s="1"/>
      <c r="F224" s="19"/>
      <c r="G224" s="21"/>
      <c r="H224" s="2"/>
      <c r="I224" s="1"/>
      <c r="J224" s="4"/>
      <c r="K224" s="5"/>
      <c r="L224" s="58">
        <f>Таблица3758910[[#This Row],[OLINGAN NARXI $]]+Таблица3758910[[#This Row],[RASXOD]]</f>
        <v>0</v>
      </c>
      <c r="M224" s="1"/>
      <c r="N224" s="4">
        <f>Таблица3758910[[#This Row],[SOTILGAN NARXI]]-Таблица3758910[[#This Row],[OLINGAN NARXI $]]-Таблица3758910[[#This Row],[RASXOD]]</f>
        <v>0</v>
      </c>
      <c r="O224" s="6"/>
    </row>
    <row r="225" spans="1:15" x14ac:dyDescent="0.3">
      <c r="A225" s="113"/>
      <c r="B225" s="23"/>
      <c r="C225" s="6"/>
      <c r="D225" s="1"/>
      <c r="E225" s="1"/>
      <c r="F225" s="33"/>
      <c r="G225" s="21"/>
      <c r="H225" s="2"/>
      <c r="I225" s="1"/>
      <c r="J225" s="4"/>
      <c r="K225" s="28"/>
      <c r="L225" s="58">
        <f>Таблица3758910[[#This Row],[OLINGAN NARXI $]]+Таблица3758910[[#This Row],[RASXOD]]</f>
        <v>0</v>
      </c>
      <c r="M225" s="1"/>
      <c r="N225" s="4">
        <f>Таблица3758910[[#This Row],[SOTILGAN NARXI]]-Таблица3758910[[#This Row],[OLINGAN NARXI $]]-Таблица3758910[[#This Row],[RASXOD]]</f>
        <v>0</v>
      </c>
      <c r="O225" s="6"/>
    </row>
    <row r="226" spans="1:15" x14ac:dyDescent="0.3">
      <c r="A226" s="113"/>
      <c r="B226" s="23"/>
      <c r="C226" s="6"/>
      <c r="D226" s="1"/>
      <c r="E226" s="1"/>
      <c r="F226" s="19"/>
      <c r="G226" s="21"/>
      <c r="H226" s="2"/>
      <c r="I226" s="1"/>
      <c r="J226" s="4"/>
      <c r="K226" s="28"/>
      <c r="L226" s="58">
        <f>Таблица3758910[[#This Row],[OLINGAN NARXI $]]+Таблица3758910[[#This Row],[RASXOD]]</f>
        <v>0</v>
      </c>
      <c r="M226" s="1"/>
      <c r="N226" s="4">
        <f>Таблица3758910[[#This Row],[SOTILGAN NARXI]]-Таблица3758910[[#This Row],[OLINGAN NARXI $]]-Таблица3758910[[#This Row],[RASXOD]]</f>
        <v>0</v>
      </c>
      <c r="O226" s="6"/>
    </row>
    <row r="227" spans="1:15" x14ac:dyDescent="0.3">
      <c r="A227" s="113"/>
      <c r="B227" s="23"/>
      <c r="C227" s="6"/>
      <c r="D227" s="1"/>
      <c r="E227" s="1"/>
      <c r="F227" s="19"/>
      <c r="G227" s="21"/>
      <c r="H227" s="2"/>
      <c r="I227" s="1"/>
      <c r="J227" s="4"/>
      <c r="K227" s="28"/>
      <c r="L227" s="58">
        <f>Таблица3758910[[#This Row],[OLINGAN NARXI $]]+Таблица3758910[[#This Row],[RASXOD]]</f>
        <v>0</v>
      </c>
      <c r="M227" s="1"/>
      <c r="N227" s="4">
        <f>Таблица3758910[[#This Row],[SOTILGAN NARXI]]-Таблица3758910[[#This Row],[OLINGAN NARXI $]]-Таблица3758910[[#This Row],[RASXOD]]</f>
        <v>0</v>
      </c>
      <c r="O227" s="6"/>
    </row>
    <row r="228" spans="1:15" x14ac:dyDescent="0.3">
      <c r="A228" s="113"/>
      <c r="B228" s="23"/>
      <c r="C228" s="6"/>
      <c r="D228" s="1"/>
      <c r="E228" s="1"/>
      <c r="F228" s="33"/>
      <c r="G228" s="21"/>
      <c r="H228" s="2"/>
      <c r="I228" s="1"/>
      <c r="J228" s="4"/>
      <c r="K228" s="28"/>
      <c r="L228" s="58">
        <f>Таблица3758910[[#This Row],[OLINGAN NARXI $]]+Таблица3758910[[#This Row],[RASXOD]]</f>
        <v>0</v>
      </c>
      <c r="M228" s="1"/>
      <c r="N228" s="4">
        <f>Таблица3758910[[#This Row],[SOTILGAN NARXI]]-Таблица3758910[[#This Row],[OLINGAN NARXI $]]-Таблица3758910[[#This Row],[RASXOD]]</f>
        <v>0</v>
      </c>
      <c r="O228" s="6"/>
    </row>
    <row r="229" spans="1:15" x14ac:dyDescent="0.3">
      <c r="A229" s="113"/>
      <c r="B229" s="23"/>
      <c r="C229" s="6"/>
      <c r="D229" s="1"/>
      <c r="E229" s="1"/>
      <c r="F229" s="44" t="s">
        <v>981</v>
      </c>
      <c r="G229" s="45">
        <f>SUM(G213:G228)</f>
        <v>5918.2</v>
      </c>
      <c r="H229" s="2"/>
      <c r="I229" s="1"/>
      <c r="J229" s="4"/>
      <c r="K229" s="28"/>
      <c r="L229" s="58">
        <f>Таблица3758910[[#This Row],[OLINGAN NARXI $]]+Таблица3758910[[#This Row],[RASXOD]]</f>
        <v>0</v>
      </c>
      <c r="M229" s="1"/>
      <c r="N229" s="4">
        <f>Таблица3758910[[#This Row],[SOTILGAN NARXI]]-Таблица3758910[[#This Row],[OLINGAN NARXI $]]-Таблица3758910[[#This Row],[RASXOD]]</f>
        <v>0</v>
      </c>
      <c r="O229" s="6"/>
    </row>
    <row r="230" spans="1:15" x14ac:dyDescent="0.3">
      <c r="A230" s="113"/>
      <c r="B230" s="111"/>
      <c r="C230" s="12"/>
      <c r="D230" s="11"/>
      <c r="E230" s="46"/>
      <c r="F230" s="47"/>
      <c r="G230" s="48"/>
      <c r="H230" s="49"/>
      <c r="I230" s="14"/>
      <c r="J230" s="14">
        <f>SUBTOTAL(109,J7:J212)</f>
        <v>638</v>
      </c>
      <c r="K230" s="13"/>
      <c r="L230" s="59">
        <f>SUM(L7:L229)</f>
        <v>57028.36</v>
      </c>
      <c r="M230" s="14">
        <f>SUM(M7:M229)</f>
        <v>80164</v>
      </c>
      <c r="N230" s="14">
        <f>SUBTOTAL(109,N2:N229)</f>
        <v>9366</v>
      </c>
      <c r="O230" s="12"/>
    </row>
    <row r="231" spans="1:15" x14ac:dyDescent="0.3">
      <c r="B231" s="23"/>
      <c r="C231" s="6"/>
      <c r="D231" s="1"/>
      <c r="E231" s="1"/>
      <c r="F231" s="23"/>
      <c r="G231" s="4"/>
      <c r="H231" s="5"/>
      <c r="I231" s="4"/>
      <c r="J231" s="4"/>
      <c r="K231" s="5"/>
      <c r="L231" s="58"/>
      <c r="M231" s="4"/>
      <c r="N231" s="4">
        <f>Таблица3758910[[#This Row],[SOTILGAN NARXI]]-Таблица3758910[[#This Row],[OLINGAN NARXI $]]-Таблица3758910[[#This Row],[RASXOD]]</f>
        <v>0</v>
      </c>
      <c r="O231" s="6"/>
    </row>
    <row r="232" spans="1:15" x14ac:dyDescent="0.3">
      <c r="B232" s="23"/>
      <c r="C232" s="6"/>
      <c r="D232" s="1"/>
      <c r="E232" s="1"/>
      <c r="F232" s="23"/>
      <c r="G232" s="4"/>
      <c r="H232" s="5"/>
      <c r="I232" s="4"/>
      <c r="J232" s="4"/>
      <c r="K232" s="5"/>
      <c r="L232" s="58"/>
      <c r="M232" s="4"/>
      <c r="N232" s="4">
        <f>Таблица3758910[[#This Row],[SOTILGAN NARXI]]-Таблица3758910[[#This Row],[OLINGAN NARXI $]]-Таблица3758910[[#This Row],[RASXOD]]</f>
        <v>0</v>
      </c>
      <c r="O232" s="6"/>
    </row>
    <row r="233" spans="1:15" x14ac:dyDescent="0.3">
      <c r="B233" s="23"/>
      <c r="C233" s="6"/>
      <c r="D233" s="1"/>
      <c r="E233" s="1"/>
      <c r="F233" s="23"/>
      <c r="G233" s="4"/>
      <c r="H233" s="5"/>
      <c r="I233" s="4"/>
      <c r="J233" s="4"/>
      <c r="K233" s="5"/>
      <c r="L233" s="58"/>
      <c r="M233" s="4"/>
      <c r="N233" s="4">
        <f>Таблица3758910[[#This Row],[SOTILGAN NARXI]]-Таблица3758910[[#This Row],[OLINGAN NARXI $]]-Таблица3758910[[#This Row],[RASXOD]]</f>
        <v>0</v>
      </c>
      <c r="O233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E1953-FF5A-49CB-8BF3-E06DC750EEEA}">
  <sheetPr codeName="Лист8"/>
  <dimension ref="A1:N219"/>
  <sheetViews>
    <sheetView topLeftCell="A85" zoomScale="70" zoomScaleNormal="70" workbookViewId="0">
      <selection activeCell="I97" sqref="I97"/>
    </sheetView>
  </sheetViews>
  <sheetFormatPr defaultRowHeight="14.4" x14ac:dyDescent="0.3"/>
  <cols>
    <col min="1" max="1" width="11.5546875" bestFit="1" customWidth="1"/>
    <col min="2" max="2" width="19" bestFit="1" customWidth="1"/>
    <col min="3" max="3" width="18.88671875" bestFit="1" customWidth="1"/>
    <col min="4" max="4" width="14.109375" bestFit="1" customWidth="1"/>
    <col min="5" max="5" width="19.6640625" customWidth="1"/>
    <col min="6" max="6" width="36.6640625" bestFit="1" customWidth="1"/>
    <col min="7" max="7" width="34.5546875" bestFit="1" customWidth="1"/>
    <col min="8" max="8" width="21.6640625" bestFit="1" customWidth="1"/>
    <col min="9" max="9" width="15" bestFit="1" customWidth="1"/>
    <col min="10" max="10" width="21.88671875" bestFit="1" customWidth="1"/>
    <col min="11" max="11" width="21.88671875" style="4" customWidth="1"/>
    <col min="12" max="12" width="22.6640625" bestFit="1" customWidth="1"/>
    <col min="13" max="13" width="13.5546875" bestFit="1" customWidth="1"/>
    <col min="14" max="14" width="31.5546875" customWidth="1"/>
  </cols>
  <sheetData>
    <row r="1" spans="1:14" x14ac:dyDescent="0.3">
      <c r="A1" s="1" t="s">
        <v>0</v>
      </c>
      <c r="B1" s="6" t="s">
        <v>2</v>
      </c>
      <c r="C1" s="1" t="s">
        <v>1</v>
      </c>
      <c r="D1" s="1" t="s">
        <v>3</v>
      </c>
      <c r="E1" s="3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10</v>
      </c>
      <c r="K1" s="2" t="s">
        <v>980</v>
      </c>
      <c r="L1" s="1" t="s">
        <v>9</v>
      </c>
      <c r="M1" s="1" t="s">
        <v>11</v>
      </c>
      <c r="N1" s="1" t="s">
        <v>12</v>
      </c>
    </row>
    <row r="2" spans="1:14" x14ac:dyDescent="0.3">
      <c r="A2" s="23" t="s">
        <v>13</v>
      </c>
      <c r="B2" s="6" t="s">
        <v>883</v>
      </c>
      <c r="C2" s="1" t="s">
        <v>21</v>
      </c>
      <c r="D2" s="1" t="s">
        <v>15</v>
      </c>
      <c r="E2" s="3">
        <v>354203110925866</v>
      </c>
      <c r="F2" s="1"/>
      <c r="G2" s="5">
        <v>45717</v>
      </c>
      <c r="H2" s="4">
        <v>165</v>
      </c>
      <c r="I2" s="4">
        <v>30</v>
      </c>
      <c r="J2" s="5">
        <v>45748</v>
      </c>
      <c r="K2" s="58">
        <f>Таблица37589[[#This Row],[OLINGAN NARXI $]]+Таблица37589[[#This Row],[RASXOD]]</f>
        <v>195</v>
      </c>
      <c r="L2" s="4">
        <v>230</v>
      </c>
      <c r="M2" s="58">
        <f>Таблица37589[[#This Row],[SOTILGAN NARXI]]-Таблица37589[[#This Row],[TAN NARXI]]</f>
        <v>35</v>
      </c>
      <c r="N2" s="6" t="s">
        <v>147</v>
      </c>
    </row>
    <row r="3" spans="1:14" x14ac:dyDescent="0.3">
      <c r="A3" s="23" t="s">
        <v>16</v>
      </c>
      <c r="B3" s="6" t="s">
        <v>772</v>
      </c>
      <c r="C3" s="1" t="s">
        <v>65</v>
      </c>
      <c r="D3" s="1" t="s">
        <v>15</v>
      </c>
      <c r="E3" s="3">
        <v>351135568685241</v>
      </c>
      <c r="F3" s="1"/>
      <c r="G3" s="5">
        <v>45709</v>
      </c>
      <c r="H3" s="4">
        <v>615</v>
      </c>
      <c r="I3" s="4"/>
      <c r="J3" s="5">
        <v>45748</v>
      </c>
      <c r="K3" s="58">
        <f>Таблица37589[[#This Row],[OLINGAN NARXI $]]+Таблица37589[[#This Row],[RASXOD]]</f>
        <v>615</v>
      </c>
      <c r="L3" s="4">
        <v>630</v>
      </c>
      <c r="M3" s="58">
        <f>Таблица37589[[#This Row],[SOTILGAN NARXI]]-Таблица37589[[#This Row],[TAN NARXI]]</f>
        <v>15</v>
      </c>
      <c r="N3" s="6" t="s">
        <v>861</v>
      </c>
    </row>
    <row r="4" spans="1:14" x14ac:dyDescent="0.3">
      <c r="A4" s="23" t="s">
        <v>142</v>
      </c>
      <c r="B4" s="22" t="s">
        <v>937</v>
      </c>
      <c r="C4" s="1" t="s">
        <v>65</v>
      </c>
      <c r="D4" s="1" t="s">
        <v>15</v>
      </c>
      <c r="E4" s="3">
        <v>866583063277329</v>
      </c>
      <c r="F4" s="1"/>
      <c r="G4" s="5">
        <v>45736</v>
      </c>
      <c r="H4" s="4">
        <v>100</v>
      </c>
      <c r="I4" s="4"/>
      <c r="J4" s="5">
        <v>45748</v>
      </c>
      <c r="K4" s="58">
        <f>Таблица37589[[#This Row],[OLINGAN NARXI $]]+Таблица37589[[#This Row],[RASXOD]]</f>
        <v>100</v>
      </c>
      <c r="L4" s="4">
        <v>140</v>
      </c>
      <c r="M4" s="58">
        <f>Таблица37589[[#This Row],[SOTILGAN NARXI]]-Таблица37589[[#This Row],[TAN NARXI]]</f>
        <v>40</v>
      </c>
      <c r="N4" s="6" t="s">
        <v>938</v>
      </c>
    </row>
    <row r="5" spans="1:14" x14ac:dyDescent="0.3">
      <c r="A5" s="23" t="s">
        <v>727</v>
      </c>
      <c r="B5" s="6" t="s">
        <v>728</v>
      </c>
      <c r="C5" s="1" t="s">
        <v>21</v>
      </c>
      <c r="D5" s="1" t="s">
        <v>22</v>
      </c>
      <c r="E5" s="3">
        <v>868168062284860</v>
      </c>
      <c r="F5" s="1"/>
      <c r="G5" s="5">
        <v>45665</v>
      </c>
      <c r="H5" s="4">
        <v>100</v>
      </c>
      <c r="I5" s="4"/>
      <c r="J5" s="5">
        <v>45748</v>
      </c>
      <c r="K5" s="58">
        <f>Таблица37589[[#This Row],[OLINGAN NARXI $]]+Таблица37589[[#This Row],[RASXOD]]</f>
        <v>100</v>
      </c>
      <c r="L5" s="4">
        <v>140</v>
      </c>
      <c r="M5" s="58">
        <f>Таблица37589[[#This Row],[SOTILGAN NARXI]]-Таблица37589[[#This Row],[TAN NARXI]]</f>
        <v>40</v>
      </c>
      <c r="N5" s="6" t="s">
        <v>729</v>
      </c>
    </row>
    <row r="6" spans="1:14" x14ac:dyDescent="0.3">
      <c r="A6" s="23" t="s">
        <v>13</v>
      </c>
      <c r="B6" s="22" t="s">
        <v>115</v>
      </c>
      <c r="C6" s="1" t="s">
        <v>35</v>
      </c>
      <c r="D6" s="1" t="s">
        <v>15</v>
      </c>
      <c r="E6" s="3">
        <v>351376411666497</v>
      </c>
      <c r="F6" s="1"/>
      <c r="G6" s="5">
        <v>45731</v>
      </c>
      <c r="H6" s="4">
        <v>146</v>
      </c>
      <c r="I6" s="4"/>
      <c r="J6" s="5" t="s">
        <v>973</v>
      </c>
      <c r="K6" s="58">
        <f>Таблица37589[[#This Row],[OLINGAN NARXI $]]+Таблица37589[[#This Row],[RASXOD]]</f>
        <v>146</v>
      </c>
      <c r="L6" s="4">
        <v>210</v>
      </c>
      <c r="M6" s="58">
        <f>Таблица37589[[#This Row],[SOTILGAN NARXI]]-Таблица37589[[#This Row],[TAN NARXI]]</f>
        <v>64</v>
      </c>
      <c r="N6" s="6" t="s">
        <v>924</v>
      </c>
    </row>
    <row r="7" spans="1:14" x14ac:dyDescent="0.3">
      <c r="A7" s="23" t="s">
        <v>16</v>
      </c>
      <c r="B7" s="6" t="s">
        <v>692</v>
      </c>
      <c r="C7" s="1" t="s">
        <v>65</v>
      </c>
      <c r="D7" s="1" t="s">
        <v>22</v>
      </c>
      <c r="E7" s="3">
        <v>354645216270516</v>
      </c>
      <c r="F7" s="1"/>
      <c r="G7" s="5">
        <v>45688</v>
      </c>
      <c r="H7" s="4">
        <v>670</v>
      </c>
      <c r="I7" s="4"/>
      <c r="J7" s="5">
        <v>45749</v>
      </c>
      <c r="K7" s="58">
        <f>Таблица3[[#This Row],[OLINGAN NARXI $]]+Таблица3[[#This Row],[RASXOD]]</f>
        <v>468</v>
      </c>
      <c r="L7" s="4">
        <v>770</v>
      </c>
      <c r="M7" s="58">
        <v>100</v>
      </c>
      <c r="N7" s="6" t="s">
        <v>814</v>
      </c>
    </row>
    <row r="8" spans="1:14" s="56" customFormat="1" x14ac:dyDescent="0.3">
      <c r="A8" s="50" t="s">
        <v>16</v>
      </c>
      <c r="B8" s="51" t="s">
        <v>767</v>
      </c>
      <c r="C8" s="52" t="s">
        <v>21</v>
      </c>
      <c r="D8" s="52" t="s">
        <v>22</v>
      </c>
      <c r="E8" s="53">
        <v>358798962551765</v>
      </c>
      <c r="F8" s="52"/>
      <c r="G8" s="54">
        <v>45742</v>
      </c>
      <c r="H8" s="55">
        <v>1000</v>
      </c>
      <c r="I8" s="55"/>
      <c r="J8" s="54">
        <v>45749</v>
      </c>
      <c r="K8" s="72">
        <f>Таблица3[[#This Row],[OLINGAN NARXI $]]+Таблица3[[#This Row],[RASXOD]]</f>
        <v>155</v>
      </c>
      <c r="L8" s="55">
        <v>1080</v>
      </c>
      <c r="M8" s="72">
        <v>80</v>
      </c>
      <c r="N8" s="51" t="s">
        <v>952</v>
      </c>
    </row>
    <row r="9" spans="1:14" x14ac:dyDescent="0.3">
      <c r="A9" s="23" t="s">
        <v>16</v>
      </c>
      <c r="B9" s="6" t="s">
        <v>739</v>
      </c>
      <c r="C9" s="1" t="s">
        <v>21</v>
      </c>
      <c r="D9" s="1" t="s">
        <v>15</v>
      </c>
      <c r="E9" s="3">
        <v>3288</v>
      </c>
      <c r="F9" s="1"/>
      <c r="G9" s="5" t="s">
        <v>973</v>
      </c>
      <c r="H9" s="4">
        <v>80</v>
      </c>
      <c r="I9" s="4"/>
      <c r="J9" s="5">
        <v>45749</v>
      </c>
      <c r="K9" s="58">
        <f>Таблица3[[#This Row],[OLINGAN NARXI $]]+Таблица3[[#This Row],[RASXOD]]</f>
        <v>190</v>
      </c>
      <c r="L9" s="4">
        <v>100</v>
      </c>
      <c r="M9" s="58">
        <v>20</v>
      </c>
      <c r="N9" s="6"/>
    </row>
    <row r="10" spans="1:14" x14ac:dyDescent="0.3">
      <c r="A10" s="23" t="s">
        <v>16</v>
      </c>
      <c r="B10" s="6" t="s">
        <v>81</v>
      </c>
      <c r="C10" s="1" t="s">
        <v>21</v>
      </c>
      <c r="D10" s="1" t="s">
        <v>22</v>
      </c>
      <c r="E10" s="3">
        <v>350367279245137</v>
      </c>
      <c r="F10" s="1"/>
      <c r="G10" s="5">
        <v>45568</v>
      </c>
      <c r="H10" s="4">
        <v>535</v>
      </c>
      <c r="I10" s="4">
        <v>13</v>
      </c>
      <c r="J10" s="5">
        <v>45749</v>
      </c>
      <c r="K10" s="58">
        <f>Таблица3[[#This Row],[OLINGAN NARXI $]]+Таблица3[[#This Row],[RASXOD]]</f>
        <v>473</v>
      </c>
      <c r="L10" s="4">
        <v>480</v>
      </c>
      <c r="M10" s="58">
        <v>-68</v>
      </c>
      <c r="N10" s="6" t="s">
        <v>82</v>
      </c>
    </row>
    <row r="11" spans="1:14" x14ac:dyDescent="0.3">
      <c r="A11" s="23" t="s">
        <v>16</v>
      </c>
      <c r="B11" s="6" t="s">
        <v>859</v>
      </c>
      <c r="C11" s="1" t="s">
        <v>45</v>
      </c>
      <c r="D11" s="1" t="s">
        <v>15</v>
      </c>
      <c r="E11" s="3">
        <v>355374100263201</v>
      </c>
      <c r="F11" s="1"/>
      <c r="G11" s="5">
        <v>45748</v>
      </c>
      <c r="H11" s="4">
        <v>180</v>
      </c>
      <c r="I11" s="4"/>
      <c r="J11" s="5">
        <v>45749</v>
      </c>
      <c r="K11" s="58">
        <f>Таблица3[[#This Row],[OLINGAN NARXI $]]+Таблица3[[#This Row],[RASXOD]]</f>
        <v>400</v>
      </c>
      <c r="L11" s="4">
        <v>203</v>
      </c>
      <c r="M11" s="58">
        <v>23</v>
      </c>
      <c r="N11" s="6" t="s">
        <v>262</v>
      </c>
    </row>
    <row r="12" spans="1:14" s="56" customFormat="1" x14ac:dyDescent="0.3">
      <c r="A12" s="50" t="s">
        <v>16</v>
      </c>
      <c r="B12" s="51" t="s">
        <v>407</v>
      </c>
      <c r="C12" s="52" t="s">
        <v>89</v>
      </c>
      <c r="D12" s="52" t="s">
        <v>22</v>
      </c>
      <c r="E12" s="53">
        <v>353834925968666</v>
      </c>
      <c r="F12" s="52"/>
      <c r="G12" s="54">
        <v>45748</v>
      </c>
      <c r="H12" s="55">
        <v>190</v>
      </c>
      <c r="I12" s="55"/>
      <c r="J12" s="54">
        <v>45750</v>
      </c>
      <c r="K12" s="72">
        <f>Таблица3[[#This Row],[OLINGAN NARXI $]]+Таблица3[[#This Row],[RASXOD]]</f>
        <v>323.3</v>
      </c>
      <c r="L12" s="55">
        <v>250</v>
      </c>
      <c r="M12" s="72">
        <v>60</v>
      </c>
      <c r="N12" s="51" t="s">
        <v>972</v>
      </c>
    </row>
    <row r="13" spans="1:14" x14ac:dyDescent="0.3">
      <c r="A13" s="23" t="s">
        <v>13</v>
      </c>
      <c r="B13" s="6" t="s">
        <v>325</v>
      </c>
      <c r="C13" s="1" t="s">
        <v>26</v>
      </c>
      <c r="D13" s="1" t="s">
        <v>22</v>
      </c>
      <c r="E13" s="3">
        <v>350683211578454</v>
      </c>
      <c r="F13" s="1"/>
      <c r="G13" s="5">
        <v>45747</v>
      </c>
      <c r="H13" s="4">
        <v>640</v>
      </c>
      <c r="I13" s="4"/>
      <c r="J13" s="5">
        <v>45750</v>
      </c>
      <c r="K13" s="58">
        <f>Таблица3[[#This Row],[OLINGAN NARXI $]]+Таблица3[[#This Row],[RASXOD]]</f>
        <v>307</v>
      </c>
      <c r="L13" s="4">
        <v>700</v>
      </c>
      <c r="M13" s="58">
        <v>60</v>
      </c>
      <c r="N13" s="6" t="s">
        <v>959</v>
      </c>
    </row>
    <row r="14" spans="1:14" x14ac:dyDescent="0.3">
      <c r="A14" s="23" t="s">
        <v>16</v>
      </c>
      <c r="B14" s="6" t="s">
        <v>619</v>
      </c>
      <c r="C14" s="1" t="s">
        <v>21</v>
      </c>
      <c r="D14" s="1" t="s">
        <v>15</v>
      </c>
      <c r="E14" s="3">
        <v>9293</v>
      </c>
      <c r="F14" s="1" t="s">
        <v>556</v>
      </c>
      <c r="G14" s="5" t="s">
        <v>973</v>
      </c>
      <c r="H14" s="4">
        <v>46</v>
      </c>
      <c r="I14" s="4"/>
      <c r="J14" s="5">
        <v>45750</v>
      </c>
      <c r="K14" s="58">
        <f>Таблица3[[#This Row],[OLINGAN NARXI $]]+Таблица3[[#This Row],[RASXOD]]</f>
        <v>30</v>
      </c>
      <c r="L14" s="4">
        <v>73</v>
      </c>
      <c r="M14" s="58">
        <v>27</v>
      </c>
      <c r="N14" s="6"/>
    </row>
    <row r="15" spans="1:14" x14ac:dyDescent="0.3">
      <c r="A15" s="23" t="s">
        <v>16</v>
      </c>
      <c r="B15" s="6" t="s">
        <v>672</v>
      </c>
      <c r="C15" s="1" t="s">
        <v>107</v>
      </c>
      <c r="D15" s="1" t="s">
        <v>15</v>
      </c>
      <c r="E15" s="3">
        <v>351420092207245</v>
      </c>
      <c r="F15" s="1"/>
      <c r="G15" s="5">
        <v>45690</v>
      </c>
      <c r="H15" s="4">
        <v>190</v>
      </c>
      <c r="I15" s="4"/>
      <c r="J15" s="5">
        <v>45750</v>
      </c>
      <c r="K15" s="58">
        <f>Таблица3[[#This Row],[OLINGAN NARXI $]]+Таблица3[[#This Row],[RASXOD]]</f>
        <v>16</v>
      </c>
      <c r="L15" s="4">
        <v>210</v>
      </c>
      <c r="M15" s="58">
        <v>20</v>
      </c>
      <c r="N15" s="6" t="s">
        <v>262</v>
      </c>
    </row>
    <row r="16" spans="1:14" x14ac:dyDescent="0.3">
      <c r="A16" s="23" t="s">
        <v>207</v>
      </c>
      <c r="B16" s="22" t="s">
        <v>969</v>
      </c>
      <c r="C16" s="1" t="s">
        <v>21</v>
      </c>
      <c r="D16" s="1" t="s">
        <v>15</v>
      </c>
      <c r="E16" s="3"/>
      <c r="F16" s="1" t="s">
        <v>970</v>
      </c>
      <c r="G16" s="5">
        <v>45748</v>
      </c>
      <c r="H16" s="4">
        <v>120</v>
      </c>
      <c r="I16" s="4"/>
      <c r="J16" s="5">
        <v>45750</v>
      </c>
      <c r="K16" s="58">
        <f>Таблица3[[#This Row],[OLINGAN NARXI $]]+Таблица3[[#This Row],[RASXOD]]</f>
        <v>387</v>
      </c>
      <c r="L16" s="4">
        <v>170</v>
      </c>
      <c r="M16" s="58">
        <v>50</v>
      </c>
      <c r="N16" s="6" t="s">
        <v>971</v>
      </c>
    </row>
    <row r="17" spans="1:14" x14ac:dyDescent="0.3">
      <c r="A17" s="23" t="s">
        <v>16</v>
      </c>
      <c r="B17" s="6" t="s">
        <v>83</v>
      </c>
      <c r="C17" s="1" t="s">
        <v>18</v>
      </c>
      <c r="D17" s="1" t="s">
        <v>22</v>
      </c>
      <c r="E17" s="3">
        <v>355786373620421</v>
      </c>
      <c r="F17" s="1"/>
      <c r="G17" s="5">
        <v>45650</v>
      </c>
      <c r="H17" s="4">
        <v>450</v>
      </c>
      <c r="I17" s="4">
        <v>18</v>
      </c>
      <c r="J17" s="5">
        <v>45751</v>
      </c>
      <c r="K17" s="58">
        <f>Таблица3[[#This Row],[OLINGAN NARXI $]]+Таблица3[[#This Row],[RASXOD]]</f>
        <v>320</v>
      </c>
      <c r="L17" s="4">
        <v>500</v>
      </c>
      <c r="M17" s="58">
        <v>32</v>
      </c>
      <c r="N17" s="6" t="s">
        <v>147</v>
      </c>
    </row>
    <row r="18" spans="1:14" s="56" customFormat="1" x14ac:dyDescent="0.3">
      <c r="A18" s="50" t="s">
        <v>16</v>
      </c>
      <c r="B18" s="57" t="s">
        <v>407</v>
      </c>
      <c r="C18" s="52" t="s">
        <v>65</v>
      </c>
      <c r="D18" s="52" t="s">
        <v>22</v>
      </c>
      <c r="E18" s="53">
        <v>353304540661559</v>
      </c>
      <c r="F18" s="52"/>
      <c r="G18" s="54">
        <v>45739</v>
      </c>
      <c r="H18" s="55">
        <v>200</v>
      </c>
      <c r="I18" s="55"/>
      <c r="J18" s="54">
        <v>45751</v>
      </c>
      <c r="K18" s="72">
        <f>Таблица3[[#This Row],[OLINGAN NARXI $]]+Таблица3[[#This Row],[RASXOD]]</f>
        <v>223</v>
      </c>
      <c r="L18" s="55">
        <v>261</v>
      </c>
      <c r="M18" s="72">
        <v>61</v>
      </c>
      <c r="N18" s="51" t="s">
        <v>949</v>
      </c>
    </row>
    <row r="19" spans="1:14" s="56" customFormat="1" x14ac:dyDescent="0.3">
      <c r="A19" s="50" t="s">
        <v>16</v>
      </c>
      <c r="B19" s="51" t="s">
        <v>312</v>
      </c>
      <c r="C19" s="52" t="s">
        <v>21</v>
      </c>
      <c r="D19" s="52" t="s">
        <v>22</v>
      </c>
      <c r="E19" s="53">
        <v>355365662874856</v>
      </c>
      <c r="F19" s="52"/>
      <c r="G19" s="54">
        <v>45747</v>
      </c>
      <c r="H19" s="55">
        <v>480</v>
      </c>
      <c r="I19" s="55"/>
      <c r="J19" s="54">
        <v>45751</v>
      </c>
      <c r="K19" s="72">
        <f>Таблица3[[#This Row],[OLINGAN NARXI $]]+Таблица3[[#This Row],[RASXOD]]</f>
        <v>251.5</v>
      </c>
      <c r="L19" s="55">
        <v>540</v>
      </c>
      <c r="M19" s="72">
        <v>60</v>
      </c>
      <c r="N19" s="51" t="s">
        <v>966</v>
      </c>
    </row>
    <row r="20" spans="1:14" s="56" customFormat="1" x14ac:dyDescent="0.3">
      <c r="A20" s="50" t="s">
        <v>16</v>
      </c>
      <c r="B20" s="51" t="s">
        <v>452</v>
      </c>
      <c r="C20" s="52" t="s">
        <v>18</v>
      </c>
      <c r="D20" s="52" t="s">
        <v>22</v>
      </c>
      <c r="E20" s="53">
        <v>355608702027401</v>
      </c>
      <c r="F20" s="52"/>
      <c r="G20" s="54">
        <v>45744</v>
      </c>
      <c r="H20" s="55">
        <v>180</v>
      </c>
      <c r="I20" s="55"/>
      <c r="J20" s="54">
        <v>45751</v>
      </c>
      <c r="K20" s="72">
        <f>Таблица3[[#This Row],[OLINGAN NARXI $]]+Таблица3[[#This Row],[RASXOD]]</f>
        <v>1080</v>
      </c>
      <c r="L20" s="55">
        <v>240</v>
      </c>
      <c r="M20" s="72">
        <v>60</v>
      </c>
      <c r="N20" s="51" t="s">
        <v>956</v>
      </c>
    </row>
    <row r="21" spans="1:14" x14ac:dyDescent="0.3">
      <c r="A21" s="23" t="s">
        <v>16</v>
      </c>
      <c r="B21" s="6" t="s">
        <v>476</v>
      </c>
      <c r="C21" s="1" t="s">
        <v>21</v>
      </c>
      <c r="D21" s="1" t="s">
        <v>22</v>
      </c>
      <c r="E21" s="3">
        <v>356837114895803</v>
      </c>
      <c r="F21" s="1" t="s">
        <v>477</v>
      </c>
      <c r="G21" s="5">
        <v>45617</v>
      </c>
      <c r="H21" s="4">
        <v>55</v>
      </c>
      <c r="I21" s="4">
        <v>17</v>
      </c>
      <c r="J21" s="5"/>
      <c r="K21" s="58">
        <f>Таблица3[[#This Row],[OLINGAN NARXI $]]+Таблица3[[#This Row],[RASXOD]]</f>
        <v>600</v>
      </c>
      <c r="L21" s="4">
        <v>15</v>
      </c>
      <c r="M21" s="58">
        <v>-57</v>
      </c>
      <c r="N21" s="6" t="s">
        <v>478</v>
      </c>
    </row>
    <row r="22" spans="1:14" s="56" customFormat="1" x14ac:dyDescent="0.3">
      <c r="A22" s="50" t="s">
        <v>16</v>
      </c>
      <c r="B22" s="57" t="s">
        <v>17</v>
      </c>
      <c r="C22" s="52" t="s">
        <v>21</v>
      </c>
      <c r="D22" s="52" t="s">
        <v>15</v>
      </c>
      <c r="E22" s="53">
        <v>353846103826128</v>
      </c>
      <c r="F22" s="52"/>
      <c r="G22" s="54">
        <v>45739</v>
      </c>
      <c r="H22" s="55">
        <v>200</v>
      </c>
      <c r="I22" s="55"/>
      <c r="J22" s="54">
        <v>45752</v>
      </c>
      <c r="K22" s="72">
        <f>Таблица3[[#This Row],[OLINGAN NARXI $]]+Таблица3[[#This Row],[RASXOD]]</f>
        <v>271</v>
      </c>
      <c r="L22" s="55">
        <v>250</v>
      </c>
      <c r="M22" s="72">
        <v>50</v>
      </c>
      <c r="N22" s="51" t="s">
        <v>948</v>
      </c>
    </row>
    <row r="23" spans="1:14" x14ac:dyDescent="0.3">
      <c r="A23" s="23" t="s">
        <v>207</v>
      </c>
      <c r="B23" s="6" t="s">
        <v>788</v>
      </c>
      <c r="C23" s="1" t="s">
        <v>991</v>
      </c>
      <c r="D23" s="1" t="s">
        <v>22</v>
      </c>
      <c r="E23" s="3"/>
      <c r="F23" s="1"/>
      <c r="G23" s="5">
        <v>45751</v>
      </c>
      <c r="H23" s="4">
        <v>360</v>
      </c>
      <c r="I23" s="4"/>
      <c r="J23" s="5">
        <v>45752</v>
      </c>
      <c r="K23" s="58">
        <f>Таблица3[[#This Row],[OLINGAN NARXI $]]+Таблица3[[#This Row],[RASXOD]]</f>
        <v>366</v>
      </c>
      <c r="L23" s="4">
        <v>380</v>
      </c>
      <c r="M23" s="4">
        <v>20</v>
      </c>
      <c r="N23" s="6" t="s">
        <v>992</v>
      </c>
    </row>
    <row r="24" spans="1:14" x14ac:dyDescent="0.3">
      <c r="A24" s="23" t="s">
        <v>16</v>
      </c>
      <c r="B24" s="6" t="s">
        <v>452</v>
      </c>
      <c r="C24" s="1" t="s">
        <v>18</v>
      </c>
      <c r="D24" s="1" t="s">
        <v>15</v>
      </c>
      <c r="E24" s="3">
        <v>352924115969862</v>
      </c>
      <c r="F24" s="1"/>
      <c r="G24" s="5">
        <v>45751</v>
      </c>
      <c r="H24" s="4">
        <v>220</v>
      </c>
      <c r="I24" s="4"/>
      <c r="J24" s="5">
        <v>45752</v>
      </c>
      <c r="K24" s="58">
        <f>Таблица3[[#This Row],[OLINGAN NARXI $]]+Таблица3[[#This Row],[RASXOD]]</f>
        <v>381</v>
      </c>
      <c r="L24" s="4">
        <v>275</v>
      </c>
      <c r="M24" s="4">
        <v>55</v>
      </c>
      <c r="N24" s="6" t="s">
        <v>19</v>
      </c>
    </row>
    <row r="25" spans="1:14" s="56" customFormat="1" x14ac:dyDescent="0.3">
      <c r="A25" s="50" t="s">
        <v>16</v>
      </c>
      <c r="B25" s="51" t="s">
        <v>452</v>
      </c>
      <c r="C25" s="52" t="s">
        <v>18</v>
      </c>
      <c r="D25" s="52" t="s">
        <v>22</v>
      </c>
      <c r="E25" s="53">
        <v>355608702027401</v>
      </c>
      <c r="F25" s="52"/>
      <c r="G25" s="54">
        <v>45752</v>
      </c>
      <c r="H25" s="55">
        <v>220</v>
      </c>
      <c r="I25" s="55"/>
      <c r="J25" s="54">
        <v>45752</v>
      </c>
      <c r="K25" s="72">
        <f>Таблица3[[#This Row],[OLINGAN NARXI $]]+Таблица3[[#This Row],[RASXOD]]</f>
        <v>540</v>
      </c>
      <c r="L25" s="55">
        <v>260</v>
      </c>
      <c r="M25" s="55">
        <v>40</v>
      </c>
      <c r="N25" s="51" t="s">
        <v>262</v>
      </c>
    </row>
    <row r="26" spans="1:14" x14ac:dyDescent="0.3">
      <c r="A26" s="23" t="s">
        <v>16</v>
      </c>
      <c r="B26" s="6" t="s">
        <v>692</v>
      </c>
      <c r="C26" s="1" t="s">
        <v>26</v>
      </c>
      <c r="D26" s="1" t="s">
        <v>22</v>
      </c>
      <c r="E26" s="3">
        <v>354650913189027</v>
      </c>
      <c r="F26" s="1"/>
      <c r="G26" s="5">
        <v>45748</v>
      </c>
      <c r="H26" s="4">
        <v>860</v>
      </c>
      <c r="I26" s="4"/>
      <c r="J26" s="5">
        <v>45752</v>
      </c>
      <c r="K26" s="58">
        <f>Таблица3[[#This Row],[OLINGAN NARXI $]]+Таблица3[[#This Row],[RASXOD]]</f>
        <v>286</v>
      </c>
      <c r="L26" s="4">
        <v>920</v>
      </c>
      <c r="M26" s="58">
        <v>60</v>
      </c>
      <c r="N26" s="6" t="s">
        <v>977</v>
      </c>
    </row>
    <row r="27" spans="1:14" x14ac:dyDescent="0.3">
      <c r="A27" s="23" t="s">
        <v>16</v>
      </c>
      <c r="B27" s="6" t="s">
        <v>767</v>
      </c>
      <c r="C27" s="1" t="s">
        <v>583</v>
      </c>
      <c r="D27" s="1" t="s">
        <v>15</v>
      </c>
      <c r="E27" s="3">
        <v>354900905320639</v>
      </c>
      <c r="F27" s="1"/>
      <c r="G27" s="5">
        <v>45749</v>
      </c>
      <c r="H27" s="4">
        <v>950</v>
      </c>
      <c r="I27" s="4"/>
      <c r="J27" s="5">
        <v>45752</v>
      </c>
      <c r="K27" s="58">
        <f>Таблица3[[#This Row],[OLINGAN NARXI $]]+Таблица3[[#This Row],[RASXOD]]</f>
        <v>703</v>
      </c>
      <c r="L27" s="4">
        <v>1000</v>
      </c>
      <c r="M27" s="4">
        <v>50</v>
      </c>
      <c r="N27" s="6" t="s">
        <v>147</v>
      </c>
    </row>
    <row r="28" spans="1:14" x14ac:dyDescent="0.3">
      <c r="A28" s="23" t="s">
        <v>16</v>
      </c>
      <c r="B28" s="22" t="s">
        <v>128</v>
      </c>
      <c r="C28" s="1" t="s">
        <v>18</v>
      </c>
      <c r="D28" s="1" t="s">
        <v>15</v>
      </c>
      <c r="E28" s="3">
        <v>356116985820830</v>
      </c>
      <c r="F28" s="1" t="s">
        <v>556</v>
      </c>
      <c r="G28" s="5">
        <v>45726</v>
      </c>
      <c r="H28" s="4">
        <v>550</v>
      </c>
      <c r="I28" s="4"/>
      <c r="J28" s="5">
        <v>45752</v>
      </c>
      <c r="K28" s="58">
        <f>Таблица3[[#This Row],[OLINGAN NARXI $]]+Таблица3[[#This Row],[RASXOD]]</f>
        <v>447.7</v>
      </c>
      <c r="L28" s="4">
        <v>610</v>
      </c>
      <c r="M28" s="58">
        <v>60</v>
      </c>
      <c r="N28" s="6" t="s">
        <v>147</v>
      </c>
    </row>
    <row r="29" spans="1:14" x14ac:dyDescent="0.3">
      <c r="A29" s="23" t="s">
        <v>16</v>
      </c>
      <c r="B29" s="22" t="s">
        <v>34</v>
      </c>
      <c r="C29" s="1" t="s">
        <v>35</v>
      </c>
      <c r="D29" s="1" t="s">
        <v>15</v>
      </c>
      <c r="E29" s="3">
        <v>358034163990341</v>
      </c>
      <c r="F29" s="1"/>
      <c r="G29" s="5">
        <v>45726</v>
      </c>
      <c r="H29" s="4">
        <v>460</v>
      </c>
      <c r="I29" s="4"/>
      <c r="J29" s="5">
        <v>45753</v>
      </c>
      <c r="K29" s="58">
        <f>Таблица3[[#This Row],[OLINGAN NARXI $]]+Таблица3[[#This Row],[RASXOD]]</f>
        <v>400</v>
      </c>
      <c r="L29" s="4">
        <v>620</v>
      </c>
      <c r="M29" s="58">
        <v>160</v>
      </c>
      <c r="N29" s="6" t="s">
        <v>913</v>
      </c>
    </row>
    <row r="30" spans="1:14" x14ac:dyDescent="0.3">
      <c r="A30" s="23" t="s">
        <v>16</v>
      </c>
      <c r="B30" s="6" t="s">
        <v>34</v>
      </c>
      <c r="C30" s="1" t="s">
        <v>35</v>
      </c>
      <c r="D30" s="1" t="s">
        <v>22</v>
      </c>
      <c r="E30" s="3">
        <v>350089111504352</v>
      </c>
      <c r="F30" s="1"/>
      <c r="G30" s="5">
        <v>45721</v>
      </c>
      <c r="H30" s="4">
        <v>600</v>
      </c>
      <c r="I30" s="4"/>
      <c r="J30" s="5">
        <v>45753</v>
      </c>
      <c r="K30" s="58">
        <f>Таблица3[[#This Row],[OLINGAN NARXI $]]+Таблица3[[#This Row],[RASXOD]]</f>
        <v>240</v>
      </c>
      <c r="L30" s="4">
        <v>660</v>
      </c>
      <c r="M30" s="58">
        <v>60</v>
      </c>
      <c r="N30" s="6" t="s">
        <v>894</v>
      </c>
    </row>
    <row r="31" spans="1:14" x14ac:dyDescent="0.3">
      <c r="A31" s="23" t="s">
        <v>16</v>
      </c>
      <c r="B31" s="6" t="s">
        <v>552</v>
      </c>
      <c r="C31" s="1" t="s">
        <v>97</v>
      </c>
      <c r="D31" s="1" t="s">
        <v>15</v>
      </c>
      <c r="E31" s="3">
        <v>353243108909440</v>
      </c>
      <c r="F31" s="1" t="s">
        <v>897</v>
      </c>
      <c r="G31" s="5">
        <v>45749</v>
      </c>
      <c r="H31" s="4">
        <v>160</v>
      </c>
      <c r="I31" s="4"/>
      <c r="J31" s="5">
        <v>45753</v>
      </c>
      <c r="K31" s="58">
        <f>Таблица3[[#This Row],[OLINGAN NARXI $]]+Таблица3[[#This Row],[RASXOD]]</f>
        <v>620</v>
      </c>
      <c r="L31" s="4">
        <v>220</v>
      </c>
      <c r="M31" s="4">
        <v>60</v>
      </c>
      <c r="N31" s="6" t="s">
        <v>262</v>
      </c>
    </row>
    <row r="32" spans="1:14" s="56" customFormat="1" x14ac:dyDescent="0.3">
      <c r="A32" s="50" t="s">
        <v>142</v>
      </c>
      <c r="B32" s="51" t="s">
        <v>960</v>
      </c>
      <c r="C32" s="52" t="s">
        <v>21</v>
      </c>
      <c r="D32" s="52" t="s">
        <v>22</v>
      </c>
      <c r="E32" s="53">
        <v>861204062010141</v>
      </c>
      <c r="F32" s="52"/>
      <c r="G32" s="54">
        <v>45747</v>
      </c>
      <c r="H32" s="55">
        <v>92</v>
      </c>
      <c r="I32" s="55"/>
      <c r="J32" s="54">
        <v>45753</v>
      </c>
      <c r="K32" s="72">
        <v>92</v>
      </c>
      <c r="L32" s="55">
        <v>115</v>
      </c>
      <c r="M32" s="72">
        <v>23</v>
      </c>
      <c r="N32" s="51" t="s">
        <v>961</v>
      </c>
    </row>
    <row r="33" spans="1:14" x14ac:dyDescent="0.3">
      <c r="A33" s="23" t="s">
        <v>16</v>
      </c>
      <c r="B33" s="6" t="s">
        <v>77</v>
      </c>
      <c r="C33" s="1" t="s">
        <v>35</v>
      </c>
      <c r="D33" s="1" t="s">
        <v>15</v>
      </c>
      <c r="E33" s="3">
        <v>351055823963847</v>
      </c>
      <c r="F33" s="1"/>
      <c r="G33" s="5">
        <v>45647</v>
      </c>
      <c r="H33" s="4">
        <v>550</v>
      </c>
      <c r="I33" s="4">
        <v>18</v>
      </c>
      <c r="J33" s="5">
        <v>45754</v>
      </c>
      <c r="K33" s="58">
        <f>Таблица3[[#This Row],[OLINGAN NARXI $]]+Таблица3[[#This Row],[RASXOD]]</f>
        <v>180</v>
      </c>
      <c r="L33" s="4">
        <v>568</v>
      </c>
      <c r="M33" s="58">
        <v>0</v>
      </c>
      <c r="N33" s="6" t="s">
        <v>650</v>
      </c>
    </row>
    <row r="34" spans="1:14" x14ac:dyDescent="0.3">
      <c r="A34" s="23" t="s">
        <v>16</v>
      </c>
      <c r="B34" s="6" t="s">
        <v>476</v>
      </c>
      <c r="C34" s="1" t="s">
        <v>21</v>
      </c>
      <c r="D34" s="1" t="s">
        <v>15</v>
      </c>
      <c r="E34" s="3">
        <v>74541</v>
      </c>
      <c r="F34" s="1"/>
      <c r="G34" s="5">
        <v>45744</v>
      </c>
      <c r="H34" s="4">
        <v>50</v>
      </c>
      <c r="I34" s="4"/>
      <c r="J34" s="5"/>
      <c r="K34" s="58">
        <f>Таблица3[[#This Row],[OLINGAN NARXI $]]+Таблица3[[#This Row],[RASXOD]]</f>
        <v>610</v>
      </c>
      <c r="L34" s="4">
        <v>16</v>
      </c>
      <c r="M34" s="58">
        <v>-34</v>
      </c>
      <c r="N34" s="6" t="s">
        <v>954</v>
      </c>
    </row>
    <row r="35" spans="1:14" x14ac:dyDescent="0.3">
      <c r="A35" s="23" t="s">
        <v>16</v>
      </c>
      <c r="B35" s="6" t="s">
        <v>81</v>
      </c>
      <c r="C35" s="1" t="s">
        <v>65</v>
      </c>
      <c r="D35" s="1" t="s">
        <v>22</v>
      </c>
      <c r="E35" s="3">
        <v>353929793135800</v>
      </c>
      <c r="F35" s="1"/>
      <c r="G35" s="5">
        <v>45754</v>
      </c>
      <c r="H35" s="4">
        <v>442</v>
      </c>
      <c r="I35" s="4"/>
      <c r="J35" s="5">
        <v>45754</v>
      </c>
      <c r="K35" s="58">
        <f>Таблица3[[#This Row],[OLINGAN NARXI $]]+Таблица3[[#This Row],[RASXOD]]</f>
        <v>610</v>
      </c>
      <c r="L35" s="4">
        <v>480</v>
      </c>
      <c r="M35" s="4">
        <v>38</v>
      </c>
      <c r="N35" s="6" t="s">
        <v>1002</v>
      </c>
    </row>
    <row r="36" spans="1:14" x14ac:dyDescent="0.3">
      <c r="A36" s="23" t="s">
        <v>16</v>
      </c>
      <c r="B36" s="6" t="s">
        <v>621</v>
      </c>
      <c r="C36" s="1" t="s">
        <v>583</v>
      </c>
      <c r="D36" s="1" t="s">
        <v>15</v>
      </c>
      <c r="E36" s="3">
        <v>354573690583156</v>
      </c>
      <c r="F36" s="1"/>
      <c r="G36" s="5">
        <v>45749</v>
      </c>
      <c r="H36" s="4">
        <v>800</v>
      </c>
      <c r="I36" s="4">
        <v>27</v>
      </c>
      <c r="J36" s="5">
        <v>45755</v>
      </c>
      <c r="K36" s="58">
        <f>Таблица3[[#This Row],[OLINGAN NARXI $]]+Таблица3[[#This Row],[RASXOD]]</f>
        <v>645</v>
      </c>
      <c r="L36" s="4">
        <v>890</v>
      </c>
      <c r="M36" s="4">
        <v>63</v>
      </c>
      <c r="N36" s="6" t="s">
        <v>147</v>
      </c>
    </row>
    <row r="37" spans="1:14" x14ac:dyDescent="0.3">
      <c r="A37" s="23" t="s">
        <v>13</v>
      </c>
      <c r="B37" s="6" t="s">
        <v>455</v>
      </c>
      <c r="C37" s="1" t="s">
        <v>21</v>
      </c>
      <c r="D37" s="1" t="s">
        <v>15</v>
      </c>
      <c r="E37" s="3">
        <v>352412371174286</v>
      </c>
      <c r="F37" s="1"/>
      <c r="G37" s="5">
        <v>45713</v>
      </c>
      <c r="H37" s="4">
        <v>275</v>
      </c>
      <c r="I37" s="4">
        <v>18</v>
      </c>
      <c r="J37" s="5">
        <v>45755</v>
      </c>
      <c r="K37" s="58">
        <f>Таблица3[[#This Row],[OLINGAN NARXI $]]+Таблица3[[#This Row],[RASXOD]]</f>
        <v>550</v>
      </c>
      <c r="L37" s="4">
        <v>330</v>
      </c>
      <c r="M37" s="58">
        <v>37</v>
      </c>
      <c r="N37" s="6" t="s">
        <v>147</v>
      </c>
    </row>
    <row r="38" spans="1:14" s="56" customFormat="1" x14ac:dyDescent="0.3">
      <c r="A38" s="50" t="s">
        <v>16</v>
      </c>
      <c r="B38" s="51" t="s">
        <v>128</v>
      </c>
      <c r="C38" s="52" t="s">
        <v>18</v>
      </c>
      <c r="D38" s="52" t="s">
        <v>15</v>
      </c>
      <c r="E38" s="53">
        <v>356737688492898</v>
      </c>
      <c r="F38" s="52" t="s">
        <v>556</v>
      </c>
      <c r="G38" s="54" t="s">
        <v>973</v>
      </c>
      <c r="H38" s="55">
        <v>550</v>
      </c>
      <c r="I38" s="55"/>
      <c r="J38" s="54">
        <v>45755</v>
      </c>
      <c r="K38" s="72">
        <f>Таблица3[[#This Row],[OLINGAN NARXI $]]+Таблица3[[#This Row],[RASXOD]]</f>
        <v>315</v>
      </c>
      <c r="L38" s="55">
        <v>620</v>
      </c>
      <c r="M38" s="72">
        <v>70</v>
      </c>
      <c r="N38" s="51" t="s">
        <v>147</v>
      </c>
    </row>
    <row r="39" spans="1:14" x14ac:dyDescent="0.3">
      <c r="A39" s="23" t="s">
        <v>16</v>
      </c>
      <c r="B39" s="6" t="s">
        <v>32</v>
      </c>
      <c r="C39" s="1" t="s">
        <v>21</v>
      </c>
      <c r="D39" s="1" t="s">
        <v>22</v>
      </c>
      <c r="E39" s="3">
        <v>356761821305692</v>
      </c>
      <c r="F39" s="1"/>
      <c r="G39" s="5">
        <v>45565</v>
      </c>
      <c r="H39" s="4">
        <v>760</v>
      </c>
      <c r="I39" s="4"/>
      <c r="J39" s="5">
        <v>45755</v>
      </c>
      <c r="K39" s="58">
        <f>Таблица3[[#This Row],[OLINGAN NARXI $]]+Таблица3[[#This Row],[RASXOD]]</f>
        <v>182</v>
      </c>
      <c r="L39" s="4">
        <v>720</v>
      </c>
      <c r="M39" s="58">
        <v>-40</v>
      </c>
      <c r="N39" s="6" t="s">
        <v>82</v>
      </c>
    </row>
    <row r="40" spans="1:14" x14ac:dyDescent="0.3">
      <c r="A40" s="23" t="s">
        <v>13</v>
      </c>
      <c r="B40" s="22" t="s">
        <v>563</v>
      </c>
      <c r="C40" s="1" t="s">
        <v>884</v>
      </c>
      <c r="D40" s="1" t="s">
        <v>22</v>
      </c>
      <c r="E40" s="3">
        <v>354839123028923</v>
      </c>
      <c r="F40" s="1"/>
      <c r="G40" s="5">
        <v>45729</v>
      </c>
      <c r="H40" s="4">
        <v>360</v>
      </c>
      <c r="I40" s="4"/>
      <c r="J40" s="5">
        <v>45755</v>
      </c>
      <c r="K40" s="58">
        <f>Таблица3[[#This Row],[OLINGAN NARXI $]]+Таблица3[[#This Row],[RASXOD]]</f>
        <v>312.2</v>
      </c>
      <c r="L40" s="4">
        <v>410</v>
      </c>
      <c r="M40" s="58">
        <v>50</v>
      </c>
      <c r="N40" s="6" t="s">
        <v>919</v>
      </c>
    </row>
    <row r="41" spans="1:14" s="56" customFormat="1" x14ac:dyDescent="0.3">
      <c r="A41" s="50" t="s">
        <v>13</v>
      </c>
      <c r="B41" s="51" t="s">
        <v>563</v>
      </c>
      <c r="C41" s="52" t="s">
        <v>18</v>
      </c>
      <c r="D41" s="52" t="s">
        <v>15</v>
      </c>
      <c r="E41" s="53">
        <v>353238130393860</v>
      </c>
      <c r="F41" s="52"/>
      <c r="G41" s="54">
        <v>45717</v>
      </c>
      <c r="H41" s="55">
        <v>350</v>
      </c>
      <c r="I41" s="55">
        <v>28</v>
      </c>
      <c r="J41" s="54">
        <v>45755</v>
      </c>
      <c r="K41" s="72">
        <f>Таблица3[[#This Row],[OLINGAN NARXI $]]+Таблица3[[#This Row],[RASXOD]]</f>
        <v>374.2</v>
      </c>
      <c r="L41" s="55">
        <v>420</v>
      </c>
      <c r="M41" s="72">
        <v>42</v>
      </c>
      <c r="N41" s="51" t="s">
        <v>147</v>
      </c>
    </row>
    <row r="42" spans="1:14" x14ac:dyDescent="0.3">
      <c r="A42" s="23" t="s">
        <v>16</v>
      </c>
      <c r="B42" s="6" t="s">
        <v>312</v>
      </c>
      <c r="C42" s="1" t="s">
        <v>65</v>
      </c>
      <c r="D42" s="1" t="s">
        <v>22</v>
      </c>
      <c r="E42" s="3">
        <v>355980289828794</v>
      </c>
      <c r="F42" s="1"/>
      <c r="G42" s="5">
        <v>45745</v>
      </c>
      <c r="H42" s="4">
        <v>470</v>
      </c>
      <c r="I42" s="4"/>
      <c r="J42" s="5">
        <v>45756</v>
      </c>
      <c r="K42" s="58">
        <f>Таблица3[[#This Row],[OLINGAN NARXI $]]+Таблица3[[#This Row],[RASXOD]]</f>
        <v>260</v>
      </c>
      <c r="L42" s="4">
        <v>520</v>
      </c>
      <c r="M42" s="58">
        <v>50</v>
      </c>
      <c r="N42" s="6" t="s">
        <v>886</v>
      </c>
    </row>
    <row r="43" spans="1:14" x14ac:dyDescent="0.3">
      <c r="A43" s="23" t="s">
        <v>16</v>
      </c>
      <c r="B43" s="6" t="s">
        <v>92</v>
      </c>
      <c r="C43" s="1" t="s">
        <v>18</v>
      </c>
      <c r="D43" s="1" t="s">
        <v>15</v>
      </c>
      <c r="E43" s="3">
        <v>353055110385447</v>
      </c>
      <c r="F43" s="1" t="s">
        <v>818</v>
      </c>
      <c r="G43" s="5">
        <v>45305</v>
      </c>
      <c r="H43" s="4">
        <v>250</v>
      </c>
      <c r="I43" s="4"/>
      <c r="J43" s="5">
        <v>45756</v>
      </c>
      <c r="K43" s="58">
        <f>Таблица3[[#This Row],[OLINGAN NARXI $]]+Таблица3[[#This Row],[RASXOD]]</f>
        <v>350</v>
      </c>
      <c r="L43" s="4">
        <v>280</v>
      </c>
      <c r="M43" s="58">
        <v>30</v>
      </c>
      <c r="N43" s="6" t="s">
        <v>186</v>
      </c>
    </row>
    <row r="44" spans="1:14" x14ac:dyDescent="0.3">
      <c r="A44" s="23" t="s">
        <v>13</v>
      </c>
      <c r="B44" s="22" t="s">
        <v>120</v>
      </c>
      <c r="C44" s="1" t="s">
        <v>97</v>
      </c>
      <c r="D44" s="1" t="s">
        <v>15</v>
      </c>
      <c r="E44" s="3">
        <v>354638490438495</v>
      </c>
      <c r="F44" s="1"/>
      <c r="G44" s="5">
        <v>45739</v>
      </c>
      <c r="H44" s="4">
        <v>320</v>
      </c>
      <c r="I44" s="4">
        <v>27</v>
      </c>
      <c r="J44" s="5">
        <v>45756</v>
      </c>
      <c r="K44" s="58">
        <f>Таблица3[[#This Row],[OLINGAN NARXI $]]+Таблица3[[#This Row],[RASXOD]]</f>
        <v>1000</v>
      </c>
      <c r="L44" s="4">
        <v>443</v>
      </c>
      <c r="M44" s="58">
        <v>96</v>
      </c>
      <c r="N44" s="6" t="s">
        <v>147</v>
      </c>
    </row>
    <row r="45" spans="1:14" s="56" customFormat="1" x14ac:dyDescent="0.3">
      <c r="A45" s="50" t="s">
        <v>16</v>
      </c>
      <c r="B45" s="51" t="s">
        <v>772</v>
      </c>
      <c r="C45" s="52" t="s">
        <v>26</v>
      </c>
      <c r="D45" s="52" t="s">
        <v>22</v>
      </c>
      <c r="E45" s="53">
        <v>358819904612620</v>
      </c>
      <c r="F45" s="52"/>
      <c r="G45" s="54">
        <v>45742</v>
      </c>
      <c r="H45" s="55">
        <v>650</v>
      </c>
      <c r="I45" s="55"/>
      <c r="J45" s="54">
        <v>45756</v>
      </c>
      <c r="K45" s="72">
        <f>Таблица3[[#This Row],[OLINGAN NARXI $]]+Таблица3[[#This Row],[RASXOD]]</f>
        <v>865</v>
      </c>
      <c r="L45" s="55">
        <v>690</v>
      </c>
      <c r="M45" s="72">
        <v>40</v>
      </c>
      <c r="N45" s="51" t="s">
        <v>262</v>
      </c>
    </row>
    <row r="46" spans="1:14" s="56" customFormat="1" x14ac:dyDescent="0.3">
      <c r="A46" s="50" t="s">
        <v>13</v>
      </c>
      <c r="B46" s="51" t="s">
        <v>325</v>
      </c>
      <c r="C46" s="52" t="s">
        <v>21</v>
      </c>
      <c r="D46" s="52" t="s">
        <v>22</v>
      </c>
      <c r="E46" s="53">
        <v>350683211644447</v>
      </c>
      <c r="F46" s="52"/>
      <c r="G46" s="54">
        <v>45692</v>
      </c>
      <c r="H46" s="55">
        <v>700</v>
      </c>
      <c r="I46" s="55"/>
      <c r="J46" s="54">
        <v>45756</v>
      </c>
      <c r="K46" s="72">
        <f>Таблица3[[#This Row],[OLINGAN NARXI $]]+Таблица3[[#This Row],[RASXOD]]</f>
        <v>145</v>
      </c>
      <c r="L46" s="55">
        <v>700</v>
      </c>
      <c r="M46" s="72">
        <v>0</v>
      </c>
      <c r="N46" s="51" t="s">
        <v>840</v>
      </c>
    </row>
    <row r="47" spans="1:14" x14ac:dyDescent="0.3">
      <c r="A47" s="23" t="s">
        <v>16</v>
      </c>
      <c r="B47" s="6" t="s">
        <v>621</v>
      </c>
      <c r="C47" s="1" t="s">
        <v>18</v>
      </c>
      <c r="D47" s="1" t="s">
        <v>22</v>
      </c>
      <c r="E47" s="3">
        <v>351817720303678</v>
      </c>
      <c r="F47" s="1"/>
      <c r="G47" s="5">
        <v>45749</v>
      </c>
      <c r="H47" s="4">
        <v>920</v>
      </c>
      <c r="I47" s="4">
        <v>27</v>
      </c>
      <c r="J47" s="5">
        <v>45756</v>
      </c>
      <c r="K47" s="58">
        <f>Таблица3[[#This Row],[OLINGAN NARXI $]]+Таблица3[[#This Row],[RASXOD]]</f>
        <v>390</v>
      </c>
      <c r="L47" s="4">
        <v>1000</v>
      </c>
      <c r="M47" s="4">
        <v>53</v>
      </c>
      <c r="N47" s="6" t="s">
        <v>147</v>
      </c>
    </row>
    <row r="48" spans="1:14" s="56" customFormat="1" x14ac:dyDescent="0.3">
      <c r="A48" s="50" t="s">
        <v>13</v>
      </c>
      <c r="B48" s="57" t="s">
        <v>563</v>
      </c>
      <c r="C48" s="52" t="s">
        <v>97</v>
      </c>
      <c r="D48" s="52" t="s">
        <v>15</v>
      </c>
      <c r="E48" s="53">
        <v>351562314312855</v>
      </c>
      <c r="F48" s="52"/>
      <c r="G48" s="54">
        <v>45739</v>
      </c>
      <c r="H48" s="55">
        <v>340</v>
      </c>
      <c r="I48" s="55">
        <v>28</v>
      </c>
      <c r="J48" s="54">
        <v>45757</v>
      </c>
      <c r="K48" s="72">
        <f>Таблица3[[#This Row],[OLINGAN NARXI $]]+Таблица3[[#This Row],[RASXOD]]</f>
        <v>63</v>
      </c>
      <c r="L48" s="55">
        <v>410</v>
      </c>
      <c r="M48" s="72">
        <v>42</v>
      </c>
      <c r="N48" s="51" t="s">
        <v>147</v>
      </c>
    </row>
    <row r="49" spans="1:14" x14ac:dyDescent="0.3">
      <c r="A49" s="23" t="s">
        <v>16</v>
      </c>
      <c r="B49" s="6" t="s">
        <v>77</v>
      </c>
      <c r="C49" s="1" t="s">
        <v>35</v>
      </c>
      <c r="D49" s="1" t="s">
        <v>15</v>
      </c>
      <c r="E49" s="3">
        <v>358287296501910</v>
      </c>
      <c r="F49" s="1"/>
      <c r="G49" s="5">
        <v>45582</v>
      </c>
      <c r="H49" s="4">
        <v>670</v>
      </c>
      <c r="I49" s="4"/>
      <c r="J49" s="5">
        <v>45757</v>
      </c>
      <c r="K49" s="58">
        <f>Таблица3[[#This Row],[OLINGAN NARXI $]]+Таблица3[[#This Row],[RASXOD]]</f>
        <v>60</v>
      </c>
      <c r="L49" s="4">
        <v>630</v>
      </c>
      <c r="M49" s="58">
        <v>-40</v>
      </c>
      <c r="N49" s="6" t="s">
        <v>29</v>
      </c>
    </row>
    <row r="50" spans="1:14" x14ac:dyDescent="0.3">
      <c r="A50" s="23" t="s">
        <v>16</v>
      </c>
      <c r="B50" s="6" t="s">
        <v>312</v>
      </c>
      <c r="C50" s="1" t="s">
        <v>21</v>
      </c>
      <c r="D50" s="1" t="s">
        <v>22</v>
      </c>
      <c r="E50" s="3">
        <v>355365662874856</v>
      </c>
      <c r="F50" s="1"/>
      <c r="G50" s="5">
        <v>45754</v>
      </c>
      <c r="H50" s="4">
        <v>510</v>
      </c>
      <c r="I50" s="4"/>
      <c r="J50" s="5">
        <v>45757</v>
      </c>
      <c r="K50" s="58">
        <f>Таблица3[[#This Row],[OLINGAN NARXI $]]+Таблица3[[#This Row],[RASXOD]]</f>
        <v>120</v>
      </c>
      <c r="L50" s="4">
        <v>560</v>
      </c>
      <c r="M50" s="4">
        <v>50</v>
      </c>
      <c r="N50" s="6" t="s">
        <v>262</v>
      </c>
    </row>
    <row r="51" spans="1:14" x14ac:dyDescent="0.3">
      <c r="A51" s="23" t="s">
        <v>16</v>
      </c>
      <c r="B51" s="6" t="s">
        <v>129</v>
      </c>
      <c r="C51" s="1" t="s">
        <v>65</v>
      </c>
      <c r="D51" s="1" t="s">
        <v>22</v>
      </c>
      <c r="E51" s="3">
        <v>356796484682359</v>
      </c>
      <c r="F51" s="1"/>
      <c r="G51" s="5">
        <v>45752</v>
      </c>
      <c r="H51" s="4">
        <v>480</v>
      </c>
      <c r="I51" s="4"/>
      <c r="J51" s="5">
        <v>45757</v>
      </c>
      <c r="K51" s="58">
        <f>Таблица3[[#This Row],[OLINGAN NARXI $]]+Таблица3[[#This Row],[RASXOD]]</f>
        <v>380</v>
      </c>
      <c r="L51" s="4">
        <v>510</v>
      </c>
      <c r="M51" s="58">
        <v>30</v>
      </c>
      <c r="N51" s="6" t="s">
        <v>994</v>
      </c>
    </row>
    <row r="52" spans="1:14" s="56" customFormat="1" x14ac:dyDescent="0.3">
      <c r="A52" s="50" t="s">
        <v>16</v>
      </c>
      <c r="B52" s="51" t="s">
        <v>1003</v>
      </c>
      <c r="C52" s="52" t="s">
        <v>89</v>
      </c>
      <c r="D52" s="52" t="s">
        <v>22</v>
      </c>
      <c r="E52" s="53">
        <v>352973359224070</v>
      </c>
      <c r="F52" s="52"/>
      <c r="G52" s="54">
        <v>45755</v>
      </c>
      <c r="H52" s="55">
        <v>660</v>
      </c>
      <c r="I52" s="55"/>
      <c r="J52" s="54">
        <v>45758</v>
      </c>
      <c r="K52" s="72">
        <f>Таблица3[[#This Row],[OLINGAN NARXI $]]+Таблица3[[#This Row],[RASXOD]]</f>
        <v>635</v>
      </c>
      <c r="L52" s="55">
        <v>750</v>
      </c>
      <c r="M52" s="55">
        <v>90</v>
      </c>
      <c r="N52" s="51" t="s">
        <v>1004</v>
      </c>
    </row>
    <row r="53" spans="1:14" x14ac:dyDescent="0.3">
      <c r="A53" s="23" t="s">
        <v>13</v>
      </c>
      <c r="B53" s="22" t="s">
        <v>481</v>
      </c>
      <c r="C53" s="1" t="s">
        <v>21</v>
      </c>
      <c r="D53" s="1" t="s">
        <v>22</v>
      </c>
      <c r="E53" s="3">
        <v>35030072511304</v>
      </c>
      <c r="F53" s="1"/>
      <c r="G53" s="5">
        <v>45738</v>
      </c>
      <c r="H53" s="4">
        <v>700</v>
      </c>
      <c r="I53" s="4"/>
      <c r="J53" s="5">
        <v>45758</v>
      </c>
      <c r="K53" s="58">
        <f>Таблица3[[#This Row],[OLINGAN NARXI $]]+Таблица3[[#This Row],[RASXOD]]</f>
        <v>1185</v>
      </c>
      <c r="L53" s="4">
        <v>750</v>
      </c>
      <c r="M53" s="58">
        <v>50</v>
      </c>
      <c r="N53" s="6" t="s">
        <v>943</v>
      </c>
    </row>
    <row r="54" spans="1:14" s="56" customFormat="1" x14ac:dyDescent="0.3">
      <c r="A54" s="50" t="s">
        <v>13</v>
      </c>
      <c r="B54" s="57" t="s">
        <v>563</v>
      </c>
      <c r="C54" s="52" t="s">
        <v>97</v>
      </c>
      <c r="D54" s="52" t="s">
        <v>15</v>
      </c>
      <c r="E54" s="53">
        <v>351562314312855</v>
      </c>
      <c r="F54" s="52"/>
      <c r="G54" s="54">
        <v>45739</v>
      </c>
      <c r="H54" s="55">
        <v>340</v>
      </c>
      <c r="I54" s="55">
        <v>28</v>
      </c>
      <c r="J54" s="54">
        <v>45758</v>
      </c>
      <c r="K54" s="72">
        <f>Таблица3[[#This Row],[OLINGAN NARXI $]]+Таблица3[[#This Row],[RASXOD]]</f>
        <v>156</v>
      </c>
      <c r="L54" s="55">
        <v>410</v>
      </c>
      <c r="M54" s="72">
        <v>42</v>
      </c>
      <c r="N54" s="51" t="s">
        <v>147</v>
      </c>
    </row>
    <row r="55" spans="1:14" x14ac:dyDescent="0.3">
      <c r="A55" s="23" t="s">
        <v>16</v>
      </c>
      <c r="B55" s="6" t="s">
        <v>25</v>
      </c>
      <c r="C55" s="1" t="s">
        <v>65</v>
      </c>
      <c r="D55" s="1" t="s">
        <v>22</v>
      </c>
      <c r="E55" s="3">
        <v>359732432697113</v>
      </c>
      <c r="F55" s="1" t="s">
        <v>66</v>
      </c>
      <c r="G55" s="5">
        <v>45755</v>
      </c>
      <c r="H55" s="4">
        <v>650</v>
      </c>
      <c r="I55" s="4"/>
      <c r="J55" s="5">
        <v>45759</v>
      </c>
      <c r="K55" s="58">
        <f>Таблица3[[#This Row],[OLINGAN NARXI $]]+Таблица3[[#This Row],[RASXOD]]</f>
        <v>1030</v>
      </c>
      <c r="L55" s="4">
        <v>700</v>
      </c>
      <c r="M55" s="4">
        <v>50</v>
      </c>
      <c r="N55" s="6" t="s">
        <v>1010</v>
      </c>
    </row>
    <row r="56" spans="1:14" x14ac:dyDescent="0.3">
      <c r="A56" s="23" t="s">
        <v>13</v>
      </c>
      <c r="B56" s="6" t="s">
        <v>967</v>
      </c>
      <c r="C56" s="1" t="s">
        <v>21</v>
      </c>
      <c r="D56" s="1" t="s">
        <v>15</v>
      </c>
      <c r="E56" s="3">
        <v>357865260300269</v>
      </c>
      <c r="F56" s="1"/>
      <c r="G56" s="5">
        <v>45747</v>
      </c>
      <c r="H56" s="4">
        <v>62</v>
      </c>
      <c r="I56" s="4"/>
      <c r="J56" s="5">
        <v>45759</v>
      </c>
      <c r="K56" s="58">
        <f>Таблица3[[#This Row],[OLINGAN NARXI $]]+Таблица3[[#This Row],[RASXOD]]</f>
        <v>550</v>
      </c>
      <c r="L56" s="4">
        <v>78</v>
      </c>
      <c r="M56" s="58">
        <v>16</v>
      </c>
      <c r="N56" s="6" t="s">
        <v>968</v>
      </c>
    </row>
    <row r="57" spans="1:14" x14ac:dyDescent="0.3">
      <c r="A57" s="23" t="s">
        <v>13</v>
      </c>
      <c r="B57" s="6" t="s">
        <v>602</v>
      </c>
      <c r="C57" s="1" t="s">
        <v>65</v>
      </c>
      <c r="D57" s="1" t="s">
        <v>15</v>
      </c>
      <c r="E57" s="3">
        <v>354704170582760</v>
      </c>
      <c r="F57" s="1"/>
      <c r="G57" s="5">
        <v>45756</v>
      </c>
      <c r="H57" s="4">
        <v>85</v>
      </c>
      <c r="I57" s="4"/>
      <c r="J57" s="5">
        <v>45759</v>
      </c>
      <c r="K57" s="58">
        <f>Таблица3[[#This Row],[OLINGAN NARXI $]]+Таблица3[[#This Row],[RASXOD]]</f>
        <v>190</v>
      </c>
      <c r="L57" s="4">
        <v>100</v>
      </c>
      <c r="M57" s="4">
        <v>15</v>
      </c>
      <c r="N57" s="6" t="s">
        <v>1008</v>
      </c>
    </row>
    <row r="58" spans="1:14" x14ac:dyDescent="0.3">
      <c r="A58" s="23" t="s">
        <v>142</v>
      </c>
      <c r="B58" s="22" t="s">
        <v>687</v>
      </c>
      <c r="C58" s="1" t="s">
        <v>21</v>
      </c>
      <c r="D58" s="1" t="s">
        <v>22</v>
      </c>
      <c r="E58" s="3">
        <v>866797061593467</v>
      </c>
      <c r="F58" s="1"/>
      <c r="G58" s="5">
        <v>45732</v>
      </c>
      <c r="H58" s="4">
        <v>85</v>
      </c>
      <c r="I58" s="4"/>
      <c r="J58" s="5">
        <v>45759</v>
      </c>
      <c r="K58" s="58">
        <f>Таблица3[[#This Row],[OLINGAN NARXI $]]+Таблица3[[#This Row],[RASXOD]]</f>
        <v>394.16</v>
      </c>
      <c r="L58" s="4">
        <v>100</v>
      </c>
      <c r="M58" s="58">
        <v>15</v>
      </c>
      <c r="N58" s="6" t="s">
        <v>926</v>
      </c>
    </row>
    <row r="59" spans="1:14" s="56" customFormat="1" x14ac:dyDescent="0.3">
      <c r="A59" s="50" t="s">
        <v>142</v>
      </c>
      <c r="B59" s="51" t="s">
        <v>998</v>
      </c>
      <c r="C59" s="52" t="s">
        <v>21</v>
      </c>
      <c r="D59" s="52" t="s">
        <v>22</v>
      </c>
      <c r="E59" s="53">
        <v>867343026012845</v>
      </c>
      <c r="F59" s="52" t="s">
        <v>999</v>
      </c>
      <c r="G59" s="54">
        <v>45753</v>
      </c>
      <c r="H59" s="55">
        <v>33</v>
      </c>
      <c r="I59" s="55"/>
      <c r="J59" s="54">
        <v>45759</v>
      </c>
      <c r="K59" s="72">
        <f>Таблица3[[#This Row],[OLINGAN NARXI $]]+Таблица3[[#This Row],[RASXOD]]</f>
        <v>270</v>
      </c>
      <c r="L59" s="55">
        <v>60</v>
      </c>
      <c r="M59" s="55">
        <v>27</v>
      </c>
      <c r="N59" s="51" t="s">
        <v>996</v>
      </c>
    </row>
    <row r="60" spans="1:14" x14ac:dyDescent="0.3">
      <c r="A60" s="23" t="s">
        <v>13</v>
      </c>
      <c r="B60" s="6" t="s">
        <v>1014</v>
      </c>
      <c r="C60" s="1" t="s">
        <v>18</v>
      </c>
      <c r="D60" s="1" t="s">
        <v>15</v>
      </c>
      <c r="E60" s="3">
        <v>358549100784119</v>
      </c>
      <c r="F60" s="1"/>
      <c r="G60" s="5">
        <v>45757</v>
      </c>
      <c r="H60" s="4">
        <v>30</v>
      </c>
      <c r="I60" s="4"/>
      <c r="J60" s="5">
        <v>45759</v>
      </c>
      <c r="K60" s="58">
        <f>Таблица3[[#This Row],[OLINGAN NARXI $]]+Таблица3[[#This Row],[RASXOD]]</f>
        <v>135</v>
      </c>
      <c r="L60" s="4">
        <v>30</v>
      </c>
      <c r="M60" s="4">
        <v>0</v>
      </c>
      <c r="N60" s="6" t="s">
        <v>147</v>
      </c>
    </row>
    <row r="61" spans="1:14" s="56" customFormat="1" x14ac:dyDescent="0.3">
      <c r="A61" s="50" t="s">
        <v>13</v>
      </c>
      <c r="B61" s="51" t="s">
        <v>1013</v>
      </c>
      <c r="C61" s="52" t="s">
        <v>21</v>
      </c>
      <c r="D61" s="52" t="s">
        <v>15</v>
      </c>
      <c r="E61" s="53">
        <v>352349117726864</v>
      </c>
      <c r="F61" s="52"/>
      <c r="G61" s="54">
        <v>45757</v>
      </c>
      <c r="H61" s="55">
        <v>40</v>
      </c>
      <c r="I61" s="55"/>
      <c r="J61" s="54">
        <v>45759</v>
      </c>
      <c r="K61" s="72">
        <f>Таблица3[[#This Row],[OLINGAN NARXI $]]+Таблица3[[#This Row],[RASXOD]]</f>
        <v>60</v>
      </c>
      <c r="L61" s="55">
        <v>70</v>
      </c>
      <c r="M61" s="55">
        <v>30</v>
      </c>
      <c r="N61" s="51" t="s">
        <v>147</v>
      </c>
    </row>
    <row r="62" spans="1:14" s="56" customFormat="1" x14ac:dyDescent="0.3">
      <c r="A62" s="50" t="s">
        <v>13</v>
      </c>
      <c r="B62" s="51" t="s">
        <v>978</v>
      </c>
      <c r="C62" s="52" t="s">
        <v>21</v>
      </c>
      <c r="D62" s="52" t="s">
        <v>15</v>
      </c>
      <c r="E62" s="53">
        <v>352407517845641</v>
      </c>
      <c r="F62" s="52"/>
      <c r="G62" s="54">
        <v>45748</v>
      </c>
      <c r="H62" s="55">
        <v>40</v>
      </c>
      <c r="I62" s="55"/>
      <c r="J62" s="54">
        <v>45759</v>
      </c>
      <c r="K62" s="72">
        <f>Таблица3[[#This Row],[OLINGAN NARXI $]]+Таблица3[[#This Row],[RASXOD]]</f>
        <v>172.7</v>
      </c>
      <c r="L62" s="55">
        <v>70</v>
      </c>
      <c r="M62" s="72">
        <v>30</v>
      </c>
      <c r="N62" s="51" t="s">
        <v>979</v>
      </c>
    </row>
    <row r="63" spans="1:14" x14ac:dyDescent="0.3">
      <c r="A63" s="23" t="s">
        <v>16</v>
      </c>
      <c r="B63" s="6" t="s">
        <v>772</v>
      </c>
      <c r="C63" s="1" t="s">
        <v>65</v>
      </c>
      <c r="D63" s="1" t="s">
        <v>15</v>
      </c>
      <c r="E63" s="3">
        <v>351135569065021</v>
      </c>
      <c r="F63" s="1"/>
      <c r="G63" s="5">
        <v>45699</v>
      </c>
      <c r="H63" s="4">
        <v>750</v>
      </c>
      <c r="I63" s="4">
        <v>23</v>
      </c>
      <c r="J63" s="5">
        <v>45759</v>
      </c>
      <c r="K63" s="58">
        <f>Таблица3[[#This Row],[OLINGAN NARXI $]]+Таблица3[[#This Row],[RASXOD]]</f>
        <v>164.7</v>
      </c>
      <c r="L63" s="4">
        <v>830</v>
      </c>
      <c r="M63" s="58">
        <v>57</v>
      </c>
      <c r="N63" s="6" t="s">
        <v>147</v>
      </c>
    </row>
    <row r="64" spans="1:14" s="56" customFormat="1" x14ac:dyDescent="0.3">
      <c r="A64" s="50" t="s">
        <v>16</v>
      </c>
      <c r="B64" s="51" t="s">
        <v>407</v>
      </c>
      <c r="C64" s="52" t="s">
        <v>89</v>
      </c>
      <c r="D64" s="52" t="s">
        <v>22</v>
      </c>
      <c r="E64" s="53">
        <v>359823658377934</v>
      </c>
      <c r="F64" s="52"/>
      <c r="G64" s="54">
        <v>45758</v>
      </c>
      <c r="H64" s="55">
        <v>208</v>
      </c>
      <c r="I64" s="55"/>
      <c r="J64" s="54">
        <v>45759</v>
      </c>
      <c r="K64" s="72">
        <f>Таблица3[[#This Row],[OLINGAN NARXI $]]+Таблица3[[#This Row],[RASXOD]]</f>
        <v>164.7</v>
      </c>
      <c r="L64" s="55">
        <v>264</v>
      </c>
      <c r="M64" s="55">
        <v>56</v>
      </c>
      <c r="N64" s="51" t="s">
        <v>1022</v>
      </c>
    </row>
    <row r="65" spans="1:14" x14ac:dyDescent="0.3">
      <c r="A65" s="23" t="s">
        <v>16</v>
      </c>
      <c r="B65" s="6" t="s">
        <v>129</v>
      </c>
      <c r="C65" s="1" t="s">
        <v>97</v>
      </c>
      <c r="D65" s="1" t="s">
        <v>15</v>
      </c>
      <c r="E65" s="3">
        <v>353240581981334</v>
      </c>
      <c r="F65" s="1"/>
      <c r="G65" s="5">
        <v>45716</v>
      </c>
      <c r="H65" s="4">
        <v>500</v>
      </c>
      <c r="I65" s="4"/>
      <c r="J65" s="5">
        <v>45759</v>
      </c>
      <c r="K65" s="58">
        <f>Таблица3[[#This Row],[OLINGAN NARXI $]]+Таблица3[[#This Row],[RASXOD]]</f>
        <v>1100</v>
      </c>
      <c r="L65" s="4">
        <v>530</v>
      </c>
      <c r="M65" s="58">
        <v>30</v>
      </c>
      <c r="N65" s="6" t="s">
        <v>147</v>
      </c>
    </row>
    <row r="66" spans="1:14" x14ac:dyDescent="0.3">
      <c r="A66" s="23" t="s">
        <v>16</v>
      </c>
      <c r="B66" s="6" t="s">
        <v>1000</v>
      </c>
      <c r="C66" s="1" t="s">
        <v>583</v>
      </c>
      <c r="D66" s="1" t="s">
        <v>22</v>
      </c>
      <c r="E66" s="3">
        <v>350572414788335</v>
      </c>
      <c r="F66" s="1"/>
      <c r="G66" s="5">
        <v>45753</v>
      </c>
      <c r="H66" s="4">
        <v>1060</v>
      </c>
      <c r="I66" s="4"/>
      <c r="J66" s="5">
        <v>45759</v>
      </c>
      <c r="K66" s="58">
        <f>Таблица3[[#This Row],[OLINGAN NARXI $]]+Таблица3[[#This Row],[RASXOD]]</f>
        <v>1200</v>
      </c>
      <c r="L66" s="4">
        <v>1100</v>
      </c>
      <c r="M66" s="4">
        <v>40</v>
      </c>
      <c r="N66" s="6" t="s">
        <v>147</v>
      </c>
    </row>
    <row r="67" spans="1:14" x14ac:dyDescent="0.3">
      <c r="A67" s="23" t="s">
        <v>16</v>
      </c>
      <c r="B67" s="6" t="s">
        <v>25</v>
      </c>
      <c r="C67" s="1" t="s">
        <v>26</v>
      </c>
      <c r="D67" s="1" t="s">
        <v>22</v>
      </c>
      <c r="E67" s="3">
        <v>350091875613916</v>
      </c>
      <c r="F67" s="1"/>
      <c r="G67" s="5">
        <v>45756</v>
      </c>
      <c r="H67" s="4">
        <v>860</v>
      </c>
      <c r="I67" s="4"/>
      <c r="J67" s="5">
        <v>45759</v>
      </c>
      <c r="K67" s="58">
        <f>Таблица3[[#This Row],[OLINGAN NARXI $]]+Таблица3[[#This Row],[RASXOD]]</f>
        <v>210</v>
      </c>
      <c r="L67" s="4">
        <v>940</v>
      </c>
      <c r="M67" s="4">
        <v>80</v>
      </c>
      <c r="N67" s="6" t="s">
        <v>1007</v>
      </c>
    </row>
    <row r="68" spans="1:14" s="56" customFormat="1" x14ac:dyDescent="0.3">
      <c r="A68" s="50" t="s">
        <v>16</v>
      </c>
      <c r="B68" s="51" t="s">
        <v>88</v>
      </c>
      <c r="C68" s="52" t="s">
        <v>21</v>
      </c>
      <c r="D68" s="52" t="s">
        <v>15</v>
      </c>
      <c r="E68" s="53">
        <v>350196698359785</v>
      </c>
      <c r="F68" s="52" t="s">
        <v>27</v>
      </c>
      <c r="G68" s="54">
        <v>45548</v>
      </c>
      <c r="H68" s="55">
        <v>375</v>
      </c>
      <c r="I68" s="55"/>
      <c r="J68" s="54">
        <v>45759</v>
      </c>
      <c r="K68" s="72">
        <f>Таблица3[[#This Row],[OLINGAN NARXI $]]+Таблица3[[#This Row],[RASXOD]]</f>
        <v>570</v>
      </c>
      <c r="L68" s="55">
        <v>350</v>
      </c>
      <c r="M68" s="72">
        <v>-25</v>
      </c>
      <c r="N68" s="51" t="s">
        <v>91</v>
      </c>
    </row>
    <row r="69" spans="1:14" x14ac:dyDescent="0.3">
      <c r="A69" s="23" t="s">
        <v>16</v>
      </c>
      <c r="B69" s="6" t="s">
        <v>492</v>
      </c>
      <c r="C69" s="1" t="s">
        <v>18</v>
      </c>
      <c r="D69" s="1" t="s">
        <v>22</v>
      </c>
      <c r="E69" s="3">
        <v>353340190872823</v>
      </c>
      <c r="F69" s="1"/>
      <c r="G69" s="5">
        <v>45759</v>
      </c>
      <c r="H69" s="4">
        <v>300</v>
      </c>
      <c r="I69" s="4"/>
      <c r="J69" s="5">
        <v>45759</v>
      </c>
      <c r="K69" s="58">
        <f>Таблица3[[#This Row],[OLINGAN NARXI $]]+Таблица3[[#This Row],[RASXOD]]</f>
        <v>850</v>
      </c>
      <c r="L69" s="4">
        <v>385</v>
      </c>
      <c r="M69" s="4">
        <v>85</v>
      </c>
      <c r="N69" s="6">
        <v>990302103</v>
      </c>
    </row>
    <row r="70" spans="1:14" x14ac:dyDescent="0.3">
      <c r="A70" s="23" t="s">
        <v>16</v>
      </c>
      <c r="B70" s="6" t="s">
        <v>600</v>
      </c>
      <c r="C70" s="1" t="s">
        <v>65</v>
      </c>
      <c r="D70" s="1" t="s">
        <v>22</v>
      </c>
      <c r="E70" s="3">
        <v>356713116297753</v>
      </c>
      <c r="F70" s="1"/>
      <c r="G70" s="5">
        <v>45759</v>
      </c>
      <c r="H70" s="4">
        <v>320</v>
      </c>
      <c r="I70" s="4"/>
      <c r="J70" s="5">
        <v>45759</v>
      </c>
      <c r="K70" s="58">
        <f>Таблица3[[#This Row],[OLINGAN NARXI $]]+Таблица3[[#This Row],[RASXOD]]</f>
        <v>550</v>
      </c>
      <c r="L70" s="4">
        <v>385</v>
      </c>
      <c r="M70" s="4">
        <v>65</v>
      </c>
      <c r="N70" s="6" t="s">
        <v>262</v>
      </c>
    </row>
    <row r="71" spans="1:14" x14ac:dyDescent="0.3">
      <c r="A71" s="23" t="s">
        <v>16</v>
      </c>
      <c r="B71" s="6" t="s">
        <v>104</v>
      </c>
      <c r="C71" s="1" t="s">
        <v>65</v>
      </c>
      <c r="D71" s="1" t="s">
        <v>15</v>
      </c>
      <c r="E71" s="3">
        <v>356730112302379</v>
      </c>
      <c r="F71" s="1"/>
      <c r="G71" s="5">
        <v>45634</v>
      </c>
      <c r="H71" s="4">
        <v>350</v>
      </c>
      <c r="I71" s="4"/>
      <c r="J71" s="5">
        <v>45759</v>
      </c>
      <c r="K71" s="58">
        <f>Таблица3[[#This Row],[OLINGAN NARXI $]]+Таблица3[[#This Row],[RASXOD]]</f>
        <v>720</v>
      </c>
      <c r="L71" s="4">
        <v>360</v>
      </c>
      <c r="M71" s="58">
        <v>10</v>
      </c>
      <c r="N71" s="6" t="s">
        <v>147</v>
      </c>
    </row>
    <row r="72" spans="1:14" s="83" customFormat="1" x14ac:dyDescent="0.3">
      <c r="A72" s="76" t="s">
        <v>16</v>
      </c>
      <c r="B72" s="77" t="s">
        <v>452</v>
      </c>
      <c r="C72" s="78" t="s">
        <v>18</v>
      </c>
      <c r="D72" s="78" t="s">
        <v>15</v>
      </c>
      <c r="E72" s="79">
        <v>357143261407669</v>
      </c>
      <c r="F72" s="78"/>
      <c r="G72" s="80">
        <v>45757</v>
      </c>
      <c r="H72" s="81">
        <v>230</v>
      </c>
      <c r="I72" s="81"/>
      <c r="J72" s="80">
        <v>45760</v>
      </c>
      <c r="K72" s="82">
        <f>Таблица3[[#This Row],[OLINGAN NARXI $]]+Таблица3[[#This Row],[RASXOD]]</f>
        <v>464</v>
      </c>
      <c r="L72" s="81">
        <v>280</v>
      </c>
      <c r="M72" s="81">
        <v>50</v>
      </c>
      <c r="N72" s="77" t="s">
        <v>19</v>
      </c>
    </row>
    <row r="73" spans="1:14" s="56" customFormat="1" x14ac:dyDescent="0.3">
      <c r="A73" s="50" t="s">
        <v>16</v>
      </c>
      <c r="B73" s="51" t="s">
        <v>25</v>
      </c>
      <c r="C73" s="52" t="s">
        <v>26</v>
      </c>
      <c r="D73" s="52" t="s">
        <v>22</v>
      </c>
      <c r="E73" s="53">
        <v>351858373055520</v>
      </c>
      <c r="F73" s="52"/>
      <c r="G73" s="54">
        <v>45758</v>
      </c>
      <c r="H73" s="55">
        <v>720</v>
      </c>
      <c r="I73" s="55"/>
      <c r="J73" s="54">
        <v>45760</v>
      </c>
      <c r="K73" s="72">
        <f>Таблица3[[#This Row],[OLINGAN NARXI $]]+Таблица3[[#This Row],[RASXOD]]</f>
        <v>330</v>
      </c>
      <c r="L73" s="55">
        <v>800</v>
      </c>
      <c r="M73" s="55">
        <v>80</v>
      </c>
      <c r="N73" s="51" t="s">
        <v>1018</v>
      </c>
    </row>
    <row r="74" spans="1:14" x14ac:dyDescent="0.3">
      <c r="A74" s="23" t="s">
        <v>16</v>
      </c>
      <c r="B74" s="22" t="s">
        <v>74</v>
      </c>
      <c r="C74" s="1" t="s">
        <v>35</v>
      </c>
      <c r="D74" s="1" t="s">
        <v>22</v>
      </c>
      <c r="E74" s="3">
        <v>354542502704631</v>
      </c>
      <c r="F74" s="1"/>
      <c r="G74" s="5">
        <v>45724</v>
      </c>
      <c r="H74" s="4">
        <v>500</v>
      </c>
      <c r="I74" s="4"/>
      <c r="J74" s="5">
        <v>45760</v>
      </c>
      <c r="K74" s="58">
        <f>Таблица3[[#This Row],[OLINGAN NARXI $]]+Таблица3[[#This Row],[RASXOD]]</f>
        <v>565</v>
      </c>
      <c r="L74" s="4">
        <v>550</v>
      </c>
      <c r="M74" s="58">
        <v>50</v>
      </c>
      <c r="N74" s="6" t="s">
        <v>906</v>
      </c>
    </row>
    <row r="75" spans="1:14" x14ac:dyDescent="0.3">
      <c r="A75" s="23" t="s">
        <v>16</v>
      </c>
      <c r="B75" s="6" t="s">
        <v>81</v>
      </c>
      <c r="C75" s="1" t="s">
        <v>65</v>
      </c>
      <c r="D75" s="1" t="s">
        <v>22</v>
      </c>
      <c r="E75" s="3">
        <v>350283165354885</v>
      </c>
      <c r="F75" s="1"/>
      <c r="G75" s="5">
        <v>45636</v>
      </c>
      <c r="H75" s="4">
        <v>430</v>
      </c>
      <c r="I75" s="4"/>
      <c r="J75" s="5">
        <v>45760</v>
      </c>
      <c r="K75" s="58">
        <f>Таблица3[[#This Row],[OLINGAN NARXI $]]+Таблица3[[#This Row],[RASXOD]]</f>
        <v>550</v>
      </c>
      <c r="L75" s="4">
        <v>470</v>
      </c>
      <c r="M75" s="58">
        <v>40</v>
      </c>
      <c r="N75" s="6" t="s">
        <v>617</v>
      </c>
    </row>
    <row r="76" spans="1:14" x14ac:dyDescent="0.3">
      <c r="A76" s="23" t="s">
        <v>16</v>
      </c>
      <c r="B76" s="6" t="s">
        <v>409</v>
      </c>
      <c r="C76" s="1" t="s">
        <v>21</v>
      </c>
      <c r="D76" s="1" t="s">
        <v>15</v>
      </c>
      <c r="E76" s="3">
        <v>353318851137587</v>
      </c>
      <c r="F76" s="1"/>
      <c r="G76" s="5">
        <v>45717</v>
      </c>
      <c r="H76" s="4">
        <v>430</v>
      </c>
      <c r="I76" s="4"/>
      <c r="J76" s="5">
        <v>45760</v>
      </c>
      <c r="K76" s="58">
        <f>Таблица3[[#This Row],[OLINGAN NARXI $]]+Таблица3[[#This Row],[RASXOD]]</f>
        <v>330</v>
      </c>
      <c r="L76" s="4">
        <v>490</v>
      </c>
      <c r="M76" s="58">
        <v>60</v>
      </c>
      <c r="N76" s="6" t="s">
        <v>887</v>
      </c>
    </row>
    <row r="77" spans="1:14" s="83" customFormat="1" x14ac:dyDescent="0.3">
      <c r="A77" s="76" t="s">
        <v>16</v>
      </c>
      <c r="B77" s="77" t="s">
        <v>25</v>
      </c>
      <c r="C77" s="78" t="s">
        <v>26</v>
      </c>
      <c r="D77" s="78" t="s">
        <v>22</v>
      </c>
      <c r="E77" s="79">
        <v>358560158362062</v>
      </c>
      <c r="F77" s="78"/>
      <c r="G77" s="80">
        <v>45756</v>
      </c>
      <c r="H77" s="81">
        <v>780</v>
      </c>
      <c r="I77" s="81"/>
      <c r="J77" s="80">
        <v>45760</v>
      </c>
      <c r="K77" s="82">
        <f>Таблица3[[#This Row],[OLINGAN NARXI $]]+Таблица3[[#This Row],[RASXOD]]</f>
        <v>160</v>
      </c>
      <c r="L77" s="81">
        <v>810</v>
      </c>
      <c r="M77" s="81">
        <v>30</v>
      </c>
      <c r="N77" s="77" t="s">
        <v>1009</v>
      </c>
    </row>
    <row r="78" spans="1:14" s="83" customFormat="1" x14ac:dyDescent="0.3">
      <c r="A78" s="76" t="s">
        <v>13</v>
      </c>
      <c r="B78" s="84" t="s">
        <v>563</v>
      </c>
      <c r="C78" s="78" t="s">
        <v>884</v>
      </c>
      <c r="D78" s="78" t="s">
        <v>15</v>
      </c>
      <c r="E78" s="79">
        <v>352019422093330</v>
      </c>
      <c r="F78" s="78"/>
      <c r="G78" s="80">
        <v>45739</v>
      </c>
      <c r="H78" s="81">
        <v>340</v>
      </c>
      <c r="I78" s="81">
        <v>28</v>
      </c>
      <c r="J78" s="80">
        <v>45761</v>
      </c>
      <c r="K78" s="82">
        <f>Таблица3[[#This Row],[OLINGAN NARXI $]]+Таблица3[[#This Row],[RASXOD]]</f>
        <v>450</v>
      </c>
      <c r="L78" s="81">
        <v>410</v>
      </c>
      <c r="M78" s="82">
        <v>42</v>
      </c>
      <c r="N78" s="77" t="s">
        <v>147</v>
      </c>
    </row>
    <row r="79" spans="1:14" s="83" customFormat="1" x14ac:dyDescent="0.3">
      <c r="A79" s="76" t="s">
        <v>13</v>
      </c>
      <c r="B79" s="77" t="s">
        <v>325</v>
      </c>
      <c r="C79" s="78" t="s">
        <v>26</v>
      </c>
      <c r="D79" s="78" t="s">
        <v>22</v>
      </c>
      <c r="E79" s="79">
        <v>350518498945051</v>
      </c>
      <c r="F79" s="78"/>
      <c r="G79" s="80">
        <v>45718</v>
      </c>
      <c r="H79" s="81">
        <v>660</v>
      </c>
      <c r="I79" s="81"/>
      <c r="J79" s="80">
        <v>45761</v>
      </c>
      <c r="K79" s="82">
        <f>Таблица3[[#This Row],[OLINGAN NARXI $]]+Таблица3[[#This Row],[RASXOD]]</f>
        <v>900</v>
      </c>
      <c r="L79" s="81">
        <v>700</v>
      </c>
      <c r="M79" s="82">
        <v>40</v>
      </c>
      <c r="N79" s="77" t="s">
        <v>335</v>
      </c>
    </row>
    <row r="80" spans="1:14" x14ac:dyDescent="0.3">
      <c r="A80" s="23" t="s">
        <v>16</v>
      </c>
      <c r="B80" s="22" t="s">
        <v>585</v>
      </c>
      <c r="C80" s="1" t="s">
        <v>65</v>
      </c>
      <c r="D80" s="1" t="s">
        <v>15</v>
      </c>
      <c r="E80" s="3">
        <v>3549911557288190</v>
      </c>
      <c r="F80" s="1"/>
      <c r="G80" s="5">
        <v>45730</v>
      </c>
      <c r="H80" s="4">
        <v>315</v>
      </c>
      <c r="I80" s="4"/>
      <c r="J80" s="5">
        <v>45761</v>
      </c>
      <c r="K80" s="58">
        <f>Таблица3[[#This Row],[OLINGAN NARXI $]]+Таблица3[[#This Row],[RASXOD]]</f>
        <v>700</v>
      </c>
      <c r="L80" s="4">
        <v>370</v>
      </c>
      <c r="M80" s="58">
        <v>55</v>
      </c>
      <c r="N80" s="6" t="s">
        <v>922</v>
      </c>
    </row>
    <row r="81" spans="1:14" s="83" customFormat="1" x14ac:dyDescent="0.3">
      <c r="A81" s="76" t="s">
        <v>16</v>
      </c>
      <c r="B81" s="77" t="s">
        <v>128</v>
      </c>
      <c r="C81" s="78" t="s">
        <v>65</v>
      </c>
      <c r="D81" s="78" t="s">
        <v>22</v>
      </c>
      <c r="E81" s="79">
        <v>351135567106777</v>
      </c>
      <c r="F81" s="78"/>
      <c r="G81" s="80">
        <v>45759</v>
      </c>
      <c r="H81" s="81">
        <v>690</v>
      </c>
      <c r="I81" s="81"/>
      <c r="J81" s="80">
        <v>45761</v>
      </c>
      <c r="K81" s="82">
        <f>Таблица3[[#This Row],[OLINGAN NARXI $]]+Таблица3[[#This Row],[RASXOD]]</f>
        <v>1080</v>
      </c>
      <c r="L81" s="81">
        <v>760</v>
      </c>
      <c r="M81" s="81">
        <v>70</v>
      </c>
      <c r="N81" s="77" t="s">
        <v>1024</v>
      </c>
    </row>
    <row r="82" spans="1:14" x14ac:dyDescent="0.3">
      <c r="A82" s="23" t="s">
        <v>16</v>
      </c>
      <c r="B82" s="6" t="s">
        <v>34</v>
      </c>
      <c r="C82" s="1" t="s">
        <v>21</v>
      </c>
      <c r="D82" s="1" t="s">
        <v>15</v>
      </c>
      <c r="E82" s="3">
        <v>357173348394663</v>
      </c>
      <c r="F82" s="1"/>
      <c r="G82" s="5">
        <v>45757</v>
      </c>
      <c r="H82" s="4">
        <v>560</v>
      </c>
      <c r="I82" s="4"/>
      <c r="J82" s="5">
        <v>45761</v>
      </c>
      <c r="K82" s="58">
        <f>Таблица3[[#This Row],[OLINGAN NARXI $]]+Таблица3[[#This Row],[RASXOD]]</f>
        <v>850</v>
      </c>
      <c r="L82" s="4">
        <v>647</v>
      </c>
      <c r="M82" s="4">
        <v>87</v>
      </c>
      <c r="N82" s="6" t="s">
        <v>689</v>
      </c>
    </row>
    <row r="83" spans="1:14" x14ac:dyDescent="0.3">
      <c r="A83" s="23" t="s">
        <v>13</v>
      </c>
      <c r="B83" s="6" t="s">
        <v>119</v>
      </c>
      <c r="C83" s="1" t="s">
        <v>18</v>
      </c>
      <c r="D83" s="1" t="s">
        <v>15</v>
      </c>
      <c r="E83" s="3">
        <v>350345220628858</v>
      </c>
      <c r="F83" s="1"/>
      <c r="G83" s="5">
        <v>45757</v>
      </c>
      <c r="H83" s="4">
        <v>290</v>
      </c>
      <c r="I83" s="4"/>
      <c r="J83" s="5">
        <v>45761</v>
      </c>
      <c r="K83" s="58">
        <f>Таблица3[[#This Row],[OLINGAN NARXI $]]+Таблица3[[#This Row],[RASXOD]]</f>
        <v>0</v>
      </c>
      <c r="L83" s="4">
        <v>330</v>
      </c>
      <c r="M83" s="4">
        <v>40</v>
      </c>
      <c r="N83" s="6" t="s">
        <v>19</v>
      </c>
    </row>
    <row r="84" spans="1:14" x14ac:dyDescent="0.3">
      <c r="A84" s="23" t="s">
        <v>16</v>
      </c>
      <c r="B84" s="6" t="s">
        <v>77</v>
      </c>
      <c r="C84" s="1" t="s">
        <v>21</v>
      </c>
      <c r="D84" s="1" t="s">
        <v>15</v>
      </c>
      <c r="E84" s="3">
        <v>351553265665383</v>
      </c>
      <c r="F84" s="1" t="s">
        <v>1005</v>
      </c>
      <c r="G84" s="5">
        <v>45755</v>
      </c>
      <c r="H84" s="4">
        <v>450</v>
      </c>
      <c r="I84" s="4"/>
      <c r="J84" s="5">
        <v>45761</v>
      </c>
      <c r="K84" s="58">
        <f>Таблица3[[#This Row],[OLINGAN NARXI $]]+Таблица3[[#This Row],[RASXOD]]</f>
        <v>860</v>
      </c>
      <c r="L84" s="4">
        <v>500</v>
      </c>
      <c r="M84" s="4">
        <v>50</v>
      </c>
      <c r="N84" s="6" t="s">
        <v>1006</v>
      </c>
    </row>
    <row r="85" spans="1:14" x14ac:dyDescent="0.3">
      <c r="A85" s="23" t="s">
        <v>16</v>
      </c>
      <c r="B85" s="6" t="s">
        <v>312</v>
      </c>
      <c r="C85" s="1" t="s">
        <v>65</v>
      </c>
      <c r="D85" s="1" t="s">
        <v>15</v>
      </c>
      <c r="E85" s="3">
        <v>358074290838898</v>
      </c>
      <c r="F85" s="1"/>
      <c r="G85" s="5">
        <v>45681</v>
      </c>
      <c r="H85" s="4">
        <v>450</v>
      </c>
      <c r="I85" s="4"/>
      <c r="J85" s="5">
        <v>45761</v>
      </c>
      <c r="K85" s="58">
        <f>Таблица3[[#This Row],[OLINGAN NARXI $]]+Таблица3[[#This Row],[RASXOD]]</f>
        <v>427.7</v>
      </c>
      <c r="L85" s="4">
        <v>530</v>
      </c>
      <c r="M85" s="58">
        <v>80</v>
      </c>
      <c r="N85" s="6" t="s">
        <v>791</v>
      </c>
    </row>
    <row r="86" spans="1:14" s="83" customFormat="1" x14ac:dyDescent="0.3">
      <c r="A86" s="76" t="s">
        <v>16</v>
      </c>
      <c r="B86" s="77" t="s">
        <v>106</v>
      </c>
      <c r="C86" s="78" t="s">
        <v>18</v>
      </c>
      <c r="D86" s="78" t="s">
        <v>15</v>
      </c>
      <c r="E86" s="79">
        <v>353997103165387</v>
      </c>
      <c r="F86" s="78" t="s">
        <v>989</v>
      </c>
      <c r="G86" s="80">
        <v>45751</v>
      </c>
      <c r="H86" s="81">
        <v>120</v>
      </c>
      <c r="I86" s="81"/>
      <c r="J86" s="80">
        <v>45761</v>
      </c>
      <c r="K86" s="82">
        <f>Таблица3[[#This Row],[OLINGAN NARXI $]]+Таблица3[[#This Row],[RASXOD]]</f>
        <v>560</v>
      </c>
      <c r="L86" s="81">
        <v>180</v>
      </c>
      <c r="M86" s="81">
        <v>60</v>
      </c>
      <c r="N86" s="77" t="s">
        <v>990</v>
      </c>
    </row>
    <row r="87" spans="1:14" x14ac:dyDescent="0.3">
      <c r="A87" s="23" t="s">
        <v>16</v>
      </c>
      <c r="B87" s="6" t="s">
        <v>772</v>
      </c>
      <c r="C87" s="1" t="s">
        <v>26</v>
      </c>
      <c r="D87" s="1" t="s">
        <v>22</v>
      </c>
      <c r="E87" s="3">
        <v>350719118821728</v>
      </c>
      <c r="F87" s="1"/>
      <c r="G87" s="5">
        <v>45751</v>
      </c>
      <c r="H87" s="4">
        <v>585</v>
      </c>
      <c r="I87" s="4"/>
      <c r="J87" s="5">
        <v>45761</v>
      </c>
      <c r="K87" s="58">
        <f>Таблица3[[#This Row],[OLINGAN NARXI $]]+Таблица3[[#This Row],[RASXOD]]</f>
        <v>210</v>
      </c>
      <c r="L87" s="4">
        <v>680</v>
      </c>
      <c r="M87" s="4">
        <v>95</v>
      </c>
      <c r="N87" s="6" t="s">
        <v>985</v>
      </c>
    </row>
    <row r="88" spans="1:14" x14ac:dyDescent="0.3">
      <c r="A88" s="23" t="s">
        <v>16</v>
      </c>
      <c r="B88" s="22" t="s">
        <v>407</v>
      </c>
      <c r="C88" s="1" t="s">
        <v>21</v>
      </c>
      <c r="D88" s="1" t="s">
        <v>15</v>
      </c>
      <c r="E88" s="3">
        <v>350197042550749</v>
      </c>
      <c r="F88" s="1"/>
      <c r="G88" s="5">
        <v>45739</v>
      </c>
      <c r="H88" s="4">
        <v>200</v>
      </c>
      <c r="I88" s="4"/>
      <c r="J88" s="5">
        <v>45761</v>
      </c>
      <c r="K88" s="58">
        <f>Таблица3[[#This Row],[OLINGAN NARXI $]]+Таблица3[[#This Row],[RASXOD]]</f>
        <v>210</v>
      </c>
      <c r="L88" s="4">
        <v>260</v>
      </c>
      <c r="M88" s="58">
        <v>60</v>
      </c>
      <c r="N88" s="6" t="s">
        <v>262</v>
      </c>
    </row>
    <row r="89" spans="1:14" x14ac:dyDescent="0.3">
      <c r="A89" s="23" t="s">
        <v>16</v>
      </c>
      <c r="B89" s="6" t="s">
        <v>621</v>
      </c>
      <c r="C89" s="1" t="s">
        <v>26</v>
      </c>
      <c r="D89" s="1" t="s">
        <v>22</v>
      </c>
      <c r="E89" s="3">
        <v>355490952902694</v>
      </c>
      <c r="F89" s="1"/>
      <c r="G89" s="5">
        <v>45760</v>
      </c>
      <c r="H89" s="4">
        <v>920</v>
      </c>
      <c r="I89" s="4">
        <v>28</v>
      </c>
      <c r="J89" s="5">
        <v>45761</v>
      </c>
      <c r="K89" s="58">
        <v>948</v>
      </c>
      <c r="L89" s="4">
        <v>1030</v>
      </c>
      <c r="M89" s="4">
        <f>Таблица37589[[#This Row],[SOTILGAN NARXI]]-Таблица37589[[#This Row],[OLINGAN NARXI $]]-Таблица37589[[#This Row],[RASXOD]]</f>
        <v>82</v>
      </c>
      <c r="N89" s="6"/>
    </row>
    <row r="90" spans="1:14" x14ac:dyDescent="0.3">
      <c r="A90" s="23" t="s">
        <v>16</v>
      </c>
      <c r="B90" s="22" t="s">
        <v>600</v>
      </c>
      <c r="C90" s="1" t="s">
        <v>18</v>
      </c>
      <c r="D90" s="1" t="s">
        <v>15</v>
      </c>
      <c r="E90" s="3">
        <v>357014749775573</v>
      </c>
      <c r="F90" s="1"/>
      <c r="G90" s="5">
        <v>45724</v>
      </c>
      <c r="H90" s="4">
        <v>300</v>
      </c>
      <c r="I90" s="4"/>
      <c r="J90" s="5">
        <v>45761</v>
      </c>
      <c r="K90" s="58">
        <f>Таблица3[[#This Row],[OLINGAN NARXI $]]+Таблица3[[#This Row],[RASXOD]]</f>
        <v>420</v>
      </c>
      <c r="L90" s="4">
        <v>350</v>
      </c>
      <c r="M90" s="58">
        <v>50</v>
      </c>
      <c r="N90" s="6" t="s">
        <v>262</v>
      </c>
    </row>
    <row r="91" spans="1:14" x14ac:dyDescent="0.3">
      <c r="A91" s="23" t="s">
        <v>16</v>
      </c>
      <c r="B91" s="6" t="s">
        <v>1000</v>
      </c>
      <c r="C91" s="1" t="s">
        <v>583</v>
      </c>
      <c r="D91" s="1" t="s">
        <v>22</v>
      </c>
      <c r="E91" s="3"/>
      <c r="F91" s="1"/>
      <c r="G91" s="5">
        <v>45761</v>
      </c>
      <c r="H91" s="4">
        <v>1110</v>
      </c>
      <c r="I91" s="4"/>
      <c r="J91" s="5">
        <v>45761</v>
      </c>
      <c r="K91" s="58">
        <f>Таблица37589[[#This Row],[OLINGAN NARXI $]]+Таблица37589[[#This Row],[RASXOD]]</f>
        <v>1110</v>
      </c>
      <c r="L91" s="4">
        <v>1125</v>
      </c>
      <c r="M91" s="4">
        <f>Таблица37589[[#This Row],[SOTILGAN NARXI]]-Таблица37589[[#This Row],[OLINGAN NARXI $]]-Таблица37589[[#This Row],[RASXOD]]</f>
        <v>15</v>
      </c>
      <c r="N91" s="6"/>
    </row>
    <row r="92" spans="1:14" x14ac:dyDescent="0.3">
      <c r="A92" s="23" t="s">
        <v>724</v>
      </c>
      <c r="B92" s="22" t="s">
        <v>944</v>
      </c>
      <c r="C92" s="1" t="s">
        <v>21</v>
      </c>
      <c r="D92" s="1" t="s">
        <v>22</v>
      </c>
      <c r="E92" s="3">
        <v>861440057532505</v>
      </c>
      <c r="F92" s="1"/>
      <c r="G92" s="5">
        <v>45738</v>
      </c>
      <c r="H92" s="4">
        <v>65</v>
      </c>
      <c r="I92" s="4"/>
      <c r="J92" s="5">
        <v>45762</v>
      </c>
      <c r="K92" s="58">
        <f>Таблица3[[#This Row],[OLINGAN NARXI $]]+Таблица3[[#This Row],[RASXOD]]</f>
        <v>320</v>
      </c>
      <c r="L92" s="4">
        <v>100</v>
      </c>
      <c r="M92" s="58">
        <v>35</v>
      </c>
      <c r="N92" s="6" t="s">
        <v>945</v>
      </c>
    </row>
    <row r="93" spans="1:14" s="83" customFormat="1" x14ac:dyDescent="0.3">
      <c r="A93" s="76" t="s">
        <v>13</v>
      </c>
      <c r="B93" s="77" t="s">
        <v>995</v>
      </c>
      <c r="C93" s="78" t="s">
        <v>21</v>
      </c>
      <c r="D93" s="78" t="s">
        <v>22</v>
      </c>
      <c r="E93" s="79">
        <v>354551893478580</v>
      </c>
      <c r="F93" s="78" t="s">
        <v>66</v>
      </c>
      <c r="G93" s="80">
        <v>45753</v>
      </c>
      <c r="H93" s="81">
        <v>16</v>
      </c>
      <c r="I93" s="81">
        <v>2</v>
      </c>
      <c r="J93" s="80">
        <v>45762</v>
      </c>
      <c r="K93" s="82">
        <f>Таблица3[[#This Row],[OLINGAN NARXI $]]+Таблица3[[#This Row],[RASXOD]]</f>
        <v>700</v>
      </c>
      <c r="L93" s="81">
        <v>46</v>
      </c>
      <c r="M93" s="82">
        <v>28</v>
      </c>
      <c r="N93" s="77" t="s">
        <v>996</v>
      </c>
    </row>
    <row r="94" spans="1:14" s="83" customFormat="1" x14ac:dyDescent="0.3">
      <c r="A94" s="76" t="s">
        <v>13</v>
      </c>
      <c r="B94" s="77" t="s">
        <v>117</v>
      </c>
      <c r="C94" s="78" t="s">
        <v>21</v>
      </c>
      <c r="D94" s="78" t="s">
        <v>15</v>
      </c>
      <c r="E94" s="79">
        <v>351424771945091</v>
      </c>
      <c r="F94" s="78"/>
      <c r="G94" s="80">
        <v>45760</v>
      </c>
      <c r="H94" s="81">
        <v>220</v>
      </c>
      <c r="I94" s="81"/>
      <c r="J94" s="80">
        <v>45762</v>
      </c>
      <c r="K94" s="82">
        <f>Таблица3[[#This Row],[OLINGAN NARXI $]]+Таблица3[[#This Row],[RASXOD]]</f>
        <v>1190</v>
      </c>
      <c r="L94" s="81">
        <v>270</v>
      </c>
      <c r="M94" s="81">
        <v>50</v>
      </c>
      <c r="N94" s="77" t="s">
        <v>147</v>
      </c>
    </row>
    <row r="95" spans="1:14" x14ac:dyDescent="0.3">
      <c r="A95" s="23" t="s">
        <v>16</v>
      </c>
      <c r="B95" s="6" t="s">
        <v>77</v>
      </c>
      <c r="C95" s="1" t="s">
        <v>35</v>
      </c>
      <c r="D95" s="1" t="s">
        <v>22</v>
      </c>
      <c r="E95" s="3">
        <v>350056596399160</v>
      </c>
      <c r="F95" s="1"/>
      <c r="G95" s="5">
        <v>45758</v>
      </c>
      <c r="H95" s="4">
        <v>520</v>
      </c>
      <c r="I95" s="4"/>
      <c r="J95" s="5">
        <v>45762</v>
      </c>
      <c r="K95" s="58">
        <f>Таблица3[[#This Row],[OLINGAN NARXI $]]+Таблица3[[#This Row],[RASXOD]]</f>
        <v>250</v>
      </c>
      <c r="L95" s="4">
        <v>600</v>
      </c>
      <c r="M95" s="4">
        <v>80</v>
      </c>
      <c r="N95" s="6" t="s">
        <v>1017</v>
      </c>
    </row>
    <row r="96" spans="1:14" s="56" customFormat="1" x14ac:dyDescent="0.3">
      <c r="A96" s="50" t="s">
        <v>16</v>
      </c>
      <c r="B96" s="51" t="s">
        <v>452</v>
      </c>
      <c r="C96" s="52" t="s">
        <v>21</v>
      </c>
      <c r="D96" s="52" t="s">
        <v>15</v>
      </c>
      <c r="E96" s="53">
        <v>356551109995417</v>
      </c>
      <c r="F96" s="52"/>
      <c r="G96" s="54">
        <v>45760</v>
      </c>
      <c r="H96" s="55">
        <v>200</v>
      </c>
      <c r="I96" s="55"/>
      <c r="J96" s="54">
        <v>45762</v>
      </c>
      <c r="K96" s="72">
        <f>Таблица3[[#This Row],[OLINGAN NARXI $]]+Таблица3[[#This Row],[RASXOD]]</f>
        <v>220</v>
      </c>
      <c r="L96" s="55">
        <v>220</v>
      </c>
      <c r="M96" s="55">
        <v>20</v>
      </c>
      <c r="N96" s="51" t="s">
        <v>1039</v>
      </c>
    </row>
    <row r="97" spans="1:14" s="83" customFormat="1" x14ac:dyDescent="0.3">
      <c r="A97" s="76" t="s">
        <v>13</v>
      </c>
      <c r="B97" s="77" t="s">
        <v>774</v>
      </c>
      <c r="C97" s="78" t="s">
        <v>58</v>
      </c>
      <c r="D97" s="78" t="s">
        <v>15</v>
      </c>
      <c r="E97" s="79">
        <v>355859111499950</v>
      </c>
      <c r="F97" s="78"/>
      <c r="G97" s="80">
        <v>45757</v>
      </c>
      <c r="H97" s="81">
        <v>220</v>
      </c>
      <c r="I97" s="81"/>
      <c r="J97" s="80">
        <v>45762</v>
      </c>
      <c r="K97" s="82">
        <f>Таблица3[[#This Row],[OLINGAN NARXI $]]+Таблица3[[#This Row],[RASXOD]]</f>
        <v>575</v>
      </c>
      <c r="L97" s="81">
        <v>290</v>
      </c>
      <c r="M97" s="81">
        <v>70</v>
      </c>
      <c r="N97" s="77" t="s">
        <v>1016</v>
      </c>
    </row>
    <row r="98" spans="1:14" s="56" customFormat="1" x14ac:dyDescent="0.3">
      <c r="A98" s="50" t="s">
        <v>16</v>
      </c>
      <c r="B98" s="51" t="s">
        <v>492</v>
      </c>
      <c r="C98" s="52" t="s">
        <v>533</v>
      </c>
      <c r="D98" s="52" t="s">
        <v>22</v>
      </c>
      <c r="E98" s="53">
        <v>356879771936223</v>
      </c>
      <c r="F98" s="52"/>
      <c r="G98" s="54">
        <v>45624</v>
      </c>
      <c r="H98" s="55">
        <v>430</v>
      </c>
      <c r="I98" s="55"/>
      <c r="J98" s="54">
        <v>45762</v>
      </c>
      <c r="K98" s="72">
        <f>Таблица3[[#This Row],[OLINGAN NARXI $]]+Таблица3[[#This Row],[RASXOD]]</f>
        <v>600</v>
      </c>
      <c r="L98" s="55">
        <v>410</v>
      </c>
      <c r="M98" s="72">
        <v>-20</v>
      </c>
      <c r="N98" s="51">
        <v>978887735</v>
      </c>
    </row>
    <row r="99" spans="1:14" s="83" customFormat="1" x14ac:dyDescent="0.3">
      <c r="A99" s="76" t="s">
        <v>13</v>
      </c>
      <c r="B99" s="77" t="s">
        <v>502</v>
      </c>
      <c r="C99" s="78" t="s">
        <v>97</v>
      </c>
      <c r="D99" s="78" t="s">
        <v>15</v>
      </c>
      <c r="E99" s="79">
        <v>358088350668318</v>
      </c>
      <c r="F99" s="78"/>
      <c r="G99" s="80">
        <v>45760</v>
      </c>
      <c r="H99" s="81">
        <v>445</v>
      </c>
      <c r="I99" s="81"/>
      <c r="J99" s="80">
        <v>45762</v>
      </c>
      <c r="K99" s="82">
        <f>Таблица3[[#This Row],[OLINGAN NARXI $]]+Таблица3[[#This Row],[RASXOD]]</f>
        <v>430</v>
      </c>
      <c r="L99" s="81">
        <v>535</v>
      </c>
      <c r="M99" s="81">
        <v>90</v>
      </c>
      <c r="N99" s="77" t="s">
        <v>147</v>
      </c>
    </row>
    <row r="100" spans="1:14" s="56" customFormat="1" x14ac:dyDescent="0.3">
      <c r="A100" s="50" t="s">
        <v>16</v>
      </c>
      <c r="B100" s="51" t="s">
        <v>17</v>
      </c>
      <c r="C100" s="52" t="s">
        <v>97</v>
      </c>
      <c r="D100" s="52" t="s">
        <v>15</v>
      </c>
      <c r="E100" s="53">
        <v>353835102784537</v>
      </c>
      <c r="F100" s="52" t="s">
        <v>61</v>
      </c>
      <c r="G100" s="54">
        <v>45760</v>
      </c>
      <c r="H100" s="55">
        <v>185</v>
      </c>
      <c r="I100" s="55"/>
      <c r="J100" s="54">
        <v>45763</v>
      </c>
      <c r="K100" s="72">
        <f>Таблица3[[#This Row],[OLINGAN NARXI $]]+Таблица3[[#This Row],[RASXOD]]</f>
        <v>1160</v>
      </c>
      <c r="L100" s="55">
        <v>230</v>
      </c>
      <c r="M100" s="55">
        <v>45</v>
      </c>
      <c r="N100" s="51" t="s">
        <v>1040</v>
      </c>
    </row>
    <row r="101" spans="1:14" s="83" customFormat="1" x14ac:dyDescent="0.3">
      <c r="A101" s="76" t="s">
        <v>13</v>
      </c>
      <c r="B101" s="77" t="s">
        <v>1042</v>
      </c>
      <c r="C101" s="78" t="s">
        <v>21</v>
      </c>
      <c r="D101" s="78" t="s">
        <v>22</v>
      </c>
      <c r="E101" s="79">
        <v>355320549661745</v>
      </c>
      <c r="F101" s="78"/>
      <c r="G101" s="80">
        <v>45760</v>
      </c>
      <c r="H101" s="81">
        <v>200</v>
      </c>
      <c r="I101" s="81"/>
      <c r="J101" s="80">
        <v>45763</v>
      </c>
      <c r="K101" s="82">
        <f>Таблица3[[#This Row],[OLINGAN NARXI $]]+Таблица3[[#This Row],[RASXOD]]</f>
        <v>340</v>
      </c>
      <c r="L101" s="81">
        <v>250</v>
      </c>
      <c r="M101" s="81">
        <v>250</v>
      </c>
      <c r="N101" s="77" t="s">
        <v>19</v>
      </c>
    </row>
    <row r="102" spans="1:14" s="56" customFormat="1" x14ac:dyDescent="0.3">
      <c r="A102" s="50" t="s">
        <v>16</v>
      </c>
      <c r="B102" s="51" t="s">
        <v>74</v>
      </c>
      <c r="C102" s="52" t="s">
        <v>21</v>
      </c>
      <c r="D102" s="52" t="s">
        <v>22</v>
      </c>
      <c r="E102" s="53">
        <v>356416676703067</v>
      </c>
      <c r="F102" s="52"/>
      <c r="G102" s="54">
        <v>45753</v>
      </c>
      <c r="H102" s="55">
        <v>510</v>
      </c>
      <c r="I102" s="55"/>
      <c r="J102" s="54">
        <v>45763</v>
      </c>
      <c r="K102" s="72">
        <f>Таблица3[[#This Row],[OLINGAN NARXI $]]+Таблица3[[#This Row],[RASXOD]]</f>
        <v>508</v>
      </c>
      <c r="L102" s="55">
        <v>560</v>
      </c>
      <c r="M102" s="72">
        <v>50</v>
      </c>
      <c r="N102" s="51" t="s">
        <v>997</v>
      </c>
    </row>
    <row r="103" spans="1:14" s="83" customFormat="1" x14ac:dyDescent="0.3">
      <c r="A103" s="76" t="s">
        <v>13</v>
      </c>
      <c r="B103" s="84" t="s">
        <v>117</v>
      </c>
      <c r="C103" s="78" t="s">
        <v>89</v>
      </c>
      <c r="D103" s="78" t="s">
        <v>15</v>
      </c>
      <c r="E103" s="79">
        <v>358506400639138</v>
      </c>
      <c r="F103" s="78"/>
      <c r="G103" s="80">
        <v>45739</v>
      </c>
      <c r="H103" s="81">
        <v>215</v>
      </c>
      <c r="I103" s="81">
        <v>27</v>
      </c>
      <c r="J103" s="80">
        <v>45763</v>
      </c>
      <c r="K103" s="82">
        <f>Таблица3[[#This Row],[OLINGAN NARXI $]]+Таблица3[[#This Row],[RASXOD]]</f>
        <v>130</v>
      </c>
      <c r="L103" s="81">
        <v>280</v>
      </c>
      <c r="M103" s="82">
        <v>38</v>
      </c>
      <c r="N103" s="77" t="s">
        <v>147</v>
      </c>
    </row>
    <row r="104" spans="1:14" x14ac:dyDescent="0.3">
      <c r="A104" s="23" t="s">
        <v>13</v>
      </c>
      <c r="B104" s="6" t="s">
        <v>502</v>
      </c>
      <c r="C104" s="1" t="s">
        <v>18</v>
      </c>
      <c r="D104" s="1" t="s">
        <v>15</v>
      </c>
      <c r="E104" s="3">
        <v>358088350509165</v>
      </c>
      <c r="F104" s="1"/>
      <c r="G104" s="5">
        <v>45713</v>
      </c>
      <c r="H104" s="4">
        <v>450</v>
      </c>
      <c r="I104" s="4"/>
      <c r="J104" s="5">
        <v>45763</v>
      </c>
      <c r="K104" s="58">
        <f>Таблица3[[#This Row],[OLINGAN NARXI $]]+Таблица3[[#This Row],[RASXOD]]</f>
        <v>650</v>
      </c>
      <c r="L104" s="4">
        <v>540</v>
      </c>
      <c r="M104" s="58">
        <v>90</v>
      </c>
      <c r="N104" s="6" t="s">
        <v>867</v>
      </c>
    </row>
    <row r="105" spans="1:14" x14ac:dyDescent="0.3">
      <c r="A105" s="23" t="s">
        <v>16</v>
      </c>
      <c r="B105" s="6" t="s">
        <v>34</v>
      </c>
      <c r="C105" s="1" t="s">
        <v>45</v>
      </c>
      <c r="D105" s="1" t="s">
        <v>22</v>
      </c>
      <c r="E105" s="3">
        <v>359236732313967</v>
      </c>
      <c r="F105" s="1" t="s">
        <v>66</v>
      </c>
      <c r="G105" s="5">
        <v>45760</v>
      </c>
      <c r="H105" s="4">
        <v>500</v>
      </c>
      <c r="I105" s="4"/>
      <c r="J105" s="5">
        <v>45763</v>
      </c>
      <c r="K105" s="58">
        <f>Таблица3[[#This Row],[OLINGAN NARXI $]]+Таблица3[[#This Row],[RASXOD]]</f>
        <v>600</v>
      </c>
      <c r="L105" s="4">
        <v>550</v>
      </c>
      <c r="M105" s="4">
        <v>50</v>
      </c>
      <c r="N105" s="6" t="s">
        <v>1025</v>
      </c>
    </row>
    <row r="106" spans="1:14" x14ac:dyDescent="0.3">
      <c r="A106" s="23" t="s">
        <v>16</v>
      </c>
      <c r="B106" s="6" t="s">
        <v>950</v>
      </c>
      <c r="C106" s="1" t="s">
        <v>89</v>
      </c>
      <c r="D106" s="1" t="s">
        <v>22</v>
      </c>
      <c r="E106" s="3">
        <v>358922371973119</v>
      </c>
      <c r="F106" s="1"/>
      <c r="G106" s="5">
        <v>45739</v>
      </c>
      <c r="H106" s="4">
        <v>765</v>
      </c>
      <c r="I106" s="4">
        <v>16</v>
      </c>
      <c r="J106" s="5">
        <v>45763</v>
      </c>
      <c r="K106" s="58">
        <f>Таблица3[[#This Row],[OLINGAN NARXI $]]+Таблица3[[#This Row],[RASXOD]]</f>
        <v>410</v>
      </c>
      <c r="L106" s="4">
        <v>855</v>
      </c>
      <c r="M106" s="58">
        <v>74</v>
      </c>
      <c r="N106" s="6" t="s">
        <v>147</v>
      </c>
    </row>
    <row r="107" spans="1:14" s="83" customFormat="1" x14ac:dyDescent="0.3">
      <c r="A107" s="76" t="s">
        <v>16</v>
      </c>
      <c r="B107" s="77" t="s">
        <v>831</v>
      </c>
      <c r="C107" s="78" t="s">
        <v>187</v>
      </c>
      <c r="D107" s="78" t="s">
        <v>15</v>
      </c>
      <c r="E107" s="79">
        <v>35735093858273</v>
      </c>
      <c r="F107" s="78" t="s">
        <v>98</v>
      </c>
      <c r="G107" s="80">
        <v>45722</v>
      </c>
      <c r="H107" s="81">
        <v>115</v>
      </c>
      <c r="I107" s="81"/>
      <c r="J107" s="80">
        <v>45764</v>
      </c>
      <c r="K107" s="82">
        <f>Таблица3[[#This Row],[OLINGAN NARXI $]]+Таблица3[[#This Row],[RASXOD]]</f>
        <v>202.31</v>
      </c>
      <c r="L107" s="81">
        <v>140</v>
      </c>
      <c r="M107" s="82">
        <v>25</v>
      </c>
      <c r="N107" s="77"/>
    </row>
    <row r="108" spans="1:14" s="56" customFormat="1" x14ac:dyDescent="0.3">
      <c r="A108" s="50" t="s">
        <v>13</v>
      </c>
      <c r="B108" s="51" t="s">
        <v>774</v>
      </c>
      <c r="C108" s="52" t="s">
        <v>58</v>
      </c>
      <c r="D108" s="52" t="s">
        <v>15</v>
      </c>
      <c r="E108" s="53">
        <v>355857114573128</v>
      </c>
      <c r="F108" s="52"/>
      <c r="G108" s="54">
        <v>45764</v>
      </c>
      <c r="H108" s="55">
        <v>250</v>
      </c>
      <c r="I108" s="55"/>
      <c r="J108" s="54">
        <v>45764</v>
      </c>
      <c r="K108" s="72">
        <f>Таблица3[[#This Row],[OLINGAN NARXI $]]+Таблица3[[#This Row],[RASXOD]]</f>
        <v>212.24</v>
      </c>
      <c r="L108" s="55">
        <v>305</v>
      </c>
      <c r="M108" s="55">
        <v>55</v>
      </c>
      <c r="N108" s="51" t="s">
        <v>147</v>
      </c>
    </row>
    <row r="109" spans="1:14" s="56" customFormat="1" x14ac:dyDescent="0.3">
      <c r="A109" s="50" t="s">
        <v>13</v>
      </c>
      <c r="B109" s="51" t="s">
        <v>563</v>
      </c>
      <c r="C109" s="52" t="s">
        <v>21</v>
      </c>
      <c r="D109" s="52" t="s">
        <v>15</v>
      </c>
      <c r="E109" s="53">
        <v>351562315268676</v>
      </c>
      <c r="F109" s="52"/>
      <c r="G109" s="54">
        <v>45764</v>
      </c>
      <c r="H109" s="55">
        <v>360</v>
      </c>
      <c r="I109" s="55"/>
      <c r="J109" s="54">
        <v>45764</v>
      </c>
      <c r="K109" s="72">
        <f>Таблица3[[#This Row],[OLINGAN NARXI $]]+Таблица3[[#This Row],[RASXOD]]</f>
        <v>920</v>
      </c>
      <c r="L109" s="55">
        <v>405</v>
      </c>
      <c r="M109" s="55">
        <v>45</v>
      </c>
      <c r="N109" s="51" t="s">
        <v>147</v>
      </c>
    </row>
    <row r="110" spans="1:14" x14ac:dyDescent="0.3">
      <c r="A110" s="23" t="s">
        <v>16</v>
      </c>
      <c r="B110" s="6" t="s">
        <v>552</v>
      </c>
      <c r="C110" s="1" t="s">
        <v>45</v>
      </c>
      <c r="D110" s="1" t="s">
        <v>15</v>
      </c>
      <c r="E110" s="3">
        <v>352831110873538</v>
      </c>
      <c r="F110" s="1"/>
      <c r="G110" s="5">
        <v>45751</v>
      </c>
      <c r="H110" s="4">
        <v>230</v>
      </c>
      <c r="I110" s="4"/>
      <c r="J110" s="5">
        <v>45764</v>
      </c>
      <c r="K110" s="58">
        <f>Таблица3[[#This Row],[OLINGAN NARXI $]]+Таблица3[[#This Row],[RASXOD]]</f>
        <v>900</v>
      </c>
      <c r="L110" s="4">
        <v>250</v>
      </c>
      <c r="M110" s="4">
        <v>20</v>
      </c>
      <c r="N110" s="6" t="s">
        <v>19</v>
      </c>
    </row>
    <row r="111" spans="1:14" x14ac:dyDescent="0.3">
      <c r="A111" s="23" t="s">
        <v>16</v>
      </c>
      <c r="B111" s="6" t="s">
        <v>552</v>
      </c>
      <c r="C111" s="1" t="s">
        <v>97</v>
      </c>
      <c r="D111" s="1" t="s">
        <v>15</v>
      </c>
      <c r="E111" s="3">
        <v>353245101853947</v>
      </c>
      <c r="F111" s="1"/>
      <c r="G111" s="5">
        <v>45759</v>
      </c>
      <c r="H111" s="4">
        <v>180</v>
      </c>
      <c r="I111" s="4"/>
      <c r="J111" s="5">
        <v>45764</v>
      </c>
      <c r="K111" s="58">
        <f>Таблица3[[#This Row],[OLINGAN NARXI $]]+Таблица3[[#This Row],[RASXOD]]</f>
        <v>850</v>
      </c>
      <c r="L111" s="4">
        <v>250</v>
      </c>
      <c r="M111" s="4">
        <v>70</v>
      </c>
      <c r="N111" s="6" t="s">
        <v>1023</v>
      </c>
    </row>
    <row r="112" spans="1:14" s="83" customFormat="1" x14ac:dyDescent="0.3">
      <c r="A112" s="76" t="s">
        <v>724</v>
      </c>
      <c r="B112" s="77" t="s">
        <v>957</v>
      </c>
      <c r="C112" s="78" t="s">
        <v>21</v>
      </c>
      <c r="D112" s="78" t="s">
        <v>15</v>
      </c>
      <c r="E112" s="79">
        <v>867592053426977</v>
      </c>
      <c r="F112" s="78"/>
      <c r="G112" s="80">
        <v>45745</v>
      </c>
      <c r="H112" s="81">
        <v>61</v>
      </c>
      <c r="I112" s="81"/>
      <c r="J112" s="80">
        <v>45764</v>
      </c>
      <c r="K112" s="82">
        <f>Таблица3[[#This Row],[OLINGAN NARXI $]]+Таблица3[[#This Row],[RASXOD]]</f>
        <v>500</v>
      </c>
      <c r="L112" s="81">
        <v>92</v>
      </c>
      <c r="M112" s="82">
        <v>31</v>
      </c>
      <c r="N112" s="77" t="s">
        <v>958</v>
      </c>
    </row>
    <row r="113" spans="1:14" s="56" customFormat="1" x14ac:dyDescent="0.3">
      <c r="A113" s="50" t="s">
        <v>1026</v>
      </c>
      <c r="B113" s="51" t="s">
        <v>1033</v>
      </c>
      <c r="C113" s="52" t="s">
        <v>21</v>
      </c>
      <c r="D113" s="52" t="s">
        <v>22</v>
      </c>
      <c r="E113" s="53" t="s">
        <v>1027</v>
      </c>
      <c r="F113" s="52"/>
      <c r="G113" s="54">
        <v>45760</v>
      </c>
      <c r="H113" s="55">
        <v>154</v>
      </c>
      <c r="I113" s="55"/>
      <c r="J113" s="54">
        <v>45764</v>
      </c>
      <c r="K113" s="72">
        <f>Таблица3[[#This Row],[OLINGAN NARXI $]]+Таблица3[[#This Row],[RASXOD]]</f>
        <v>660</v>
      </c>
      <c r="L113" s="55">
        <v>196</v>
      </c>
      <c r="M113" s="55">
        <v>42</v>
      </c>
      <c r="N113" s="51" t="s">
        <v>1028</v>
      </c>
    </row>
    <row r="114" spans="1:14" x14ac:dyDescent="0.3">
      <c r="A114" s="23" t="s">
        <v>16</v>
      </c>
      <c r="B114" s="6" t="s">
        <v>492</v>
      </c>
      <c r="C114" s="1" t="s">
        <v>21</v>
      </c>
      <c r="D114" s="1" t="s">
        <v>22</v>
      </c>
      <c r="E114" s="3">
        <v>350735450604449</v>
      </c>
      <c r="F114" s="1"/>
      <c r="G114" s="5">
        <v>45616</v>
      </c>
      <c r="H114" s="4">
        <v>430</v>
      </c>
      <c r="I114" s="4"/>
      <c r="J114" s="5">
        <v>45765</v>
      </c>
      <c r="K114" s="58">
        <f>Таблица3[[#This Row],[OLINGAN NARXI $]]+Таблица3[[#This Row],[RASXOD]]</f>
        <v>640</v>
      </c>
      <c r="L114" s="4">
        <v>430</v>
      </c>
      <c r="M114" s="58">
        <v>0</v>
      </c>
      <c r="N114" s="6" t="s">
        <v>493</v>
      </c>
    </row>
    <row r="115" spans="1:14" s="83" customFormat="1" x14ac:dyDescent="0.3">
      <c r="A115" s="76" t="s">
        <v>13</v>
      </c>
      <c r="B115" s="77" t="s">
        <v>774</v>
      </c>
      <c r="C115" s="78" t="s">
        <v>58</v>
      </c>
      <c r="D115" s="78" t="s">
        <v>15</v>
      </c>
      <c r="E115" s="79">
        <v>355857113209419</v>
      </c>
      <c r="F115" s="78"/>
      <c r="G115" s="80">
        <v>45758</v>
      </c>
      <c r="H115" s="81">
        <v>223</v>
      </c>
      <c r="I115" s="81"/>
      <c r="J115" s="80">
        <v>45766</v>
      </c>
      <c r="K115" s="82">
        <f>Таблица3[[#This Row],[OLINGAN NARXI $]]+Таблица3[[#This Row],[RASXOD]]</f>
        <v>670</v>
      </c>
      <c r="L115" s="81">
        <v>290</v>
      </c>
      <c r="M115" s="81">
        <v>67</v>
      </c>
      <c r="N115" s="77" t="s">
        <v>1021</v>
      </c>
    </row>
    <row r="116" spans="1:14" s="56" customFormat="1" x14ac:dyDescent="0.3">
      <c r="A116" s="50" t="s">
        <v>16</v>
      </c>
      <c r="B116" s="51" t="s">
        <v>83</v>
      </c>
      <c r="C116" s="52" t="s">
        <v>65</v>
      </c>
      <c r="D116" s="52" t="s">
        <v>22</v>
      </c>
      <c r="E116" s="53">
        <v>351228769950884</v>
      </c>
      <c r="F116" s="52" t="s">
        <v>27</v>
      </c>
      <c r="G116" s="54">
        <v>45663</v>
      </c>
      <c r="H116" s="55">
        <v>370</v>
      </c>
      <c r="I116" s="55"/>
      <c r="J116" s="54">
        <v>45766</v>
      </c>
      <c r="K116" s="72">
        <f>Таблица3[[#This Row],[OLINGAN NARXI $]]+Таблица3[[#This Row],[RASXOD]]</f>
        <v>610</v>
      </c>
      <c r="L116" s="55">
        <v>465</v>
      </c>
      <c r="M116" s="72">
        <v>95</v>
      </c>
      <c r="N116" s="51" t="s">
        <v>719</v>
      </c>
    </row>
    <row r="117" spans="1:14" x14ac:dyDescent="0.3">
      <c r="A117" s="23" t="s">
        <v>16</v>
      </c>
      <c r="B117" s="6" t="s">
        <v>101</v>
      </c>
      <c r="C117" s="1" t="s">
        <v>21</v>
      </c>
      <c r="D117" s="1" t="s">
        <v>22</v>
      </c>
      <c r="E117" s="3">
        <v>353899100404266</v>
      </c>
      <c r="F117" s="1"/>
      <c r="G117" s="5">
        <v>45761</v>
      </c>
      <c r="H117" s="4">
        <v>250</v>
      </c>
      <c r="I117" s="4"/>
      <c r="J117" s="5">
        <v>45766</v>
      </c>
      <c r="K117" s="58">
        <f>Таблица3[[#This Row],[OLINGAN NARXI $]]+Таблица3[[#This Row],[RASXOD]]</f>
        <v>410</v>
      </c>
      <c r="L117" s="4">
        <v>320</v>
      </c>
      <c r="M117" s="4">
        <v>70</v>
      </c>
      <c r="N117" s="6" t="s">
        <v>262</v>
      </c>
    </row>
    <row r="118" spans="1:14" x14ac:dyDescent="0.3">
      <c r="A118" s="23" t="s">
        <v>16</v>
      </c>
      <c r="B118" s="6" t="s">
        <v>129</v>
      </c>
      <c r="C118" s="1" t="s">
        <v>97</v>
      </c>
      <c r="D118" s="1" t="s">
        <v>15</v>
      </c>
      <c r="E118" s="3">
        <v>359272537305080</v>
      </c>
      <c r="F118" s="1"/>
      <c r="G118" s="5">
        <v>45762</v>
      </c>
      <c r="H118" s="4">
        <v>475</v>
      </c>
      <c r="I118" s="4"/>
      <c r="J118" s="5">
        <v>45766</v>
      </c>
      <c r="K118" s="58">
        <f>Таблица3[[#This Row],[OLINGAN NARXI $]]+Таблица3[[#This Row],[RASXOD]]</f>
        <v>32</v>
      </c>
      <c r="L118" s="4">
        <v>535</v>
      </c>
      <c r="M118" s="4">
        <v>60</v>
      </c>
      <c r="N118" s="6" t="s">
        <v>1046</v>
      </c>
    </row>
    <row r="119" spans="1:14" x14ac:dyDescent="0.3">
      <c r="A119" s="23" t="s">
        <v>16</v>
      </c>
      <c r="B119" s="6" t="s">
        <v>312</v>
      </c>
      <c r="C119" s="1" t="s">
        <v>97</v>
      </c>
      <c r="D119" s="1" t="s">
        <v>22</v>
      </c>
      <c r="E119" s="3">
        <v>350019046428294</v>
      </c>
      <c r="F119" s="1"/>
      <c r="G119" s="5">
        <v>45609</v>
      </c>
      <c r="H119" s="4">
        <v>530</v>
      </c>
      <c r="I119" s="4"/>
      <c r="J119" s="5">
        <v>45766</v>
      </c>
      <c r="K119" s="58">
        <f>Таблица3[[#This Row],[OLINGAN NARXI $]]+Таблица3[[#This Row],[RASXOD]]</f>
        <v>585</v>
      </c>
      <c r="L119" s="4">
        <v>560</v>
      </c>
      <c r="M119" s="58">
        <v>30</v>
      </c>
      <c r="N119" s="6" t="s">
        <v>426</v>
      </c>
    </row>
    <row r="120" spans="1:14" x14ac:dyDescent="0.3">
      <c r="A120" s="23" t="s">
        <v>16</v>
      </c>
      <c r="B120" s="22" t="s">
        <v>950</v>
      </c>
      <c r="C120" s="1" t="s">
        <v>89</v>
      </c>
      <c r="D120" s="1" t="s">
        <v>22</v>
      </c>
      <c r="E120" s="3">
        <v>358922379751228</v>
      </c>
      <c r="F120" s="1"/>
      <c r="G120" s="5">
        <v>45739</v>
      </c>
      <c r="H120" s="4">
        <v>765</v>
      </c>
      <c r="I120" s="4">
        <v>16</v>
      </c>
      <c r="J120" s="5">
        <v>45766</v>
      </c>
      <c r="K120" s="58">
        <f>Таблица3[[#This Row],[OLINGAN NARXI $]]+Таблица3[[#This Row],[RASXOD]]</f>
        <v>190</v>
      </c>
      <c r="L120" s="4">
        <v>860</v>
      </c>
      <c r="M120" s="58">
        <v>79</v>
      </c>
      <c r="N120" s="6" t="s">
        <v>147</v>
      </c>
    </row>
    <row r="121" spans="1:14" s="83" customFormat="1" x14ac:dyDescent="0.3">
      <c r="A121" s="76" t="s">
        <v>16</v>
      </c>
      <c r="B121" s="77" t="s">
        <v>74</v>
      </c>
      <c r="C121" s="78" t="s">
        <v>35</v>
      </c>
      <c r="D121" s="78" t="s">
        <v>22</v>
      </c>
      <c r="E121" s="79">
        <v>355780872351257</v>
      </c>
      <c r="F121" s="78"/>
      <c r="G121" s="80">
        <v>45765</v>
      </c>
      <c r="H121" s="81">
        <v>530</v>
      </c>
      <c r="I121" s="81"/>
      <c r="J121" s="80">
        <v>45767</v>
      </c>
      <c r="K121" s="82">
        <f>Таблица3[[#This Row],[OLINGAN NARXI $]]+Таблица3[[#This Row],[RASXOD]]</f>
        <v>990</v>
      </c>
      <c r="L121" s="81">
        <v>580</v>
      </c>
      <c r="M121" s="81">
        <v>50</v>
      </c>
      <c r="N121" s="77" t="s">
        <v>1060</v>
      </c>
    </row>
    <row r="122" spans="1:14" s="83" customFormat="1" x14ac:dyDescent="0.3">
      <c r="A122" s="76" t="s">
        <v>16</v>
      </c>
      <c r="B122" s="77" t="s">
        <v>1011</v>
      </c>
      <c r="C122" s="78" t="s">
        <v>18</v>
      </c>
      <c r="D122" s="78" t="s">
        <v>15</v>
      </c>
      <c r="E122" s="79">
        <v>359139861578402</v>
      </c>
      <c r="F122" s="78"/>
      <c r="G122" s="80">
        <v>45757</v>
      </c>
      <c r="H122" s="81">
        <v>160</v>
      </c>
      <c r="I122" s="81"/>
      <c r="J122" s="80">
        <v>45767</v>
      </c>
      <c r="K122" s="82">
        <f>Таблица3[[#This Row],[OLINGAN NARXI $]]+Таблица3[[#This Row],[RASXOD]]</f>
        <v>560</v>
      </c>
      <c r="L122" s="81">
        <v>260</v>
      </c>
      <c r="M122" s="81">
        <v>100</v>
      </c>
      <c r="N122" s="77" t="s">
        <v>1012</v>
      </c>
    </row>
    <row r="123" spans="1:14" s="56" customFormat="1" x14ac:dyDescent="0.3">
      <c r="A123" s="50" t="s">
        <v>16</v>
      </c>
      <c r="B123" s="51" t="s">
        <v>81</v>
      </c>
      <c r="C123" s="52" t="s">
        <v>65</v>
      </c>
      <c r="D123" s="52" t="s">
        <v>22</v>
      </c>
      <c r="E123" s="53">
        <v>355786375719668</v>
      </c>
      <c r="F123" s="52"/>
      <c r="G123" s="54">
        <v>45760</v>
      </c>
      <c r="H123" s="55">
        <v>440</v>
      </c>
      <c r="I123" s="55"/>
      <c r="J123" s="54">
        <v>45767</v>
      </c>
      <c r="K123" s="72">
        <f>Таблица3[[#This Row],[OLINGAN NARXI $]]+Таблица3[[#This Row],[RASXOD]]</f>
        <v>330</v>
      </c>
      <c r="L123" s="55">
        <v>490</v>
      </c>
      <c r="M123" s="55">
        <v>50</v>
      </c>
      <c r="N123" s="51" t="s">
        <v>1037</v>
      </c>
    </row>
    <row r="124" spans="1:14" s="56" customFormat="1" x14ac:dyDescent="0.3">
      <c r="A124" s="50" t="s">
        <v>13</v>
      </c>
      <c r="B124" s="51" t="s">
        <v>563</v>
      </c>
      <c r="C124" s="52" t="s">
        <v>884</v>
      </c>
      <c r="D124" s="52" t="s">
        <v>15</v>
      </c>
      <c r="E124" s="53">
        <v>351562312748597</v>
      </c>
      <c r="F124" s="52"/>
      <c r="G124" s="54">
        <v>45764</v>
      </c>
      <c r="H124" s="55">
        <v>360</v>
      </c>
      <c r="I124" s="55"/>
      <c r="J124" s="54">
        <v>45767</v>
      </c>
      <c r="K124" s="72">
        <f>Таблица3[[#This Row],[OLINGAN NARXI $]]+Таблица3[[#This Row],[RASXOD]]</f>
        <v>520</v>
      </c>
      <c r="L124" s="55">
        <v>410</v>
      </c>
      <c r="M124" s="55">
        <v>50</v>
      </c>
      <c r="N124" s="51" t="s">
        <v>147</v>
      </c>
    </row>
    <row r="125" spans="1:14" x14ac:dyDescent="0.3">
      <c r="A125" s="23" t="s">
        <v>16</v>
      </c>
      <c r="B125" s="6" t="s">
        <v>81</v>
      </c>
      <c r="C125" s="1" t="s">
        <v>18</v>
      </c>
      <c r="D125" s="1" t="s">
        <v>15</v>
      </c>
      <c r="E125" s="3">
        <v>358823346023024</v>
      </c>
      <c r="F125" s="1" t="s">
        <v>63</v>
      </c>
      <c r="G125" s="5">
        <v>45622</v>
      </c>
      <c r="H125" s="4">
        <v>410</v>
      </c>
      <c r="I125" s="4"/>
      <c r="J125" s="5">
        <v>45767</v>
      </c>
      <c r="K125" s="58">
        <f>Таблица3[[#This Row],[OLINGAN NARXI $]]+Таблица3[[#This Row],[RASXOD]]</f>
        <v>370</v>
      </c>
      <c r="L125" s="4">
        <v>440</v>
      </c>
      <c r="M125" s="58">
        <v>30</v>
      </c>
      <c r="N125" s="6" t="s">
        <v>517</v>
      </c>
    </row>
    <row r="126" spans="1:14" x14ac:dyDescent="0.3">
      <c r="A126" s="23" t="s">
        <v>16</v>
      </c>
      <c r="B126" s="6" t="s">
        <v>25</v>
      </c>
      <c r="C126" s="1" t="s">
        <v>26</v>
      </c>
      <c r="D126" s="1" t="s">
        <v>22</v>
      </c>
      <c r="E126" s="3">
        <v>358472380907351</v>
      </c>
      <c r="F126" s="1"/>
      <c r="G126" s="5">
        <v>45764</v>
      </c>
      <c r="H126" s="4">
        <v>790</v>
      </c>
      <c r="I126" s="4"/>
      <c r="J126" s="5">
        <v>45767</v>
      </c>
      <c r="K126" s="58">
        <f>Таблица3[[#This Row],[OLINGAN NARXI $]]+Таблица3[[#This Row],[RASXOD]]</f>
        <v>64</v>
      </c>
      <c r="L126" s="4">
        <v>840</v>
      </c>
      <c r="M126" s="4">
        <v>50</v>
      </c>
      <c r="N126" s="6" t="s">
        <v>1052</v>
      </c>
    </row>
    <row r="127" spans="1:14" s="56" customFormat="1" x14ac:dyDescent="0.3">
      <c r="A127" s="50" t="s">
        <v>16</v>
      </c>
      <c r="B127" s="51" t="s">
        <v>81</v>
      </c>
      <c r="C127" s="52" t="s">
        <v>65</v>
      </c>
      <c r="D127" s="52" t="s">
        <v>22</v>
      </c>
      <c r="E127" s="53">
        <v>355600723904544</v>
      </c>
      <c r="F127" s="52"/>
      <c r="G127" s="54">
        <v>45767</v>
      </c>
      <c r="H127" s="55">
        <v>390</v>
      </c>
      <c r="I127" s="55"/>
      <c r="J127" s="54">
        <v>45767</v>
      </c>
      <c r="K127" s="72">
        <f>Таблица3[[#This Row],[OLINGAN NARXI $]]+Таблица3[[#This Row],[RASXOD]]</f>
        <v>0</v>
      </c>
      <c r="L127" s="55">
        <v>490</v>
      </c>
      <c r="M127" s="55">
        <v>100</v>
      </c>
      <c r="N127" s="51" t="s">
        <v>1066</v>
      </c>
    </row>
    <row r="128" spans="1:14" x14ac:dyDescent="0.3">
      <c r="A128" s="23" t="s">
        <v>13</v>
      </c>
      <c r="B128" s="6" t="s">
        <v>774</v>
      </c>
      <c r="C128" s="1" t="s">
        <v>58</v>
      </c>
      <c r="D128" s="1" t="s">
        <v>15</v>
      </c>
      <c r="E128" s="3">
        <v>355859110529294</v>
      </c>
      <c r="F128" s="1"/>
      <c r="G128" s="5">
        <v>45764</v>
      </c>
      <c r="H128" s="4">
        <v>250</v>
      </c>
      <c r="I128" s="4"/>
      <c r="J128" s="5">
        <v>45767</v>
      </c>
      <c r="K128" s="58">
        <f>Таблица3[[#This Row],[OLINGAN NARXI $]]+Таблица3[[#This Row],[RASXOD]]</f>
        <v>0</v>
      </c>
      <c r="L128" s="4">
        <v>300</v>
      </c>
      <c r="M128" s="4">
        <v>50</v>
      </c>
      <c r="N128" s="6" t="s">
        <v>147</v>
      </c>
    </row>
    <row r="129" spans="1:14" s="83" customFormat="1" x14ac:dyDescent="0.3">
      <c r="A129" s="76" t="s">
        <v>13</v>
      </c>
      <c r="B129" s="77" t="s">
        <v>455</v>
      </c>
      <c r="C129" s="78" t="s">
        <v>217</v>
      </c>
      <c r="D129" s="78" t="s">
        <v>15</v>
      </c>
      <c r="E129" s="79">
        <v>352412374762590</v>
      </c>
      <c r="F129" s="78"/>
      <c r="G129" s="80">
        <v>45760</v>
      </c>
      <c r="H129" s="81">
        <v>295</v>
      </c>
      <c r="I129" s="81"/>
      <c r="J129" s="80">
        <v>45767</v>
      </c>
      <c r="K129" s="82">
        <f>Таблица3[[#This Row],[OLINGAN NARXI $]]+Таблица3[[#This Row],[RASXOD]]</f>
        <v>0</v>
      </c>
      <c r="L129" s="81">
        <v>335</v>
      </c>
      <c r="M129" s="81">
        <v>45</v>
      </c>
      <c r="N129" s="77" t="s">
        <v>147</v>
      </c>
    </row>
    <row r="130" spans="1:14" s="83" customFormat="1" x14ac:dyDescent="0.3">
      <c r="A130" s="76" t="s">
        <v>16</v>
      </c>
      <c r="B130" s="77" t="s">
        <v>83</v>
      </c>
      <c r="C130" s="78" t="s">
        <v>18</v>
      </c>
      <c r="D130" s="78" t="s">
        <v>15</v>
      </c>
      <c r="E130" s="79">
        <v>359663605988031</v>
      </c>
      <c r="F130" s="78"/>
      <c r="G130" s="80">
        <v>45625</v>
      </c>
      <c r="H130" s="81">
        <v>450</v>
      </c>
      <c r="I130" s="81"/>
      <c r="J130" s="80">
        <v>45767</v>
      </c>
      <c r="K130" s="82">
        <f>Таблица3[[#This Row],[OLINGAN NARXI $]]+Таблица3[[#This Row],[RASXOD]]</f>
        <v>0</v>
      </c>
      <c r="L130" s="81">
        <v>470</v>
      </c>
      <c r="M130" s="82">
        <v>20</v>
      </c>
      <c r="N130" s="77" t="s">
        <v>546</v>
      </c>
    </row>
    <row r="131" spans="1:14" s="56" customFormat="1" x14ac:dyDescent="0.3">
      <c r="A131" s="50" t="s">
        <v>13</v>
      </c>
      <c r="B131" s="51" t="s">
        <v>502</v>
      </c>
      <c r="C131" s="52" t="s">
        <v>21</v>
      </c>
      <c r="D131" s="52" t="s">
        <v>15</v>
      </c>
      <c r="E131" s="53">
        <v>351747950338666</v>
      </c>
      <c r="F131" s="52"/>
      <c r="G131" s="54">
        <v>45719</v>
      </c>
      <c r="H131" s="55">
        <v>480</v>
      </c>
      <c r="I131" s="55"/>
      <c r="J131" s="54">
        <v>45768</v>
      </c>
      <c r="K131" s="72">
        <f>Таблица3[[#This Row],[OLINGAN NARXI $]]+Таблица3[[#This Row],[RASXOD]]</f>
        <v>0</v>
      </c>
      <c r="L131" s="55">
        <v>520</v>
      </c>
      <c r="M131" s="72">
        <v>40</v>
      </c>
      <c r="N131" s="51" t="s">
        <v>891</v>
      </c>
    </row>
    <row r="132" spans="1:14" s="56" customFormat="1" x14ac:dyDescent="0.3">
      <c r="A132" s="50" t="s">
        <v>13</v>
      </c>
      <c r="B132" s="51" t="s">
        <v>563</v>
      </c>
      <c r="C132" s="52" t="s">
        <v>97</v>
      </c>
      <c r="D132" s="52" t="s">
        <v>15</v>
      </c>
      <c r="E132" s="53">
        <v>351562313387452</v>
      </c>
      <c r="F132" s="52"/>
      <c r="G132" s="54">
        <v>45766</v>
      </c>
      <c r="H132" s="55">
        <v>360</v>
      </c>
      <c r="I132" s="55"/>
      <c r="J132" s="54">
        <v>45768</v>
      </c>
      <c r="K132" s="72">
        <f>Таблица3[[#This Row],[OLINGAN NARXI $]]+Таблица3[[#This Row],[RASXOD]]</f>
        <v>0</v>
      </c>
      <c r="L132" s="55">
        <v>410</v>
      </c>
      <c r="M132" s="55">
        <v>50</v>
      </c>
      <c r="N132" s="51" t="s">
        <v>147</v>
      </c>
    </row>
    <row r="133" spans="1:14" s="83" customFormat="1" x14ac:dyDescent="0.3">
      <c r="A133" s="76" t="s">
        <v>142</v>
      </c>
      <c r="B133" s="84" t="s">
        <v>940</v>
      </c>
      <c r="C133" s="78" t="s">
        <v>21</v>
      </c>
      <c r="D133" s="78" t="s">
        <v>15</v>
      </c>
      <c r="E133" s="79">
        <v>867343027676325</v>
      </c>
      <c r="F133" s="78" t="s">
        <v>941</v>
      </c>
      <c r="G133" s="80">
        <v>45736</v>
      </c>
      <c r="H133" s="81">
        <v>39</v>
      </c>
      <c r="I133" s="81"/>
      <c r="J133" s="80">
        <v>45768</v>
      </c>
      <c r="K133" s="82">
        <f>Таблица3[[#This Row],[OLINGAN NARXI $]]+Таблица3[[#This Row],[RASXOD]]</f>
        <v>0</v>
      </c>
      <c r="L133" s="81">
        <v>61</v>
      </c>
      <c r="M133" s="82">
        <v>22</v>
      </c>
      <c r="N133" s="77" t="s">
        <v>262</v>
      </c>
    </row>
    <row r="134" spans="1:14" s="83" customFormat="1" x14ac:dyDescent="0.3">
      <c r="A134" s="76" t="s">
        <v>13</v>
      </c>
      <c r="B134" s="77" t="s">
        <v>654</v>
      </c>
      <c r="C134" s="78" t="s">
        <v>21</v>
      </c>
      <c r="D134" s="78" t="s">
        <v>22</v>
      </c>
      <c r="E134" s="79">
        <v>6099</v>
      </c>
      <c r="F134" s="78"/>
      <c r="G134" s="80" t="s">
        <v>973</v>
      </c>
      <c r="H134" s="81">
        <v>550</v>
      </c>
      <c r="I134" s="81">
        <v>27</v>
      </c>
      <c r="J134" s="80">
        <v>45768</v>
      </c>
      <c r="K134" s="82">
        <f>Таблица3[[#This Row],[OLINGAN NARXI $]]+Таблица3[[#This Row],[RASXOD]]</f>
        <v>0</v>
      </c>
      <c r="L134" s="81">
        <v>635</v>
      </c>
      <c r="M134" s="82">
        <v>58</v>
      </c>
      <c r="N134" s="77" t="s">
        <v>147</v>
      </c>
    </row>
    <row r="135" spans="1:14" s="83" customFormat="1" x14ac:dyDescent="0.3">
      <c r="A135" s="76" t="s">
        <v>16</v>
      </c>
      <c r="B135" s="77" t="s">
        <v>148</v>
      </c>
      <c r="C135" s="78" t="s">
        <v>18</v>
      </c>
      <c r="D135" s="78" t="s">
        <v>15</v>
      </c>
      <c r="E135" s="79">
        <v>358611744663115</v>
      </c>
      <c r="F135" s="78"/>
      <c r="G135" s="80">
        <v>45646</v>
      </c>
      <c r="H135" s="81">
        <v>270</v>
      </c>
      <c r="I135" s="81"/>
      <c r="J135" s="80">
        <v>45768</v>
      </c>
      <c r="K135" s="82">
        <f>Таблица3[[#This Row],[OLINGAN NARXI $]]+Таблица3[[#This Row],[RASXOD]]</f>
        <v>0</v>
      </c>
      <c r="L135" s="81">
        <v>310</v>
      </c>
      <c r="M135" s="82">
        <v>40</v>
      </c>
      <c r="N135" s="77" t="s">
        <v>651</v>
      </c>
    </row>
    <row r="136" spans="1:14" s="56" customFormat="1" x14ac:dyDescent="0.3">
      <c r="A136" s="50" t="s">
        <v>16</v>
      </c>
      <c r="B136" s="51" t="s">
        <v>74</v>
      </c>
      <c r="C136" s="52" t="s">
        <v>21</v>
      </c>
      <c r="D136" s="52" t="s">
        <v>15</v>
      </c>
      <c r="E136" s="53">
        <v>351553269924125</v>
      </c>
      <c r="F136" s="52"/>
      <c r="G136" s="54">
        <v>45766</v>
      </c>
      <c r="H136" s="55">
        <v>460</v>
      </c>
      <c r="I136" s="55">
        <v>27</v>
      </c>
      <c r="J136" s="54">
        <v>45768</v>
      </c>
      <c r="K136" s="72">
        <f>Таблица3[[#This Row],[OLINGAN NARXI $]]+Таблица3[[#This Row],[RASXOD]]</f>
        <v>0</v>
      </c>
      <c r="L136" s="55">
        <v>540</v>
      </c>
      <c r="M136" s="55">
        <v>53</v>
      </c>
      <c r="N136" s="51" t="s">
        <v>147</v>
      </c>
    </row>
    <row r="137" spans="1:14" s="56" customFormat="1" x14ac:dyDescent="0.3">
      <c r="A137" s="50" t="s">
        <v>16</v>
      </c>
      <c r="B137" s="51" t="s">
        <v>81</v>
      </c>
      <c r="C137" s="52" t="s">
        <v>21</v>
      </c>
      <c r="D137" s="52" t="s">
        <v>15</v>
      </c>
      <c r="E137" s="53">
        <v>359663607236124</v>
      </c>
      <c r="F137" s="52"/>
      <c r="G137" s="54">
        <v>45766</v>
      </c>
      <c r="H137" s="55">
        <v>390</v>
      </c>
      <c r="I137" s="55">
        <v>16</v>
      </c>
      <c r="J137" s="54">
        <v>45768</v>
      </c>
      <c r="K137" s="72">
        <f>Таблица3[[#This Row],[OLINGAN NARXI $]]+Таблица3[[#This Row],[RASXOD]]</f>
        <v>0</v>
      </c>
      <c r="L137" s="55">
        <v>470</v>
      </c>
      <c r="M137" s="55">
        <v>64</v>
      </c>
      <c r="N137" s="51" t="s">
        <v>147</v>
      </c>
    </row>
    <row r="138" spans="1:14" x14ac:dyDescent="0.3">
      <c r="A138" s="23" t="s">
        <v>16</v>
      </c>
      <c r="B138" s="6" t="s">
        <v>83</v>
      </c>
      <c r="C138" s="1" t="s">
        <v>21</v>
      </c>
      <c r="D138" s="1" t="s">
        <v>15</v>
      </c>
      <c r="E138" s="3">
        <v>350283160623334</v>
      </c>
      <c r="F138" s="1"/>
      <c r="G138" s="5">
        <v>45766</v>
      </c>
      <c r="H138" s="4">
        <v>370</v>
      </c>
      <c r="I138" s="4">
        <v>17</v>
      </c>
      <c r="J138" s="5">
        <v>45768</v>
      </c>
      <c r="K138" s="58">
        <f>Таблица3[[#This Row],[OLINGAN NARXI $]]+Таблица3[[#This Row],[RASXOD]]</f>
        <v>0</v>
      </c>
      <c r="L138" s="4">
        <v>460</v>
      </c>
      <c r="M138" s="4">
        <v>73</v>
      </c>
      <c r="N138" s="6" t="s">
        <v>147</v>
      </c>
    </row>
    <row r="139" spans="1:14" s="83" customFormat="1" x14ac:dyDescent="0.3">
      <c r="A139" s="76" t="s">
        <v>13</v>
      </c>
      <c r="B139" s="77" t="s">
        <v>502</v>
      </c>
      <c r="C139" s="78" t="s">
        <v>21</v>
      </c>
      <c r="D139" s="78" t="s">
        <v>15</v>
      </c>
      <c r="E139" s="79">
        <v>351747951443929</v>
      </c>
      <c r="F139" s="78"/>
      <c r="G139" s="80">
        <v>45766</v>
      </c>
      <c r="H139" s="81">
        <v>450</v>
      </c>
      <c r="I139" s="81"/>
      <c r="J139" s="80">
        <v>45768</v>
      </c>
      <c r="K139" s="82">
        <f>Таблица3[[#This Row],[OLINGAN NARXI $]]+Таблица3[[#This Row],[RASXOD]]</f>
        <v>0</v>
      </c>
      <c r="L139" s="81">
        <v>500</v>
      </c>
      <c r="M139" s="81">
        <v>50</v>
      </c>
      <c r="N139" s="77" t="s">
        <v>147</v>
      </c>
    </row>
    <row r="140" spans="1:14" x14ac:dyDescent="0.3">
      <c r="A140" s="23" t="s">
        <v>16</v>
      </c>
      <c r="B140" s="22" t="s">
        <v>598</v>
      </c>
      <c r="C140" s="1" t="s">
        <v>187</v>
      </c>
      <c r="D140" s="1" t="s">
        <v>15</v>
      </c>
      <c r="E140" s="3">
        <v>353808089922404</v>
      </c>
      <c r="F140" s="1"/>
      <c r="G140" s="5">
        <v>45726</v>
      </c>
      <c r="H140" s="4">
        <v>70</v>
      </c>
      <c r="I140" s="4"/>
      <c r="J140" s="5">
        <v>45768</v>
      </c>
      <c r="K140" s="4">
        <v>90</v>
      </c>
      <c r="L140" s="4">
        <v>90</v>
      </c>
      <c r="M140" s="4">
        <f>Таблица37589[[#This Row],[SOTILGAN NARXI]]-Таблица37589[[#This Row],[OLINGAN NARXI $]]-Таблица37589[[#This Row],[RASXOD]]</f>
        <v>20</v>
      </c>
      <c r="N140" s="6" t="s">
        <v>909</v>
      </c>
    </row>
    <row r="141" spans="1:14" x14ac:dyDescent="0.3">
      <c r="A141" s="23" t="s">
        <v>16</v>
      </c>
      <c r="B141" s="6" t="s">
        <v>17</v>
      </c>
      <c r="C141" s="1" t="s">
        <v>21</v>
      </c>
      <c r="D141" s="1" t="s">
        <v>15</v>
      </c>
      <c r="E141" s="3">
        <v>353236102004085</v>
      </c>
      <c r="F141" s="1" t="s">
        <v>66</v>
      </c>
      <c r="G141" s="5">
        <v>45767</v>
      </c>
      <c r="H141" s="4">
        <v>150</v>
      </c>
      <c r="I141" s="4">
        <v>23</v>
      </c>
      <c r="J141" s="5">
        <v>45768</v>
      </c>
      <c r="K141" s="58">
        <f>Таблица3[[#This Row],[OLINGAN NARXI $]]+Таблица3[[#This Row],[RASXOD]]</f>
        <v>0</v>
      </c>
      <c r="L141" s="4">
        <v>230</v>
      </c>
      <c r="M141" s="4">
        <v>57</v>
      </c>
      <c r="N141" s="6" t="s">
        <v>1067</v>
      </c>
    </row>
    <row r="142" spans="1:14" x14ac:dyDescent="0.3">
      <c r="A142" s="23" t="s">
        <v>16</v>
      </c>
      <c r="B142" s="6" t="s">
        <v>106</v>
      </c>
      <c r="C142" s="1" t="s">
        <v>21</v>
      </c>
      <c r="D142" s="1" t="s">
        <v>15</v>
      </c>
      <c r="E142" s="3">
        <v>359139863305663</v>
      </c>
      <c r="F142" s="1"/>
      <c r="G142" s="5">
        <v>45760</v>
      </c>
      <c r="H142" s="4">
        <v>200</v>
      </c>
      <c r="I142" s="4"/>
      <c r="J142" s="5">
        <v>45769</v>
      </c>
      <c r="K142" s="58">
        <f>Таблица3[[#This Row],[OLINGAN NARXI $]]+Таблица3[[#This Row],[RASXOD]]</f>
        <v>0</v>
      </c>
      <c r="L142" s="4">
        <v>230</v>
      </c>
      <c r="M142" s="4">
        <v>30</v>
      </c>
      <c r="N142" s="6" t="s">
        <v>262</v>
      </c>
    </row>
    <row r="143" spans="1:14" x14ac:dyDescent="0.3">
      <c r="A143" s="23" t="s">
        <v>16</v>
      </c>
      <c r="B143" s="6" t="s">
        <v>452</v>
      </c>
      <c r="C143" s="1" t="s">
        <v>35</v>
      </c>
      <c r="D143" s="1" t="s">
        <v>15</v>
      </c>
      <c r="E143" s="3">
        <v>352992111871341</v>
      </c>
      <c r="F143" s="1"/>
      <c r="G143" s="5">
        <v>45766</v>
      </c>
      <c r="H143" s="4">
        <v>180</v>
      </c>
      <c r="I143" s="4"/>
      <c r="J143" s="5">
        <v>45769</v>
      </c>
      <c r="K143" s="58">
        <f>Таблица3[[#This Row],[OLINGAN NARXI $]]+Таблица3[[#This Row],[RASXOD]]</f>
        <v>0</v>
      </c>
      <c r="L143" s="4">
        <v>230</v>
      </c>
      <c r="M143" s="4">
        <v>50</v>
      </c>
      <c r="N143" s="6" t="s">
        <v>1061</v>
      </c>
    </row>
    <row r="144" spans="1:14" s="56" customFormat="1" x14ac:dyDescent="0.3">
      <c r="A144" s="50" t="s">
        <v>16</v>
      </c>
      <c r="B144" s="51" t="s">
        <v>81</v>
      </c>
      <c r="C144" s="52" t="s">
        <v>21</v>
      </c>
      <c r="D144" s="52" t="s">
        <v>15</v>
      </c>
      <c r="E144" s="53">
        <v>350367274315018</v>
      </c>
      <c r="F144" s="52"/>
      <c r="G144" s="54">
        <v>45628</v>
      </c>
      <c r="H144" s="55">
        <v>390</v>
      </c>
      <c r="I144" s="55">
        <v>11</v>
      </c>
      <c r="J144" s="54">
        <v>45769</v>
      </c>
      <c r="K144" s="72">
        <f>Таблица3[[#This Row],[OLINGAN NARXI $]]+Таблица3[[#This Row],[RASXOD]]</f>
        <v>200</v>
      </c>
      <c r="L144" s="55">
        <v>455</v>
      </c>
      <c r="M144" s="72">
        <v>54</v>
      </c>
      <c r="N144" s="51" t="s">
        <v>147</v>
      </c>
    </row>
    <row r="145" spans="1:14" s="83" customFormat="1" x14ac:dyDescent="0.3">
      <c r="A145" s="76" t="s">
        <v>16</v>
      </c>
      <c r="B145" s="77" t="s">
        <v>83</v>
      </c>
      <c r="C145" s="78" t="s">
        <v>65</v>
      </c>
      <c r="D145" s="78" t="s">
        <v>22</v>
      </c>
      <c r="E145" s="79">
        <v>352668911106258</v>
      </c>
      <c r="F145" s="78"/>
      <c r="G145" s="80">
        <v>45567</v>
      </c>
      <c r="H145" s="81">
        <v>480</v>
      </c>
      <c r="I145" s="81"/>
      <c r="J145" s="80">
        <v>45769</v>
      </c>
      <c r="K145" s="82">
        <f>Таблица3[[#This Row],[OLINGAN NARXI $]]+Таблица3[[#This Row],[RASXOD]]</f>
        <v>208</v>
      </c>
      <c r="L145" s="81">
        <v>490</v>
      </c>
      <c r="M145" s="82">
        <v>10</v>
      </c>
      <c r="N145" s="77" t="s">
        <v>326</v>
      </c>
    </row>
    <row r="146" spans="1:14" s="83" customFormat="1" x14ac:dyDescent="0.3">
      <c r="A146" s="76" t="s">
        <v>16</v>
      </c>
      <c r="B146" s="77" t="s">
        <v>552</v>
      </c>
      <c r="C146" s="78" t="s">
        <v>97</v>
      </c>
      <c r="D146" s="78" t="s">
        <v>15</v>
      </c>
      <c r="E146" s="79">
        <v>353844102563685</v>
      </c>
      <c r="F146" s="78"/>
      <c r="G146" s="80">
        <v>45766</v>
      </c>
      <c r="H146" s="81">
        <v>150</v>
      </c>
      <c r="I146" s="81"/>
      <c r="J146" s="80">
        <v>45769</v>
      </c>
      <c r="K146" s="82">
        <f>Таблица3[[#This Row],[OLINGAN NARXI $]]+Таблица3[[#This Row],[RASXOD]]</f>
        <v>170</v>
      </c>
      <c r="L146" s="81">
        <v>230</v>
      </c>
      <c r="M146" s="81">
        <v>80</v>
      </c>
      <c r="N146" s="77" t="s">
        <v>1064</v>
      </c>
    </row>
    <row r="147" spans="1:14" s="56" customFormat="1" x14ac:dyDescent="0.3">
      <c r="A147" s="50" t="s">
        <v>13</v>
      </c>
      <c r="B147" s="57" t="s">
        <v>115</v>
      </c>
      <c r="C147" s="52" t="s">
        <v>35</v>
      </c>
      <c r="D147" s="52" t="s">
        <v>15</v>
      </c>
      <c r="E147" s="53">
        <v>351376415286441</v>
      </c>
      <c r="F147" s="52"/>
      <c r="G147" s="54">
        <v>45729</v>
      </c>
      <c r="H147" s="55">
        <v>120</v>
      </c>
      <c r="I147" s="55"/>
      <c r="J147" s="54">
        <v>45769</v>
      </c>
      <c r="K147" s="72">
        <f>Таблица3[[#This Row],[OLINGAN NARXI $]]+Таблица3[[#This Row],[RASXOD]]</f>
        <v>275</v>
      </c>
      <c r="L147" s="55">
        <v>200</v>
      </c>
      <c r="M147" s="72">
        <v>80</v>
      </c>
      <c r="N147" s="51" t="s">
        <v>918</v>
      </c>
    </row>
    <row r="148" spans="1:14" x14ac:dyDescent="0.3">
      <c r="A148" s="23" t="s">
        <v>13</v>
      </c>
      <c r="B148" s="6" t="s">
        <v>455</v>
      </c>
      <c r="C148" s="1" t="s">
        <v>21</v>
      </c>
      <c r="D148" s="1" t="s">
        <v>15</v>
      </c>
      <c r="E148" s="3">
        <v>352412372247081</v>
      </c>
      <c r="F148" s="1"/>
      <c r="G148" s="5">
        <v>45751</v>
      </c>
      <c r="H148" s="4">
        <v>290</v>
      </c>
      <c r="I148" s="4"/>
      <c r="J148" s="5">
        <v>45769</v>
      </c>
      <c r="K148" s="58">
        <f>Таблица3[[#This Row],[OLINGAN NARXI $]]+Таблица3[[#This Row],[RASXOD]]</f>
        <v>250</v>
      </c>
      <c r="L148" s="4">
        <v>340</v>
      </c>
      <c r="M148" s="4">
        <v>50</v>
      </c>
      <c r="N148" s="6" t="s">
        <v>19</v>
      </c>
    </row>
    <row r="149" spans="1:14" s="56" customFormat="1" x14ac:dyDescent="0.3">
      <c r="A149" s="50" t="s">
        <v>16</v>
      </c>
      <c r="B149" s="51" t="s">
        <v>83</v>
      </c>
      <c r="C149" s="52" t="s">
        <v>21</v>
      </c>
      <c r="D149" s="52" t="s">
        <v>15</v>
      </c>
      <c r="E149" s="53">
        <v>351619852601824</v>
      </c>
      <c r="F149" s="52"/>
      <c r="G149" s="54">
        <v>45767</v>
      </c>
      <c r="H149" s="55">
        <v>370</v>
      </c>
      <c r="I149" s="55"/>
      <c r="J149" s="54">
        <v>45769</v>
      </c>
      <c r="K149" s="72">
        <f>Таблица3[[#This Row],[OLINGAN NARXI $]]+Таблица3[[#This Row],[RASXOD]]</f>
        <v>275</v>
      </c>
      <c r="L149" s="55">
        <v>420</v>
      </c>
      <c r="M149" s="55">
        <v>50</v>
      </c>
      <c r="N149" s="51" t="s">
        <v>1065</v>
      </c>
    </row>
    <row r="150" spans="1:14" x14ac:dyDescent="0.3">
      <c r="A150" s="23" t="s">
        <v>16</v>
      </c>
      <c r="B150" s="6" t="s">
        <v>81</v>
      </c>
      <c r="C150" s="1" t="s">
        <v>65</v>
      </c>
      <c r="D150" s="1" t="s">
        <v>22</v>
      </c>
      <c r="E150" s="3">
        <v>352966745411526</v>
      </c>
      <c r="F150" s="1"/>
      <c r="G150" s="5">
        <v>45766</v>
      </c>
      <c r="H150" s="4">
        <v>370</v>
      </c>
      <c r="I150" s="4"/>
      <c r="J150" s="5">
        <v>45770</v>
      </c>
      <c r="K150" s="58">
        <f>Таблица3[[#This Row],[OLINGAN NARXI $]]+Таблица3[[#This Row],[RASXOD]]</f>
        <v>275</v>
      </c>
      <c r="L150" s="4">
        <v>420</v>
      </c>
      <c r="M150" s="4">
        <v>50</v>
      </c>
      <c r="N150" s="6" t="s">
        <v>1062</v>
      </c>
    </row>
    <row r="151" spans="1:14" x14ac:dyDescent="0.3">
      <c r="A151" s="23" t="s">
        <v>16</v>
      </c>
      <c r="B151" s="6" t="s">
        <v>25</v>
      </c>
      <c r="C151" s="1" t="s">
        <v>26</v>
      </c>
      <c r="D151" s="1" t="s">
        <v>22</v>
      </c>
      <c r="E151" s="3">
        <v>358797334130126</v>
      </c>
      <c r="F151" s="1"/>
      <c r="G151" s="5">
        <v>45764</v>
      </c>
      <c r="H151" s="4">
        <v>760</v>
      </c>
      <c r="I151" s="4"/>
      <c r="J151" s="5">
        <v>45770</v>
      </c>
      <c r="K151" s="58">
        <f>Таблица3[[#This Row],[OLINGAN NARXI $]]+Таблица3[[#This Row],[RASXOD]]</f>
        <v>35</v>
      </c>
      <c r="L151" s="4">
        <v>840</v>
      </c>
      <c r="M151" s="4">
        <v>80</v>
      </c>
      <c r="N151" s="6" t="s">
        <v>1054</v>
      </c>
    </row>
    <row r="152" spans="1:14" s="83" customFormat="1" x14ac:dyDescent="0.3">
      <c r="A152" s="76" t="s">
        <v>13</v>
      </c>
      <c r="B152" s="84" t="s">
        <v>563</v>
      </c>
      <c r="C152" s="78" t="s">
        <v>21</v>
      </c>
      <c r="D152" s="78" t="s">
        <v>15</v>
      </c>
      <c r="E152" s="79">
        <v>358725361246648</v>
      </c>
      <c r="F152" s="78"/>
      <c r="G152" s="80">
        <v>45739</v>
      </c>
      <c r="H152" s="81">
        <v>340</v>
      </c>
      <c r="I152" s="81">
        <v>28</v>
      </c>
      <c r="J152" s="80">
        <v>45770</v>
      </c>
      <c r="K152" s="82">
        <f>Таблица3[[#This Row],[OLINGAN NARXI $]]+Таблица3[[#This Row],[RASXOD]]</f>
        <v>252</v>
      </c>
      <c r="L152" s="81">
        <v>410</v>
      </c>
      <c r="M152" s="82">
        <v>42</v>
      </c>
      <c r="N152" s="77" t="s">
        <v>147</v>
      </c>
    </row>
    <row r="153" spans="1:14" s="83" customFormat="1" x14ac:dyDescent="0.3">
      <c r="A153" s="76" t="s">
        <v>16</v>
      </c>
      <c r="B153" s="77" t="s">
        <v>88</v>
      </c>
      <c r="C153" s="78" t="s">
        <v>97</v>
      </c>
      <c r="D153" s="78" t="s">
        <v>22</v>
      </c>
      <c r="E153" s="79">
        <v>354874933885014</v>
      </c>
      <c r="F153" s="78"/>
      <c r="G153" s="80">
        <v>45763</v>
      </c>
      <c r="H153" s="81">
        <v>300</v>
      </c>
      <c r="I153" s="81"/>
      <c r="J153" s="80">
        <v>45770</v>
      </c>
      <c r="K153" s="82">
        <f>Таблица3[[#This Row],[OLINGAN NARXI $]]+Таблица3[[#This Row],[RASXOD]]</f>
        <v>154</v>
      </c>
      <c r="L153" s="81">
        <v>390</v>
      </c>
      <c r="M153" s="81">
        <v>90</v>
      </c>
      <c r="N153" s="77" t="s">
        <v>262</v>
      </c>
    </row>
    <row r="154" spans="1:14" x14ac:dyDescent="0.3">
      <c r="A154" s="23" t="s">
        <v>16</v>
      </c>
      <c r="B154" s="6" t="s">
        <v>148</v>
      </c>
      <c r="C154" s="1" t="s">
        <v>21</v>
      </c>
      <c r="D154" s="1" t="s">
        <v>15</v>
      </c>
      <c r="E154" s="3">
        <v>356694115364812</v>
      </c>
      <c r="F154" s="1"/>
      <c r="G154" s="5">
        <v>45747</v>
      </c>
      <c r="H154" s="4">
        <v>200</v>
      </c>
      <c r="I154" s="4"/>
      <c r="J154" s="5">
        <v>45770</v>
      </c>
      <c r="K154" s="58">
        <f>Таблица3[[#This Row],[OLINGAN NARXI $]]+Таблица3[[#This Row],[RASXOD]]</f>
        <v>252.6</v>
      </c>
      <c r="L154" s="4">
        <v>250</v>
      </c>
      <c r="M154" s="58">
        <v>50</v>
      </c>
      <c r="N154" s="6" t="s">
        <v>262</v>
      </c>
    </row>
    <row r="155" spans="1:14" s="83" customFormat="1" x14ac:dyDescent="0.3">
      <c r="A155" s="76" t="s">
        <v>16</v>
      </c>
      <c r="B155" s="77" t="s">
        <v>81</v>
      </c>
      <c r="C155" s="78" t="s">
        <v>65</v>
      </c>
      <c r="D155" s="78" t="s">
        <v>15</v>
      </c>
      <c r="E155" s="79">
        <v>350367274958924</v>
      </c>
      <c r="F155" s="78"/>
      <c r="G155" s="80">
        <v>45562</v>
      </c>
      <c r="H155" s="81">
        <v>510</v>
      </c>
      <c r="I155" s="81"/>
      <c r="J155" s="80">
        <v>45771</v>
      </c>
      <c r="K155" s="82">
        <f>Таблица3[[#This Row],[OLINGAN NARXI $]]+Таблица3[[#This Row],[RASXOD]]</f>
        <v>286</v>
      </c>
      <c r="L155" s="81">
        <v>510</v>
      </c>
      <c r="M155" s="82">
        <v>0</v>
      </c>
      <c r="N155" s="77" t="s">
        <v>86</v>
      </c>
    </row>
    <row r="156" spans="1:14" s="83" customFormat="1" x14ac:dyDescent="0.3">
      <c r="A156" s="76" t="s">
        <v>13</v>
      </c>
      <c r="B156" s="77" t="s">
        <v>502</v>
      </c>
      <c r="C156" s="78" t="s">
        <v>21</v>
      </c>
      <c r="D156" s="78" t="s">
        <v>15</v>
      </c>
      <c r="E156" s="79">
        <v>351747954834785</v>
      </c>
      <c r="F156" s="78"/>
      <c r="G156" s="80">
        <v>45764</v>
      </c>
      <c r="H156" s="81">
        <v>450</v>
      </c>
      <c r="I156" s="81"/>
      <c r="J156" s="80">
        <v>45771</v>
      </c>
      <c r="K156" s="82">
        <f>Таблица3[[#This Row],[OLINGAN NARXI $]]+Таблица3[[#This Row],[RASXOD]]</f>
        <v>250</v>
      </c>
      <c r="L156" s="81">
        <v>525</v>
      </c>
      <c r="M156" s="81">
        <v>75</v>
      </c>
      <c r="N156" s="77" t="s">
        <v>147</v>
      </c>
    </row>
    <row r="157" spans="1:14" x14ac:dyDescent="0.3">
      <c r="A157" s="23" t="s">
        <v>16</v>
      </c>
      <c r="B157" s="6" t="s">
        <v>1083</v>
      </c>
      <c r="C157" s="1" t="s">
        <v>35</v>
      </c>
      <c r="D157" s="1" t="s">
        <v>15</v>
      </c>
      <c r="E157" s="3">
        <v>357050831534247</v>
      </c>
      <c r="F157" s="1"/>
      <c r="G157" s="5">
        <v>45769</v>
      </c>
      <c r="H157" s="4">
        <v>520</v>
      </c>
      <c r="I157" s="4"/>
      <c r="J157" s="5">
        <v>45771</v>
      </c>
      <c r="K157" s="58">
        <f>Таблица3[[#This Row],[OLINGAN NARXI $]]+Таблица3[[#This Row],[RASXOD]]</f>
        <v>250</v>
      </c>
      <c r="L157" s="4">
        <v>550</v>
      </c>
      <c r="M157" s="4">
        <v>30</v>
      </c>
      <c r="N157" s="6" t="s">
        <v>262</v>
      </c>
    </row>
    <row r="158" spans="1:14" s="56" customFormat="1" x14ac:dyDescent="0.3">
      <c r="A158" s="50" t="s">
        <v>16</v>
      </c>
      <c r="B158" s="51" t="s">
        <v>74</v>
      </c>
      <c r="C158" s="52" t="s">
        <v>21</v>
      </c>
      <c r="D158" s="52" t="s">
        <v>15</v>
      </c>
      <c r="E158" s="53">
        <v>350666973272622</v>
      </c>
      <c r="F158" s="52" t="s">
        <v>1057</v>
      </c>
      <c r="G158" s="54">
        <v>45765</v>
      </c>
      <c r="H158" s="55">
        <v>420</v>
      </c>
      <c r="I158" s="55">
        <v>20</v>
      </c>
      <c r="J158" s="54">
        <v>45771</v>
      </c>
      <c r="K158" s="72">
        <f>Таблица3[[#This Row],[OLINGAN NARXI $]]+Таблица3[[#This Row],[RASXOD]]</f>
        <v>645</v>
      </c>
      <c r="L158" s="55">
        <v>520</v>
      </c>
      <c r="M158" s="55">
        <v>80</v>
      </c>
      <c r="N158" s="51" t="s">
        <v>1058</v>
      </c>
    </row>
    <row r="159" spans="1:14" s="56" customFormat="1" x14ac:dyDescent="0.3">
      <c r="A159" s="50" t="s">
        <v>13</v>
      </c>
      <c r="B159" s="57" t="s">
        <v>563</v>
      </c>
      <c r="C159" s="52" t="s">
        <v>97</v>
      </c>
      <c r="D159" s="52" t="s">
        <v>15</v>
      </c>
      <c r="E159" s="53">
        <v>352019420102091</v>
      </c>
      <c r="F159" s="52"/>
      <c r="G159" s="54">
        <v>45739</v>
      </c>
      <c r="H159" s="55">
        <v>340</v>
      </c>
      <c r="I159" s="55">
        <v>28</v>
      </c>
      <c r="J159" s="54">
        <v>45771</v>
      </c>
      <c r="K159" s="72">
        <f>Таблица3[[#This Row],[OLINGAN NARXI $]]+Таблица3[[#This Row],[RASXOD]]</f>
        <v>180</v>
      </c>
      <c r="L159" s="55">
        <v>405</v>
      </c>
      <c r="M159" s="72">
        <v>37</v>
      </c>
      <c r="N159" s="51" t="s">
        <v>147</v>
      </c>
    </row>
    <row r="160" spans="1:14" x14ac:dyDescent="0.3">
      <c r="A160" s="23" t="s">
        <v>16</v>
      </c>
      <c r="B160" s="6" t="s">
        <v>1000</v>
      </c>
      <c r="C160" s="1" t="s">
        <v>21</v>
      </c>
      <c r="D160" s="1" t="s">
        <v>15</v>
      </c>
      <c r="E160" s="3">
        <v>359844768839829</v>
      </c>
      <c r="F160" s="1"/>
      <c r="G160" s="5">
        <v>45771</v>
      </c>
      <c r="H160" s="4">
        <v>1000</v>
      </c>
      <c r="I160" s="4">
        <v>27</v>
      </c>
      <c r="J160" s="5">
        <v>45771</v>
      </c>
      <c r="K160" s="58">
        <f>Таблица3[[#This Row],[OLINGAN NARXI $]]+Таблица3[[#This Row],[RASXOD]]</f>
        <v>245</v>
      </c>
      <c r="L160" s="4">
        <v>1100</v>
      </c>
      <c r="M160" s="4">
        <v>73</v>
      </c>
      <c r="N160" s="6" t="s">
        <v>147</v>
      </c>
    </row>
    <row r="161" spans="1:14" x14ac:dyDescent="0.3">
      <c r="A161" s="23" t="s">
        <v>16</v>
      </c>
      <c r="B161" s="6" t="s">
        <v>92</v>
      </c>
      <c r="C161" s="1" t="s">
        <v>65</v>
      </c>
      <c r="D161" s="1" t="s">
        <v>22</v>
      </c>
      <c r="E161" s="3">
        <v>353033113549640</v>
      </c>
      <c r="F161" s="1"/>
      <c r="G161" s="5">
        <v>45680</v>
      </c>
      <c r="H161" s="4">
        <v>230</v>
      </c>
      <c r="I161" s="4"/>
      <c r="J161" s="5">
        <v>45771</v>
      </c>
      <c r="K161" s="58">
        <f>Таблица3[[#This Row],[OLINGAN NARXI $]]+Таблица3[[#This Row],[RASXOD]]</f>
        <v>280</v>
      </c>
      <c r="L161" s="4">
        <v>265</v>
      </c>
      <c r="M161" s="58">
        <v>35</v>
      </c>
      <c r="N161" s="6" t="s">
        <v>786</v>
      </c>
    </row>
    <row r="162" spans="1:14" x14ac:dyDescent="0.3">
      <c r="A162" s="23" t="s">
        <v>16</v>
      </c>
      <c r="B162" s="6" t="s">
        <v>81</v>
      </c>
      <c r="C162" s="1" t="s">
        <v>65</v>
      </c>
      <c r="D162" s="1" t="s">
        <v>22</v>
      </c>
      <c r="E162" s="3">
        <v>354226991854715</v>
      </c>
      <c r="F162" s="1" t="s">
        <v>1096</v>
      </c>
      <c r="G162" s="5">
        <v>45771</v>
      </c>
      <c r="H162" s="4">
        <v>330</v>
      </c>
      <c r="I162" s="4">
        <v>46</v>
      </c>
      <c r="J162" s="5">
        <v>45772</v>
      </c>
      <c r="K162" s="58">
        <f>Таблица3[[#This Row],[OLINGAN NARXI $]]+Таблица3[[#This Row],[RASXOD]]</f>
        <v>565</v>
      </c>
      <c r="L162" s="4">
        <v>407</v>
      </c>
      <c r="M162" s="4">
        <v>31</v>
      </c>
      <c r="N162" s="6" t="s">
        <v>1097</v>
      </c>
    </row>
    <row r="163" spans="1:14" x14ac:dyDescent="0.3">
      <c r="A163" s="23" t="s">
        <v>16</v>
      </c>
      <c r="B163" s="6" t="s">
        <v>88</v>
      </c>
      <c r="C163" s="1" t="s">
        <v>21</v>
      </c>
      <c r="D163" s="1" t="s">
        <v>22</v>
      </c>
      <c r="E163" s="3">
        <v>356586863950828</v>
      </c>
      <c r="F163" s="1" t="s">
        <v>911</v>
      </c>
      <c r="G163" s="5">
        <v>45771</v>
      </c>
      <c r="H163" s="4">
        <v>250</v>
      </c>
      <c r="I163" s="4"/>
      <c r="J163" s="5">
        <v>45772</v>
      </c>
      <c r="K163" s="58">
        <f>Таблица3[[#This Row],[OLINGAN NARXI $]]+Таблица3[[#This Row],[RASXOD]]</f>
        <v>301</v>
      </c>
      <c r="L163" s="4">
        <v>270</v>
      </c>
      <c r="M163" s="4">
        <v>20</v>
      </c>
      <c r="N163" s="6" t="s">
        <v>262</v>
      </c>
    </row>
    <row r="164" spans="1:14" x14ac:dyDescent="0.3">
      <c r="A164" s="23" t="s">
        <v>16</v>
      </c>
      <c r="B164" s="6" t="s">
        <v>1083</v>
      </c>
      <c r="C164" s="1" t="s">
        <v>21</v>
      </c>
      <c r="D164" s="1" t="s">
        <v>15</v>
      </c>
      <c r="E164" s="3">
        <v>351055826684747</v>
      </c>
      <c r="F164" s="1"/>
      <c r="G164" s="5">
        <v>45772</v>
      </c>
      <c r="H164" s="4">
        <v>440</v>
      </c>
      <c r="I164" s="4"/>
      <c r="J164" s="5">
        <v>45772</v>
      </c>
      <c r="K164" s="58">
        <f>Таблица3[[#This Row],[OLINGAN NARXI $]]+Таблица3[[#This Row],[RASXOD]]</f>
        <v>57</v>
      </c>
      <c r="L164" s="4">
        <v>470</v>
      </c>
      <c r="M164" s="4">
        <v>30</v>
      </c>
      <c r="N164" s="6" t="s">
        <v>1107</v>
      </c>
    </row>
    <row r="165" spans="1:14" s="56" customFormat="1" x14ac:dyDescent="0.3">
      <c r="A165" s="50" t="s">
        <v>16</v>
      </c>
      <c r="B165" s="51" t="s">
        <v>74</v>
      </c>
      <c r="C165" s="52" t="s">
        <v>35</v>
      </c>
      <c r="D165" s="52" t="s">
        <v>15</v>
      </c>
      <c r="E165" s="53">
        <v>353943232916068</v>
      </c>
      <c r="F165" s="52"/>
      <c r="G165" s="54">
        <v>45645</v>
      </c>
      <c r="H165" s="55">
        <v>570</v>
      </c>
      <c r="I165" s="55"/>
      <c r="J165" s="54">
        <v>45772</v>
      </c>
      <c r="K165" s="72">
        <f>Таблица3[[#This Row],[OLINGAN NARXI $]]+Таблица3[[#This Row],[RASXOD]]</f>
        <v>150</v>
      </c>
      <c r="L165" s="55">
        <v>580</v>
      </c>
      <c r="M165" s="72">
        <v>10</v>
      </c>
      <c r="N165" s="51" t="s">
        <v>644</v>
      </c>
    </row>
    <row r="166" spans="1:14" s="83" customFormat="1" x14ac:dyDescent="0.3">
      <c r="A166" s="76" t="s">
        <v>16</v>
      </c>
      <c r="B166" s="77" t="s">
        <v>81</v>
      </c>
      <c r="C166" s="78" t="s">
        <v>65</v>
      </c>
      <c r="D166" s="78" t="s">
        <v>22</v>
      </c>
      <c r="E166" s="79">
        <v>354226991854715</v>
      </c>
      <c r="F166" s="78" t="s">
        <v>1096</v>
      </c>
      <c r="G166" s="80">
        <v>45771</v>
      </c>
      <c r="H166" s="81">
        <v>330</v>
      </c>
      <c r="I166" s="81">
        <v>46</v>
      </c>
      <c r="J166" s="80">
        <v>45772</v>
      </c>
      <c r="K166" s="82">
        <f>Таблица3[[#This Row],[OLINGAN NARXI $]]+Таблица3[[#This Row],[RASXOD]]</f>
        <v>200</v>
      </c>
      <c r="L166" s="81">
        <v>430</v>
      </c>
      <c r="M166" s="81">
        <v>54</v>
      </c>
      <c r="N166" s="77" t="s">
        <v>1097</v>
      </c>
    </row>
    <row r="167" spans="1:14" s="56" customFormat="1" x14ac:dyDescent="0.3">
      <c r="A167" s="50" t="s">
        <v>13</v>
      </c>
      <c r="B167" s="51" t="s">
        <v>563</v>
      </c>
      <c r="C167" s="52" t="s">
        <v>18</v>
      </c>
      <c r="D167" s="52" t="s">
        <v>15</v>
      </c>
      <c r="E167" s="53">
        <v>358725360993810</v>
      </c>
      <c r="F167" s="52"/>
      <c r="G167" s="54">
        <v>45706</v>
      </c>
      <c r="H167" s="55">
        <v>405</v>
      </c>
      <c r="I167" s="55"/>
      <c r="J167" s="54">
        <v>45773</v>
      </c>
      <c r="K167" s="72">
        <f>Таблица3[[#This Row],[OLINGAN NARXI $]]+Таблица3[[#This Row],[RASXOD]]</f>
        <v>160</v>
      </c>
      <c r="L167" s="55">
        <v>420</v>
      </c>
      <c r="M167" s="72">
        <v>15</v>
      </c>
      <c r="N167" s="51" t="s">
        <v>19</v>
      </c>
    </row>
    <row r="168" spans="1:14" x14ac:dyDescent="0.3">
      <c r="A168" s="23" t="s">
        <v>16</v>
      </c>
      <c r="B168" s="6" t="s">
        <v>1085</v>
      </c>
      <c r="C168" s="1" t="s">
        <v>21</v>
      </c>
      <c r="D168" s="1" t="s">
        <v>22</v>
      </c>
      <c r="E168" s="3">
        <v>353086103093748</v>
      </c>
      <c r="F168" s="1"/>
      <c r="G168" s="5">
        <v>45769</v>
      </c>
      <c r="H168" s="4">
        <v>80</v>
      </c>
      <c r="I168" s="4">
        <v>29</v>
      </c>
      <c r="J168" s="5">
        <v>45773</v>
      </c>
      <c r="K168" s="58">
        <f>Таблица3[[#This Row],[OLINGAN NARXI $]]+Таблица3[[#This Row],[RASXOD]]</f>
        <v>160</v>
      </c>
      <c r="L168" s="4">
        <v>177</v>
      </c>
      <c r="M168" s="4">
        <v>68</v>
      </c>
      <c r="N168" s="6" t="s">
        <v>1086</v>
      </c>
    </row>
    <row r="169" spans="1:14" s="83" customFormat="1" x14ac:dyDescent="0.3">
      <c r="A169" s="76" t="s">
        <v>13</v>
      </c>
      <c r="B169" s="77" t="s">
        <v>124</v>
      </c>
      <c r="C169" s="78" t="s">
        <v>58</v>
      </c>
      <c r="D169" s="78" t="s">
        <v>15</v>
      </c>
      <c r="E169" s="79">
        <v>355857118704950</v>
      </c>
      <c r="F169" s="78"/>
      <c r="G169" s="80">
        <v>45770</v>
      </c>
      <c r="H169" s="81">
        <v>260</v>
      </c>
      <c r="I169" s="81"/>
      <c r="J169" s="80">
        <v>45773</v>
      </c>
      <c r="K169" s="82">
        <f>Таблица3[[#This Row],[OLINGAN NARXI $]]+Таблица3[[#This Row],[RASXOD]]</f>
        <v>160</v>
      </c>
      <c r="L169" s="81">
        <v>309</v>
      </c>
      <c r="M169" s="81">
        <v>49</v>
      </c>
      <c r="N169" s="77" t="s">
        <v>1093</v>
      </c>
    </row>
    <row r="170" spans="1:14" s="56" customFormat="1" x14ac:dyDescent="0.3">
      <c r="A170" s="50" t="s">
        <v>16</v>
      </c>
      <c r="B170" s="51" t="s">
        <v>1084</v>
      </c>
      <c r="C170" s="52" t="s">
        <v>18</v>
      </c>
      <c r="D170" s="52" t="s">
        <v>15</v>
      </c>
      <c r="E170" s="53">
        <v>351031658680061</v>
      </c>
      <c r="F170" s="52"/>
      <c r="G170" s="54">
        <v>45769</v>
      </c>
      <c r="H170" s="55">
        <v>640</v>
      </c>
      <c r="I170" s="55"/>
      <c r="J170" s="54">
        <v>45773</v>
      </c>
      <c r="K170" s="72">
        <f>Таблица3[[#This Row],[OLINGAN NARXI $]]+Таблица3[[#This Row],[RASXOD]]</f>
        <v>160</v>
      </c>
      <c r="L170" s="55">
        <v>700</v>
      </c>
      <c r="M170" s="55">
        <v>60</v>
      </c>
      <c r="N170" s="51" t="s">
        <v>147</v>
      </c>
    </row>
    <row r="171" spans="1:14" s="56" customFormat="1" x14ac:dyDescent="0.3">
      <c r="A171" s="50" t="s">
        <v>16</v>
      </c>
      <c r="B171" s="51" t="s">
        <v>407</v>
      </c>
      <c r="C171" s="52" t="s">
        <v>107</v>
      </c>
      <c r="D171" s="52" t="s">
        <v>22</v>
      </c>
      <c r="E171" s="53">
        <v>356375232965810</v>
      </c>
      <c r="F171" s="52"/>
      <c r="G171" s="54">
        <v>45650</v>
      </c>
      <c r="H171" s="55">
        <v>220</v>
      </c>
      <c r="I171" s="55">
        <v>18</v>
      </c>
      <c r="J171" s="54">
        <v>45773</v>
      </c>
      <c r="K171" s="72">
        <f>Таблица3[[#This Row],[OLINGAN NARXI $]]+Таблица3[[#This Row],[RASXOD]]</f>
        <v>160</v>
      </c>
      <c r="L171" s="55">
        <v>270</v>
      </c>
      <c r="M171" s="72">
        <v>32</v>
      </c>
      <c r="N171" s="51" t="s">
        <v>147</v>
      </c>
    </row>
    <row r="172" spans="1:14" s="56" customFormat="1" x14ac:dyDescent="0.3">
      <c r="A172" s="50" t="s">
        <v>16</v>
      </c>
      <c r="B172" s="51" t="s">
        <v>1105</v>
      </c>
      <c r="C172" s="52" t="s">
        <v>18</v>
      </c>
      <c r="D172" s="52" t="s">
        <v>15</v>
      </c>
      <c r="E172" s="53">
        <v>356084093123812</v>
      </c>
      <c r="F172" s="52" t="s">
        <v>140</v>
      </c>
      <c r="G172" s="54">
        <v>45772</v>
      </c>
      <c r="H172" s="55">
        <v>50</v>
      </c>
      <c r="I172" s="55"/>
      <c r="J172" s="54">
        <v>45773</v>
      </c>
      <c r="K172" s="72">
        <f>Таблица3[[#This Row],[OLINGAN NARXI $]]+Таблица3[[#This Row],[RASXOD]]</f>
        <v>550</v>
      </c>
      <c r="L172" s="55">
        <v>69</v>
      </c>
      <c r="M172" s="55">
        <v>19</v>
      </c>
      <c r="N172" s="51" t="s">
        <v>1106</v>
      </c>
    </row>
    <row r="173" spans="1:14" s="56" customFormat="1" x14ac:dyDescent="0.3">
      <c r="A173" s="50" t="s">
        <v>16</v>
      </c>
      <c r="B173" s="51" t="s">
        <v>541</v>
      </c>
      <c r="C173" s="52" t="s">
        <v>97</v>
      </c>
      <c r="D173" s="52" t="s">
        <v>15</v>
      </c>
      <c r="E173" s="53">
        <v>353899105838609</v>
      </c>
      <c r="F173" s="52"/>
      <c r="G173" s="54">
        <v>45751</v>
      </c>
      <c r="H173" s="55">
        <v>250</v>
      </c>
      <c r="I173" s="55"/>
      <c r="J173" s="54">
        <v>45774</v>
      </c>
      <c r="K173" s="72">
        <f>Таблица3[[#This Row],[OLINGAN NARXI $]]+Таблица3[[#This Row],[RASXOD]]</f>
        <v>421.2</v>
      </c>
      <c r="L173" s="55">
        <v>305</v>
      </c>
      <c r="M173" s="55">
        <v>55</v>
      </c>
      <c r="N173" s="51" t="s">
        <v>19</v>
      </c>
    </row>
    <row r="174" spans="1:14" x14ac:dyDescent="0.3">
      <c r="A174" s="23" t="s">
        <v>13</v>
      </c>
      <c r="B174" s="6" t="s">
        <v>1041</v>
      </c>
      <c r="C174" s="1" t="s">
        <v>97</v>
      </c>
      <c r="D174" s="1" t="s">
        <v>15</v>
      </c>
      <c r="E174" s="3">
        <v>357850460315374</v>
      </c>
      <c r="F174" s="1"/>
      <c r="G174" s="5">
        <v>45764</v>
      </c>
      <c r="H174" s="4">
        <v>465</v>
      </c>
      <c r="I174" s="4"/>
      <c r="J174" s="5">
        <v>45774</v>
      </c>
      <c r="K174" s="58">
        <f>Таблица3[[#This Row],[OLINGAN NARXI $]]+Таблица3[[#This Row],[RASXOD]]</f>
        <v>100</v>
      </c>
      <c r="L174" s="4">
        <v>530</v>
      </c>
      <c r="M174" s="4">
        <v>65</v>
      </c>
      <c r="N174" s="6" t="s">
        <v>147</v>
      </c>
    </row>
    <row r="175" spans="1:14" x14ac:dyDescent="0.3">
      <c r="A175" s="23" t="s">
        <v>16</v>
      </c>
      <c r="B175" s="6" t="s">
        <v>1000</v>
      </c>
      <c r="C175" s="1" t="s">
        <v>583</v>
      </c>
      <c r="D175" s="1" t="s">
        <v>22</v>
      </c>
      <c r="E175" s="3">
        <v>355506722485205</v>
      </c>
      <c r="F175" s="1" t="s">
        <v>113</v>
      </c>
      <c r="G175" s="5">
        <v>45771</v>
      </c>
      <c r="H175" s="4">
        <v>750</v>
      </c>
      <c r="I175" s="4">
        <v>10</v>
      </c>
      <c r="J175" s="5">
        <v>45774</v>
      </c>
      <c r="K175" s="58">
        <f>Таблица3[[#This Row],[OLINGAN NARXI $]]+Таблица3[[#This Row],[RASXOD]]</f>
        <v>40</v>
      </c>
      <c r="L175" s="4">
        <v>970</v>
      </c>
      <c r="M175" s="4">
        <v>210</v>
      </c>
      <c r="N175" s="6" t="s">
        <v>1100</v>
      </c>
    </row>
    <row r="176" spans="1:14" x14ac:dyDescent="0.3">
      <c r="A176" s="23" t="s">
        <v>16</v>
      </c>
      <c r="B176" s="6" t="s">
        <v>25</v>
      </c>
      <c r="C176" s="1" t="s">
        <v>26</v>
      </c>
      <c r="D176" s="1" t="s">
        <v>22</v>
      </c>
      <c r="E176" s="3">
        <v>356642158789486</v>
      </c>
      <c r="F176" s="1"/>
      <c r="G176" s="5">
        <v>45771</v>
      </c>
      <c r="H176" s="4">
        <v>800</v>
      </c>
      <c r="I176" s="4"/>
      <c r="J176" s="5">
        <v>45774</v>
      </c>
      <c r="K176" s="58">
        <f>Таблица3[[#This Row],[OLINGAN NARXI $]]+Таблица3[[#This Row],[RASXOD]]</f>
        <v>292</v>
      </c>
      <c r="L176" s="4">
        <v>880</v>
      </c>
      <c r="M176" s="4">
        <v>80</v>
      </c>
      <c r="N176" s="6" t="s">
        <v>1099</v>
      </c>
    </row>
    <row r="177" spans="1:14" s="83" customFormat="1" x14ac:dyDescent="0.3">
      <c r="A177" s="76" t="s">
        <v>16</v>
      </c>
      <c r="B177" s="77" t="s">
        <v>25</v>
      </c>
      <c r="C177" s="78" t="s">
        <v>65</v>
      </c>
      <c r="D177" s="78" t="s">
        <v>15</v>
      </c>
      <c r="E177" s="79">
        <v>351479724152864</v>
      </c>
      <c r="F177" s="78"/>
      <c r="G177" s="80">
        <v>45767</v>
      </c>
      <c r="H177" s="81">
        <v>635</v>
      </c>
      <c r="I177" s="81"/>
      <c r="J177" s="80">
        <v>45774</v>
      </c>
      <c r="K177" s="82">
        <f>Таблица3[[#This Row],[OLINGAN NARXI $]]+Таблица3[[#This Row],[RASXOD]]</f>
        <v>24</v>
      </c>
      <c r="L177" s="81">
        <v>750</v>
      </c>
      <c r="M177" s="81">
        <v>115</v>
      </c>
      <c r="N177" s="77" t="s">
        <v>1072</v>
      </c>
    </row>
    <row r="178" spans="1:14" x14ac:dyDescent="0.3">
      <c r="A178" s="23" t="s">
        <v>16</v>
      </c>
      <c r="B178" s="6" t="s">
        <v>32</v>
      </c>
      <c r="C178" s="1" t="s">
        <v>26</v>
      </c>
      <c r="D178" s="1" t="s">
        <v>22</v>
      </c>
      <c r="E178" s="3">
        <v>354133892005167</v>
      </c>
      <c r="F178" s="1"/>
      <c r="G178" s="5">
        <v>45770</v>
      </c>
      <c r="H178" s="4">
        <v>700</v>
      </c>
      <c r="I178" s="4"/>
      <c r="J178" s="5">
        <v>45774</v>
      </c>
      <c r="K178" s="58">
        <f>Таблица3[[#This Row],[OLINGAN NARXI $]]+Таблица3[[#This Row],[RASXOD]]</f>
        <v>80</v>
      </c>
      <c r="L178" s="4">
        <v>740</v>
      </c>
      <c r="M178" s="4">
        <v>40</v>
      </c>
      <c r="N178" s="6" t="s">
        <v>1091</v>
      </c>
    </row>
    <row r="179" spans="1:14" x14ac:dyDescent="0.3">
      <c r="A179" s="23" t="s">
        <v>16</v>
      </c>
      <c r="B179" s="6" t="s">
        <v>83</v>
      </c>
      <c r="C179" s="1" t="s">
        <v>21</v>
      </c>
      <c r="D179" s="1" t="s">
        <v>15</v>
      </c>
      <c r="E179" s="3">
        <v>355015327833660</v>
      </c>
      <c r="F179" s="1"/>
      <c r="G179" s="5">
        <v>45769</v>
      </c>
      <c r="H179" s="4">
        <v>400</v>
      </c>
      <c r="I179" s="4">
        <v>27</v>
      </c>
      <c r="J179" s="5">
        <v>45774</v>
      </c>
      <c r="K179" s="58">
        <f>Таблица3[[#This Row],[OLINGAN NARXI $]]+Таблица3[[#This Row],[RASXOD]]</f>
        <v>56</v>
      </c>
      <c r="L179" s="4">
        <v>480</v>
      </c>
      <c r="M179" s="4">
        <v>53</v>
      </c>
      <c r="N179" s="6" t="s">
        <v>147</v>
      </c>
    </row>
    <row r="180" spans="1:14" s="56" customFormat="1" x14ac:dyDescent="0.3">
      <c r="A180" s="50" t="s">
        <v>16</v>
      </c>
      <c r="B180" s="51" t="s">
        <v>83</v>
      </c>
      <c r="C180" s="52" t="s">
        <v>21</v>
      </c>
      <c r="D180" s="52" t="s">
        <v>15</v>
      </c>
      <c r="E180" s="53">
        <v>355656509149845</v>
      </c>
      <c r="F180" s="52"/>
      <c r="G180" s="54">
        <v>45775</v>
      </c>
      <c r="H180" s="55">
        <v>440</v>
      </c>
      <c r="I180" s="55"/>
      <c r="J180" s="54">
        <v>45775</v>
      </c>
      <c r="K180" s="72">
        <f>Таблица3[[#This Row],[OLINGAN NARXI $]]+Таблица3[[#This Row],[RASXOD]]</f>
        <v>0</v>
      </c>
      <c r="L180" s="55">
        <v>530</v>
      </c>
      <c r="M180" s="55">
        <v>90</v>
      </c>
      <c r="N180" s="51" t="s">
        <v>1119</v>
      </c>
    </row>
    <row r="181" spans="1:14" x14ac:dyDescent="0.3">
      <c r="A181" s="23" t="s">
        <v>16</v>
      </c>
      <c r="B181" s="6" t="s">
        <v>128</v>
      </c>
      <c r="C181" s="1" t="s">
        <v>18</v>
      </c>
      <c r="D181" s="1" t="s">
        <v>15</v>
      </c>
      <c r="E181" s="3">
        <v>356737688492898</v>
      </c>
      <c r="F181" s="1" t="s">
        <v>1079</v>
      </c>
      <c r="G181" s="5">
        <v>45771</v>
      </c>
      <c r="H181" s="4">
        <v>600</v>
      </c>
      <c r="I181" s="4"/>
      <c r="J181" s="5">
        <v>45775</v>
      </c>
      <c r="K181" s="58">
        <f>Таблица3[[#This Row],[OLINGAN NARXI $]]+Таблица3[[#This Row],[RASXOD]]</f>
        <v>0</v>
      </c>
      <c r="L181" s="4">
        <v>660</v>
      </c>
      <c r="M181" s="4">
        <v>60</v>
      </c>
      <c r="N181" s="6" t="s">
        <v>262</v>
      </c>
    </row>
    <row r="182" spans="1:14" s="83" customFormat="1" x14ac:dyDescent="0.3">
      <c r="A182" s="76" t="s">
        <v>13</v>
      </c>
      <c r="B182" s="77" t="s">
        <v>563</v>
      </c>
      <c r="C182" s="78" t="s">
        <v>18</v>
      </c>
      <c r="D182" s="78" t="s">
        <v>15</v>
      </c>
      <c r="E182" s="79">
        <v>351562314334586</v>
      </c>
      <c r="F182" s="78"/>
      <c r="G182" s="80">
        <v>45717</v>
      </c>
      <c r="H182" s="81">
        <v>350</v>
      </c>
      <c r="I182" s="81">
        <v>27</v>
      </c>
      <c r="J182" s="80">
        <v>45776</v>
      </c>
      <c r="K182" s="82">
        <f>Таблица3[[#This Row],[OLINGAN NARXI $]]+Таблица3[[#This Row],[RASXOD]]</f>
        <v>0</v>
      </c>
      <c r="L182" s="81">
        <v>410</v>
      </c>
      <c r="M182" s="82">
        <v>33</v>
      </c>
      <c r="N182" s="77" t="s">
        <v>147</v>
      </c>
    </row>
    <row r="183" spans="1:14" s="83" customFormat="1" x14ac:dyDescent="0.3">
      <c r="A183" s="76" t="s">
        <v>16</v>
      </c>
      <c r="B183" s="77" t="s">
        <v>312</v>
      </c>
      <c r="C183" s="78" t="s">
        <v>45</v>
      </c>
      <c r="D183" s="78" t="s">
        <v>22</v>
      </c>
      <c r="E183" s="79">
        <v>354941730708069</v>
      </c>
      <c r="F183" s="78"/>
      <c r="G183" s="80">
        <v>45770</v>
      </c>
      <c r="H183" s="81">
        <v>500</v>
      </c>
      <c r="I183" s="81"/>
      <c r="J183" s="80">
        <v>45776</v>
      </c>
      <c r="K183" s="82">
        <f>Таблица3[[#This Row],[OLINGAN NARXI $]]+Таблица3[[#This Row],[RASXOD]]</f>
        <v>0</v>
      </c>
      <c r="L183" s="81">
        <v>550</v>
      </c>
      <c r="M183" s="81">
        <v>50</v>
      </c>
      <c r="N183" s="77" t="s">
        <v>1088</v>
      </c>
    </row>
    <row r="184" spans="1:14" s="83" customFormat="1" x14ac:dyDescent="0.3">
      <c r="A184" s="76" t="s">
        <v>13</v>
      </c>
      <c r="B184" s="77" t="s">
        <v>883</v>
      </c>
      <c r="C184" s="78"/>
      <c r="D184" s="78"/>
      <c r="E184" s="79">
        <v>354203114968268</v>
      </c>
      <c r="F184" s="78"/>
      <c r="G184" s="80">
        <v>45776</v>
      </c>
      <c r="H184" s="81">
        <v>210</v>
      </c>
      <c r="I184" s="81"/>
      <c r="J184" s="80">
        <v>45776</v>
      </c>
      <c r="K184" s="82">
        <f>Таблица37589[[#This Row],[OLINGAN NARXI $]]+Таблица37589[[#This Row],[RASXOD]]</f>
        <v>210</v>
      </c>
      <c r="L184" s="81">
        <v>228</v>
      </c>
      <c r="M184" s="81">
        <f>Таблица37589[[#This Row],[SOTILGAN NARXI]]-Таблица37589[[#This Row],[OLINGAN NARXI $]]-Таблица37589[[#This Row],[RASXOD]]</f>
        <v>18</v>
      </c>
      <c r="N184" s="77" t="s">
        <v>1121</v>
      </c>
    </row>
    <row r="185" spans="1:14" s="83" customFormat="1" x14ac:dyDescent="0.3">
      <c r="A185" s="76" t="s">
        <v>16</v>
      </c>
      <c r="B185" s="77" t="s">
        <v>772</v>
      </c>
      <c r="C185" s="78" t="s">
        <v>21</v>
      </c>
      <c r="D185" s="78" t="s">
        <v>15</v>
      </c>
      <c r="E185" s="79">
        <v>351080470994218</v>
      </c>
      <c r="F185" s="78"/>
      <c r="G185" s="80">
        <v>45771</v>
      </c>
      <c r="H185" s="81">
        <v>650</v>
      </c>
      <c r="I185" s="81"/>
      <c r="J185" s="80">
        <v>45776</v>
      </c>
      <c r="K185" s="82">
        <f>Таблица3[[#This Row],[OLINGAN NARXI $]]+Таблица3[[#This Row],[RASXOD]]</f>
        <v>0</v>
      </c>
      <c r="L185" s="81">
        <v>770</v>
      </c>
      <c r="M185" s="81">
        <v>120</v>
      </c>
      <c r="N185" s="83" t="s">
        <v>262</v>
      </c>
    </row>
    <row r="186" spans="1:14" x14ac:dyDescent="0.3">
      <c r="A186" s="23" t="s">
        <v>16</v>
      </c>
      <c r="B186" s="6" t="s">
        <v>39</v>
      </c>
      <c r="C186" s="1" t="s">
        <v>35</v>
      </c>
      <c r="D186" s="1" t="s">
        <v>22</v>
      </c>
      <c r="E186" s="3">
        <v>352872335508335</v>
      </c>
      <c r="F186" s="1"/>
      <c r="G186" s="5">
        <v>45774</v>
      </c>
      <c r="H186" s="4">
        <v>570</v>
      </c>
      <c r="I186" s="4"/>
      <c r="J186" s="5">
        <v>45777</v>
      </c>
      <c r="K186" s="58">
        <v>570</v>
      </c>
      <c r="L186" s="4">
        <v>676</v>
      </c>
      <c r="M186" s="4">
        <v>106</v>
      </c>
      <c r="N186" s="6" t="s">
        <v>262</v>
      </c>
    </row>
    <row r="187" spans="1:14" x14ac:dyDescent="0.3">
      <c r="A187" s="23" t="s">
        <v>16</v>
      </c>
      <c r="B187" s="6" t="s">
        <v>81</v>
      </c>
      <c r="C187" s="1" t="s">
        <v>45</v>
      </c>
      <c r="D187" s="1" t="s">
        <v>15</v>
      </c>
      <c r="E187" s="3">
        <v>356024611826868</v>
      </c>
      <c r="F187" s="1"/>
      <c r="G187" s="5">
        <v>45775</v>
      </c>
      <c r="H187" s="4">
        <v>420</v>
      </c>
      <c r="I187" s="4"/>
      <c r="J187" s="5">
        <v>45777</v>
      </c>
      <c r="K187" s="58">
        <f>Таблица3[[#This Row],[OLINGAN NARXI $]]+Таблица3[[#This Row],[RASXOD]]</f>
        <v>0</v>
      </c>
      <c r="L187" s="4">
        <v>480</v>
      </c>
      <c r="M187" s="4">
        <v>60</v>
      </c>
      <c r="N187" s="6" t="s">
        <v>1119</v>
      </c>
    </row>
    <row r="188" spans="1:14" s="83" customFormat="1" x14ac:dyDescent="0.3">
      <c r="A188" s="76" t="s">
        <v>13</v>
      </c>
      <c r="B188" s="77" t="s">
        <v>502</v>
      </c>
      <c r="C188" s="78" t="s">
        <v>18</v>
      </c>
      <c r="D188" s="78" t="s">
        <v>15</v>
      </c>
      <c r="E188" s="79">
        <v>353992853111368</v>
      </c>
      <c r="F188" s="78"/>
      <c r="G188" s="80">
        <v>45713</v>
      </c>
      <c r="H188" s="81">
        <v>450</v>
      </c>
      <c r="I188" s="81"/>
      <c r="J188" s="80">
        <v>45777</v>
      </c>
      <c r="K188" s="82">
        <f>Таблица3[[#This Row],[OLINGAN NARXI $]]+Таблица3[[#This Row],[RASXOD]]</f>
        <v>0</v>
      </c>
      <c r="L188" s="81">
        <v>530</v>
      </c>
      <c r="M188" s="82">
        <v>80</v>
      </c>
      <c r="N188" s="77" t="s">
        <v>867</v>
      </c>
    </row>
    <row r="189" spans="1:14" x14ac:dyDescent="0.3">
      <c r="A189" s="23" t="s">
        <v>16</v>
      </c>
      <c r="B189" s="6" t="s">
        <v>312</v>
      </c>
      <c r="C189" s="1" t="s">
        <v>65</v>
      </c>
      <c r="D189" s="1" t="s">
        <v>22</v>
      </c>
      <c r="E189" s="3">
        <v>350419537060004</v>
      </c>
      <c r="F189" s="1"/>
      <c r="G189" s="5">
        <v>45774</v>
      </c>
      <c r="H189" s="4">
        <v>480</v>
      </c>
      <c r="I189" s="4"/>
      <c r="J189" s="5">
        <v>45777</v>
      </c>
      <c r="K189" s="58">
        <f>Таблица3[[#This Row],[OLINGAN NARXI $]]+Таблица3[[#This Row],[RASXOD]]</f>
        <v>0</v>
      </c>
      <c r="L189" s="4">
        <v>545</v>
      </c>
      <c r="M189" s="4">
        <v>65</v>
      </c>
      <c r="N189" s="6" t="s">
        <v>262</v>
      </c>
    </row>
    <row r="190" spans="1:14" x14ac:dyDescent="0.3">
      <c r="A190" s="23" t="s">
        <v>16</v>
      </c>
      <c r="B190" s="6" t="s">
        <v>17</v>
      </c>
      <c r="C190" s="1" t="s">
        <v>97</v>
      </c>
      <c r="D190" s="1" t="s">
        <v>15</v>
      </c>
      <c r="E190" s="3">
        <v>353842105377038</v>
      </c>
      <c r="F190" s="1" t="s">
        <v>589</v>
      </c>
      <c r="G190" s="5">
        <v>45631</v>
      </c>
      <c r="H190" s="4">
        <v>200</v>
      </c>
      <c r="I190" s="4"/>
      <c r="J190" s="5">
        <v>45777</v>
      </c>
      <c r="K190" s="58">
        <f>Таблица3[[#This Row],[OLINGAN NARXI $]]+Таблица3[[#This Row],[RASXOD]]</f>
        <v>0</v>
      </c>
      <c r="L190" s="4">
        <v>230</v>
      </c>
      <c r="M190" s="58">
        <v>30</v>
      </c>
      <c r="N190" s="6" t="s">
        <v>590</v>
      </c>
    </row>
    <row r="191" spans="1:14" x14ac:dyDescent="0.3">
      <c r="A191" s="23" t="s">
        <v>13</v>
      </c>
      <c r="B191" s="6" t="s">
        <v>1042</v>
      </c>
      <c r="C191" s="1" t="s">
        <v>21</v>
      </c>
      <c r="D191" s="1" t="s">
        <v>22</v>
      </c>
      <c r="E191" s="3">
        <v>357786473906108</v>
      </c>
      <c r="F191" s="1"/>
      <c r="G191" s="5">
        <v>45766</v>
      </c>
      <c r="H191" s="4">
        <v>190</v>
      </c>
      <c r="I191" s="4"/>
      <c r="J191" s="5">
        <v>45777</v>
      </c>
      <c r="K191" s="58">
        <f>Таблица3[[#This Row],[OLINGAN NARXI $]]+Таблица3[[#This Row],[RASXOD]]</f>
        <v>120</v>
      </c>
      <c r="L191" s="4">
        <v>260</v>
      </c>
      <c r="M191" s="4">
        <v>70</v>
      </c>
      <c r="N191" s="6" t="s">
        <v>1063</v>
      </c>
    </row>
    <row r="192" spans="1:14" x14ac:dyDescent="0.3">
      <c r="A192" s="23"/>
      <c r="B192" s="6"/>
      <c r="C192" s="1"/>
      <c r="D192" s="1"/>
      <c r="E192" s="3"/>
      <c r="F192" s="1"/>
      <c r="G192" s="5"/>
      <c r="H192" s="4"/>
      <c r="I192" s="4"/>
      <c r="J192" s="5"/>
      <c r="K192" s="58">
        <f>Таблица37589[[#This Row],[OLINGAN NARXI $]]+Таблица37589[[#This Row],[RASXOD]]</f>
        <v>0</v>
      </c>
      <c r="L192" s="4"/>
      <c r="M192" s="4">
        <f>Таблица37589[[#This Row],[SOTILGAN NARXI]]-Таблица37589[[#This Row],[OLINGAN NARXI $]]-Таблица37589[[#This Row],[RASXOD]]</f>
        <v>0</v>
      </c>
      <c r="N192" s="6"/>
    </row>
    <row r="193" spans="1:14" x14ac:dyDescent="0.3">
      <c r="A193" s="23"/>
      <c r="B193" s="22"/>
      <c r="C193" s="1"/>
      <c r="D193" s="1"/>
      <c r="E193" s="3"/>
      <c r="F193" s="1"/>
      <c r="G193" s="5"/>
      <c r="H193" s="4"/>
      <c r="I193" s="4"/>
      <c r="J193" s="5"/>
      <c r="K193" s="58">
        <f>Таблица37589[[#This Row],[OLINGAN NARXI $]]+Таблица37589[[#This Row],[RASXOD]]</f>
        <v>0</v>
      </c>
      <c r="L193" s="4"/>
      <c r="M193" s="4">
        <f>Таблица37589[[#This Row],[SOTILGAN NARXI]]-Таблица37589[[#This Row],[OLINGAN NARXI $]]-Таблица37589[[#This Row],[RASXOD]]</f>
        <v>0</v>
      </c>
      <c r="N193" s="6"/>
    </row>
    <row r="194" spans="1:14" x14ac:dyDescent="0.3">
      <c r="A194" s="23"/>
      <c r="B194" s="22"/>
      <c r="C194" s="1"/>
      <c r="D194" s="1"/>
      <c r="E194" s="3"/>
      <c r="F194" s="1"/>
      <c r="G194" s="5"/>
      <c r="H194" s="4"/>
      <c r="I194" s="4"/>
      <c r="J194" s="5"/>
      <c r="K194" s="58">
        <f>Таблица37589[[#This Row],[OLINGAN NARXI $]]+Таблица37589[[#This Row],[RASXOD]]</f>
        <v>0</v>
      </c>
      <c r="L194" s="4"/>
      <c r="M194" s="4">
        <f>Таблица37589[[#This Row],[SOTILGAN NARXI]]-Таблица37589[[#This Row],[OLINGAN NARXI $]]-Таблица37589[[#This Row],[RASXOD]]</f>
        <v>0</v>
      </c>
      <c r="N194" s="6"/>
    </row>
    <row r="195" spans="1:14" x14ac:dyDescent="0.3">
      <c r="A195" s="23"/>
      <c r="B195" s="22"/>
      <c r="C195" s="1"/>
      <c r="D195" s="1"/>
      <c r="E195" s="3"/>
      <c r="F195" s="1"/>
      <c r="G195" s="5"/>
      <c r="H195" s="4"/>
      <c r="I195" s="4"/>
      <c r="J195" s="5"/>
      <c r="K195" s="58">
        <f>Таблица37589[[#This Row],[OLINGAN NARXI $]]+Таблица37589[[#This Row],[RASXOD]]</f>
        <v>0</v>
      </c>
      <c r="L195" s="4"/>
      <c r="M195" s="4">
        <f>Таблица37589[[#This Row],[SOTILGAN NARXI]]-Таблица37589[[#This Row],[OLINGAN NARXI $]]-Таблица37589[[#This Row],[RASXOD]]</f>
        <v>0</v>
      </c>
      <c r="N195" s="6"/>
    </row>
    <row r="196" spans="1:14" x14ac:dyDescent="0.3">
      <c r="A196" s="23"/>
      <c r="B196" s="22"/>
      <c r="C196" s="1"/>
      <c r="D196" s="1"/>
      <c r="E196" s="3"/>
      <c r="F196" s="1"/>
      <c r="G196" s="5"/>
      <c r="H196" s="4"/>
      <c r="I196" s="4"/>
      <c r="J196" s="5"/>
      <c r="K196" s="58">
        <f>Таблица37589[[#This Row],[OLINGAN NARXI $]]+Таблица37589[[#This Row],[RASXOD]]</f>
        <v>0</v>
      </c>
      <c r="L196" s="4"/>
      <c r="M196" s="4">
        <f>Таблица37589[[#This Row],[SOTILGAN NARXI]]-Таблица37589[[#This Row],[OLINGAN NARXI $]]-Таблица37589[[#This Row],[RASXOD]]</f>
        <v>0</v>
      </c>
      <c r="N196" s="6"/>
    </row>
    <row r="197" spans="1:14" x14ac:dyDescent="0.3">
      <c r="A197" s="23"/>
      <c r="B197" s="6"/>
      <c r="C197" s="1"/>
      <c r="D197" s="1"/>
      <c r="E197" s="3"/>
      <c r="F197" s="1"/>
      <c r="G197" s="43"/>
      <c r="H197" s="1"/>
      <c r="I197" s="4"/>
      <c r="J197" s="5"/>
      <c r="K197" s="58">
        <f>Таблица37589[[#This Row],[OLINGAN NARXI $]]+Таблица37589[[#This Row],[RASXOD]]</f>
        <v>0</v>
      </c>
      <c r="L197" s="1"/>
      <c r="M197" s="58">
        <f>Таблица37589[[#This Row],[SOTILGAN NARXI]]-Таблица37589[[#This Row],[TAN NARXI]]</f>
        <v>0</v>
      </c>
      <c r="N197" s="6"/>
    </row>
    <row r="198" spans="1:14" x14ac:dyDescent="0.3">
      <c r="A198" s="23"/>
      <c r="B198" s="6"/>
      <c r="C198" s="1"/>
      <c r="D198" s="1"/>
      <c r="E198" s="34" t="s">
        <v>237</v>
      </c>
      <c r="F198" s="35" t="s">
        <v>238</v>
      </c>
      <c r="G198" s="43"/>
      <c r="H198" s="1"/>
      <c r="I198" s="4"/>
      <c r="J198" s="28"/>
      <c r="K198" s="58">
        <f>Таблица37589[[#This Row],[OLINGAN NARXI $]]+Таблица37589[[#This Row],[RASXOD]]</f>
        <v>0</v>
      </c>
      <c r="L198" s="1"/>
      <c r="M198" s="58">
        <f>Таблица37589[[#This Row],[SOTILGAN NARXI]]-Таблица37589[[#This Row],[TAN NARXI]]</f>
        <v>0</v>
      </c>
      <c r="N198" s="6"/>
    </row>
    <row r="199" spans="1:14" x14ac:dyDescent="0.3">
      <c r="A199" s="23"/>
      <c r="B199" s="6"/>
      <c r="C199" s="1"/>
      <c r="D199" s="1"/>
      <c r="E199" s="17" t="s">
        <v>974</v>
      </c>
      <c r="F199" s="18">
        <v>44</v>
      </c>
      <c r="G199" s="2"/>
      <c r="H199" s="1"/>
      <c r="I199" s="4"/>
      <c r="J199" s="28"/>
      <c r="K199" s="58">
        <f>Таблица37589[[#This Row],[OLINGAN NARXI $]]+Таблица37589[[#This Row],[RASXOD]]</f>
        <v>0</v>
      </c>
      <c r="L199" s="1"/>
      <c r="M199" s="58">
        <f>Таблица37589[[#This Row],[SOTILGAN NARXI]]-Таблица37589[[#This Row],[TAN NARXI]]</f>
        <v>0</v>
      </c>
      <c r="N199" s="6"/>
    </row>
    <row r="200" spans="1:14" x14ac:dyDescent="0.3">
      <c r="A200" s="23"/>
      <c r="B200" s="6"/>
      <c r="C200" s="1"/>
      <c r="D200" s="1"/>
      <c r="E200" s="17" t="s">
        <v>732</v>
      </c>
      <c r="F200" s="18">
        <v>322</v>
      </c>
      <c r="G200" s="2"/>
      <c r="H200" s="1"/>
      <c r="I200" s="4"/>
      <c r="J200" s="5"/>
      <c r="K200" s="58">
        <f>Таблица37589[[#This Row],[OLINGAN NARXI $]]+Таблица37589[[#This Row],[RASXOD]]</f>
        <v>0</v>
      </c>
      <c r="L200" s="1"/>
      <c r="M200" s="58">
        <f>Таблица37589[[#This Row],[SOTILGAN NARXI]]-Таблица37589[[#This Row],[TAN NARXI]]</f>
        <v>0</v>
      </c>
      <c r="N200" s="6"/>
    </row>
    <row r="201" spans="1:14" x14ac:dyDescent="0.3">
      <c r="A201" s="23"/>
      <c r="B201" s="6"/>
      <c r="C201" s="1"/>
      <c r="D201" s="1"/>
      <c r="E201" s="33" t="s">
        <v>1030</v>
      </c>
      <c r="F201" s="18">
        <v>600</v>
      </c>
      <c r="G201" s="2"/>
      <c r="H201" s="1"/>
      <c r="I201" s="4"/>
      <c r="J201" s="5"/>
      <c r="K201" s="58">
        <f>Таблица37589[[#This Row],[OLINGAN NARXI $]]+Таблица37589[[#This Row],[RASXOD]]</f>
        <v>0</v>
      </c>
      <c r="L201" s="1"/>
      <c r="M201" s="4">
        <f>Таблица37589[[#This Row],[SOTILGAN NARXI]]-Таблица37589[[#This Row],[OLINGAN NARXI $]]-Таблица37589[[#This Row],[RASXOD]]</f>
        <v>0</v>
      </c>
      <c r="N201" s="6"/>
    </row>
    <row r="202" spans="1:14" x14ac:dyDescent="0.3">
      <c r="A202" s="23"/>
      <c r="B202" s="6"/>
      <c r="C202" s="1"/>
      <c r="D202" s="1"/>
      <c r="E202" s="19" t="s">
        <v>1029</v>
      </c>
      <c r="F202" s="21">
        <v>180</v>
      </c>
      <c r="G202" s="2"/>
      <c r="H202" s="1"/>
      <c r="I202" s="4"/>
      <c r="J202" s="5"/>
      <c r="K202" s="58">
        <f>Таблица37589[[#This Row],[OLINGAN NARXI $]]+Таблица37589[[#This Row],[RASXOD]]</f>
        <v>0</v>
      </c>
      <c r="L202" s="1"/>
      <c r="M202" s="58">
        <f>Таблица37589[[#This Row],[SOTILGAN NARXI]]-Таблица37589[[#This Row],[TAN NARXI]]</f>
        <v>0</v>
      </c>
      <c r="N202" s="6"/>
    </row>
    <row r="203" spans="1:14" x14ac:dyDescent="0.3">
      <c r="A203" s="23"/>
      <c r="B203" s="6"/>
      <c r="C203" s="1"/>
      <c r="D203" s="1"/>
      <c r="E203" s="33" t="s">
        <v>975</v>
      </c>
      <c r="F203" s="18">
        <v>402</v>
      </c>
      <c r="G203" s="2"/>
      <c r="H203" s="1"/>
      <c r="I203" s="4"/>
      <c r="J203" s="5"/>
      <c r="K203" s="58">
        <f>Таблица37589[[#This Row],[OLINGAN NARXI $]]+Таблица37589[[#This Row],[RASXOD]]</f>
        <v>0</v>
      </c>
      <c r="L203" s="1"/>
      <c r="M203" s="58">
        <f>Таблица37589[[#This Row],[SOTILGAN NARXI]]-Таблица37589[[#This Row],[TAN NARXI]]</f>
        <v>0</v>
      </c>
      <c r="N203" s="6"/>
    </row>
    <row r="204" spans="1:14" x14ac:dyDescent="0.3">
      <c r="A204" s="23"/>
      <c r="B204" s="6"/>
      <c r="C204" s="1"/>
      <c r="D204" s="1"/>
      <c r="E204" s="19" t="s">
        <v>710</v>
      </c>
      <c r="F204" s="21">
        <v>700</v>
      </c>
      <c r="G204" s="2"/>
      <c r="H204" s="1"/>
      <c r="I204" s="4"/>
      <c r="J204" s="5"/>
      <c r="K204" s="58">
        <f>Таблица37589[[#This Row],[OLINGAN NARXI $]]+Таблица37589[[#This Row],[RASXOD]]</f>
        <v>0</v>
      </c>
      <c r="L204" s="1"/>
      <c r="M204" s="58">
        <f>Таблица37589[[#This Row],[SOTILGAN NARXI]]-Таблица37589[[#This Row],[TAN NARXI]]</f>
        <v>0</v>
      </c>
      <c r="N204" s="6"/>
    </row>
    <row r="205" spans="1:14" x14ac:dyDescent="0.3">
      <c r="A205" s="23"/>
      <c r="B205" s="6"/>
      <c r="C205" s="1"/>
      <c r="D205" s="1"/>
      <c r="E205" s="33"/>
      <c r="F205" s="21"/>
      <c r="G205" s="2"/>
      <c r="H205" s="1"/>
      <c r="I205" s="4"/>
      <c r="J205" s="5"/>
      <c r="K205" s="58">
        <f>Таблица37589[[#This Row],[OLINGAN NARXI $]]+Таблица37589[[#This Row],[RASXOD]]</f>
        <v>0</v>
      </c>
      <c r="L205" s="1"/>
      <c r="M205" s="58">
        <f>Таблица37589[[#This Row],[SOTILGAN NARXI]]-Таблица37589[[#This Row],[TAN NARXI]]</f>
        <v>0</v>
      </c>
      <c r="N205" s="6"/>
    </row>
    <row r="206" spans="1:14" x14ac:dyDescent="0.3">
      <c r="A206" s="23"/>
      <c r="B206" s="6"/>
      <c r="C206" s="1"/>
      <c r="D206" s="1"/>
      <c r="E206" s="33"/>
      <c r="F206" s="21"/>
      <c r="G206" s="2"/>
      <c r="H206" s="1"/>
      <c r="I206" s="4"/>
      <c r="J206" s="5"/>
      <c r="K206" s="58">
        <f>Таблица37589[[#This Row],[OLINGAN NARXI $]]+Таблица37589[[#This Row],[RASXOD]]</f>
        <v>0</v>
      </c>
      <c r="L206" s="1"/>
      <c r="M206" s="58">
        <f>Таблица37589[[#This Row],[SOTILGAN NARXI]]-Таблица37589[[#This Row],[TAN NARXI]]</f>
        <v>0</v>
      </c>
      <c r="N206" s="6"/>
    </row>
    <row r="207" spans="1:14" x14ac:dyDescent="0.3">
      <c r="A207" s="23"/>
      <c r="B207" s="6"/>
      <c r="C207" s="1"/>
      <c r="D207" s="1"/>
      <c r="E207" s="33"/>
      <c r="F207" s="21"/>
      <c r="G207" s="2"/>
      <c r="H207" s="1"/>
      <c r="I207" s="4"/>
      <c r="J207" s="5"/>
      <c r="K207" s="58">
        <f>Таблица37589[[#This Row],[OLINGAN NARXI $]]+Таблица37589[[#This Row],[RASXOD]]</f>
        <v>0</v>
      </c>
      <c r="L207" s="1"/>
      <c r="M207" s="58">
        <f>Таблица37589[[#This Row],[SOTILGAN NARXI]]-Таблица37589[[#This Row],[TAN NARXI]]</f>
        <v>0</v>
      </c>
      <c r="N207" s="6"/>
    </row>
    <row r="208" spans="1:14" x14ac:dyDescent="0.3">
      <c r="A208" s="23"/>
      <c r="B208" s="6"/>
      <c r="C208" s="1"/>
      <c r="D208" s="1"/>
      <c r="E208" s="33"/>
      <c r="F208" s="21"/>
      <c r="G208" s="2"/>
      <c r="H208" s="1"/>
      <c r="I208" s="4"/>
      <c r="J208" s="5"/>
      <c r="K208" s="58">
        <f>Таблица37589[[#This Row],[OLINGAN NARXI $]]+Таблица37589[[#This Row],[RASXOD]]</f>
        <v>0</v>
      </c>
      <c r="L208" s="1"/>
      <c r="M208" s="58">
        <f>Таблица37589[[#This Row],[SOTILGAN NARXI]]-Таблица37589[[#This Row],[TAN NARXI]]</f>
        <v>0</v>
      </c>
      <c r="N208" s="6"/>
    </row>
    <row r="209" spans="1:14" x14ac:dyDescent="0.3">
      <c r="A209" s="23"/>
      <c r="B209" s="6"/>
      <c r="C209" s="1"/>
      <c r="D209" s="1"/>
      <c r="E209" s="33"/>
      <c r="F209" s="21"/>
      <c r="G209" s="2"/>
      <c r="H209" s="1"/>
      <c r="I209" s="4"/>
      <c r="J209" s="5"/>
      <c r="K209" s="58">
        <f>Таблица37589[[#This Row],[OLINGAN NARXI $]]+Таблица37589[[#This Row],[RASXOD]]</f>
        <v>0</v>
      </c>
      <c r="L209" s="1"/>
      <c r="M209" s="58">
        <f>Таблица37589[[#This Row],[SOTILGAN NARXI]]-Таблица37589[[#This Row],[TAN NARXI]]</f>
        <v>0</v>
      </c>
      <c r="N209" s="6"/>
    </row>
    <row r="210" spans="1:14" x14ac:dyDescent="0.3">
      <c r="A210" s="23"/>
      <c r="B210" s="6"/>
      <c r="C210" s="1"/>
      <c r="D210" s="1"/>
      <c r="E210" s="19" t="s">
        <v>1032</v>
      </c>
      <c r="F210" s="21">
        <v>1775</v>
      </c>
      <c r="G210" s="2" t="s">
        <v>1127</v>
      </c>
      <c r="H210" s="1"/>
      <c r="I210" s="4"/>
      <c r="J210" s="5"/>
      <c r="K210" s="58">
        <f>Таблица37589[[#This Row],[OLINGAN NARXI $]]+Таблица37589[[#This Row],[RASXOD]]</f>
        <v>0</v>
      </c>
      <c r="L210" s="1"/>
      <c r="M210" s="58">
        <f>Таблица37589[[#This Row],[SOTILGAN NARXI]]-Таблица37589[[#This Row],[TAN NARXI]]</f>
        <v>0</v>
      </c>
      <c r="N210" s="6"/>
    </row>
    <row r="211" spans="1:14" x14ac:dyDescent="0.3">
      <c r="A211" s="23"/>
      <c r="B211" s="6"/>
      <c r="C211" s="1"/>
      <c r="D211" s="1"/>
      <c r="E211" s="33" t="s">
        <v>1031</v>
      </c>
      <c r="F211" s="21">
        <v>2080</v>
      </c>
      <c r="G211" s="2" t="s">
        <v>1126</v>
      </c>
      <c r="H211" s="1"/>
      <c r="I211" s="4"/>
      <c r="J211" s="28"/>
      <c r="K211" s="58">
        <f>Таблица37589[[#This Row],[OLINGAN NARXI $]]+Таблица37589[[#This Row],[RASXOD]]</f>
        <v>0</v>
      </c>
      <c r="L211" s="1"/>
      <c r="M211" s="58">
        <f>Таблица37589[[#This Row],[SOTILGAN NARXI]]-Таблица37589[[#This Row],[TAN NARXI]]</f>
        <v>0</v>
      </c>
      <c r="N211" s="6"/>
    </row>
    <row r="212" spans="1:14" x14ac:dyDescent="0.3">
      <c r="A212" s="23"/>
      <c r="B212" s="6"/>
      <c r="C212" s="1"/>
      <c r="D212" s="1"/>
      <c r="E212" s="19"/>
      <c r="F212" s="21"/>
      <c r="G212" s="2"/>
      <c r="H212" s="1"/>
      <c r="I212" s="4"/>
      <c r="J212" s="28"/>
      <c r="K212" s="58">
        <f>Таблица37589[[#This Row],[OLINGAN NARXI $]]+Таблица37589[[#This Row],[RASXOD]]</f>
        <v>0</v>
      </c>
      <c r="L212" s="1"/>
      <c r="M212" s="58">
        <f>Таблица37589[[#This Row],[SOTILGAN NARXI]]-Таблица37589[[#This Row],[TAN NARXI]]</f>
        <v>0</v>
      </c>
      <c r="N212" s="6"/>
    </row>
    <row r="213" spans="1:14" x14ac:dyDescent="0.3">
      <c r="A213" s="23"/>
      <c r="B213" s="6"/>
      <c r="C213" s="1"/>
      <c r="D213" s="1"/>
      <c r="E213" s="19"/>
      <c r="F213" s="21"/>
      <c r="G213" s="2"/>
      <c r="H213" s="1"/>
      <c r="I213" s="4"/>
      <c r="J213" s="28"/>
      <c r="K213" s="58">
        <f>Таблица37589[[#This Row],[OLINGAN NARXI $]]+Таблица37589[[#This Row],[RASXOD]]</f>
        <v>0</v>
      </c>
      <c r="L213" s="1"/>
      <c r="M213" s="58">
        <f>Таблица37589[[#This Row],[SOTILGAN NARXI]]-Таблица37589[[#This Row],[TAN NARXI]]</f>
        <v>0</v>
      </c>
      <c r="N213" s="6"/>
    </row>
    <row r="214" spans="1:14" x14ac:dyDescent="0.3">
      <c r="A214" s="23"/>
      <c r="B214" s="6"/>
      <c r="C214" s="1"/>
      <c r="D214" s="1"/>
      <c r="E214" s="33"/>
      <c r="F214" s="21"/>
      <c r="G214" s="2"/>
      <c r="H214" s="1"/>
      <c r="I214" s="4"/>
      <c r="J214" s="28"/>
      <c r="K214" s="58">
        <f>Таблица37589[[#This Row],[OLINGAN NARXI $]]+Таблица37589[[#This Row],[RASXOD]]</f>
        <v>0</v>
      </c>
      <c r="L214" s="1"/>
      <c r="M214" s="58">
        <f>Таблица37589[[#This Row],[SOTILGAN NARXI]]-Таблица37589[[#This Row],[TAN NARXI]]</f>
        <v>0</v>
      </c>
      <c r="N214" s="6"/>
    </row>
    <row r="215" spans="1:14" x14ac:dyDescent="0.3">
      <c r="A215" s="23"/>
      <c r="B215" s="6"/>
      <c r="C215" s="1"/>
      <c r="D215" s="1"/>
      <c r="E215" s="44" t="s">
        <v>981</v>
      </c>
      <c r="F215" s="45">
        <f>SUM(F199:F214)</f>
        <v>6103</v>
      </c>
      <c r="G215" s="2"/>
      <c r="H215" s="1"/>
      <c r="I215" s="4"/>
      <c r="J215" s="28"/>
      <c r="K215" s="58">
        <f>Таблица37589[[#This Row],[OLINGAN NARXI $]]+Таблица37589[[#This Row],[RASXOD]]</f>
        <v>0</v>
      </c>
      <c r="L215" s="1"/>
      <c r="M215" s="58">
        <f>Таблица37589[[#This Row],[SOTILGAN NARXI]]-Таблица37589[[#This Row],[TAN NARXI]]</f>
        <v>0</v>
      </c>
      <c r="N215" s="6"/>
    </row>
    <row r="216" spans="1:14" x14ac:dyDescent="0.3">
      <c r="A216" s="27"/>
      <c r="B216" s="12"/>
      <c r="C216" s="11"/>
      <c r="D216" s="46"/>
      <c r="E216" s="47"/>
      <c r="F216" s="48"/>
      <c r="G216" s="49"/>
      <c r="H216" s="14"/>
      <c r="I216" s="14">
        <f>SUBTOTAL(109,I2:I198)</f>
        <v>846</v>
      </c>
      <c r="J216" s="13"/>
      <c r="K216" s="59">
        <f>SUM(K2:K215)</f>
        <v>66977.209999999992</v>
      </c>
      <c r="L216" s="14">
        <f>SUM(L2:L215)</f>
        <v>85064</v>
      </c>
      <c r="M216" s="14">
        <f>SUBTOTAL(109,M2:M215)</f>
        <v>9381</v>
      </c>
      <c r="N216" s="71"/>
    </row>
    <row r="217" spans="1:14" x14ac:dyDescent="0.3">
      <c r="A217" s="23"/>
      <c r="B217" s="6"/>
      <c r="C217" s="1"/>
      <c r="D217" s="1"/>
      <c r="E217" s="23"/>
      <c r="F217" s="4"/>
      <c r="G217" s="5"/>
      <c r="H217" s="4"/>
      <c r="I217" s="4"/>
      <c r="J217" s="5"/>
      <c r="K217" s="58"/>
      <c r="L217" s="4"/>
      <c r="M217" s="4">
        <f>Таблица37589[[#This Row],[SOTILGAN NARXI]]-Таблица37589[[#This Row],[OLINGAN NARXI $]]-Таблица37589[[#This Row],[RASXOD]]</f>
        <v>0</v>
      </c>
      <c r="N217" s="6"/>
    </row>
    <row r="218" spans="1:14" x14ac:dyDescent="0.3">
      <c r="A218" s="23"/>
      <c r="B218" s="6"/>
      <c r="C218" s="1"/>
      <c r="D218" s="1"/>
      <c r="E218" s="23"/>
      <c r="F218" s="4"/>
      <c r="G218" s="5"/>
      <c r="H218" s="4"/>
      <c r="I218" s="4"/>
      <c r="J218" s="5"/>
      <c r="K218" s="58"/>
      <c r="L218" s="4"/>
      <c r="M218" s="4">
        <f>Таблица37589[[#This Row],[SOTILGAN NARXI]]-Таблица37589[[#This Row],[OLINGAN NARXI $]]-Таблица37589[[#This Row],[RASXOD]]</f>
        <v>0</v>
      </c>
      <c r="N218" s="6"/>
    </row>
    <row r="219" spans="1:14" x14ac:dyDescent="0.3">
      <c r="A219" s="23"/>
      <c r="B219" s="6"/>
      <c r="C219" s="1"/>
      <c r="D219" s="1"/>
      <c r="E219" s="23"/>
      <c r="F219" s="4"/>
      <c r="G219" s="5"/>
      <c r="H219" s="4"/>
      <c r="I219" s="4"/>
      <c r="J219" s="5"/>
      <c r="K219" s="58"/>
      <c r="L219" s="4"/>
      <c r="M219" s="4">
        <f>Таблица37589[[#This Row],[SOTILGAN NARXI]]-Таблица37589[[#This Row],[OLINGAN NARXI $]]-Таблица37589[[#This Row],[RASXOD]]</f>
        <v>0</v>
      </c>
      <c r="N219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B3843-CFDC-4E68-A55D-B3E22DF175E9}">
  <sheetPr codeName="Лист9"/>
  <dimension ref="A1:M140"/>
  <sheetViews>
    <sheetView topLeftCell="A88" zoomScale="70" zoomScaleNormal="70" workbookViewId="0">
      <selection activeCell="H102" sqref="H102"/>
    </sheetView>
  </sheetViews>
  <sheetFormatPr defaultRowHeight="14.4" x14ac:dyDescent="0.3"/>
  <cols>
    <col min="1" max="1" width="11.5546875" bestFit="1" customWidth="1"/>
    <col min="2" max="2" width="19" bestFit="1" customWidth="1"/>
    <col min="3" max="3" width="18.88671875" bestFit="1" customWidth="1"/>
    <col min="4" max="4" width="14.109375" bestFit="1" customWidth="1"/>
    <col min="5" max="5" width="17.33203125" bestFit="1" customWidth="1"/>
    <col min="6" max="6" width="36.6640625" bestFit="1" customWidth="1"/>
    <col min="7" max="7" width="34.5546875" bestFit="1" customWidth="1"/>
    <col min="8" max="8" width="21.6640625" bestFit="1" customWidth="1"/>
    <col min="9" max="9" width="15" bestFit="1" customWidth="1"/>
    <col min="10" max="10" width="21.88671875" bestFit="1" customWidth="1"/>
    <col min="11" max="11" width="22.6640625" bestFit="1" customWidth="1"/>
    <col min="12" max="12" width="13.5546875" bestFit="1" customWidth="1"/>
    <col min="13" max="13" width="31.5546875" customWidth="1"/>
  </cols>
  <sheetData>
    <row r="1" spans="1:13" x14ac:dyDescent="0.3">
      <c r="A1" s="1" t="s">
        <v>0</v>
      </c>
      <c r="B1" s="6" t="s">
        <v>2</v>
      </c>
      <c r="C1" s="1" t="s">
        <v>1</v>
      </c>
      <c r="D1" s="1" t="s">
        <v>3</v>
      </c>
      <c r="E1" s="3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10</v>
      </c>
      <c r="K1" s="1" t="s">
        <v>9</v>
      </c>
      <c r="L1" s="1" t="s">
        <v>11</v>
      </c>
      <c r="M1" s="1" t="s">
        <v>12</v>
      </c>
    </row>
    <row r="2" spans="1:13" s="56" customFormat="1" x14ac:dyDescent="0.3">
      <c r="A2" s="50" t="s">
        <v>16</v>
      </c>
      <c r="B2" s="51" t="s">
        <v>312</v>
      </c>
      <c r="C2" s="52" t="s">
        <v>65</v>
      </c>
      <c r="D2" s="52" t="s">
        <v>22</v>
      </c>
      <c r="E2" s="53">
        <v>350019049185230</v>
      </c>
      <c r="F2" s="52"/>
      <c r="G2" s="54">
        <v>45715</v>
      </c>
      <c r="H2" s="55">
        <v>412</v>
      </c>
      <c r="I2" s="55"/>
      <c r="J2" s="54">
        <v>45717</v>
      </c>
      <c r="K2" s="55">
        <v>460</v>
      </c>
      <c r="L2" s="55">
        <v>48</v>
      </c>
      <c r="M2" s="51" t="s">
        <v>877</v>
      </c>
    </row>
    <row r="3" spans="1:13" x14ac:dyDescent="0.3">
      <c r="A3" s="23" t="s">
        <v>16</v>
      </c>
      <c r="B3" s="6" t="s">
        <v>831</v>
      </c>
      <c r="C3" s="1" t="s">
        <v>21</v>
      </c>
      <c r="D3" s="1" t="s">
        <v>15</v>
      </c>
      <c r="E3" s="3">
        <v>356450108778140</v>
      </c>
      <c r="F3" s="1" t="s">
        <v>856</v>
      </c>
      <c r="G3" s="5">
        <v>45702</v>
      </c>
      <c r="H3" s="4">
        <v>123</v>
      </c>
      <c r="I3" s="4"/>
      <c r="J3" s="5">
        <v>45717</v>
      </c>
      <c r="K3" s="4">
        <v>140</v>
      </c>
      <c r="L3" s="4">
        <v>17</v>
      </c>
      <c r="M3" s="6" t="s">
        <v>857</v>
      </c>
    </row>
    <row r="4" spans="1:13" s="56" customFormat="1" x14ac:dyDescent="0.3">
      <c r="A4" s="50" t="s">
        <v>16</v>
      </c>
      <c r="B4" s="51" t="s">
        <v>81</v>
      </c>
      <c r="C4" s="52" t="s">
        <v>65</v>
      </c>
      <c r="D4" s="52" t="s">
        <v>15</v>
      </c>
      <c r="E4" s="53">
        <v>359663606878835</v>
      </c>
      <c r="F4" s="52" t="s">
        <v>556</v>
      </c>
      <c r="G4" s="54">
        <v>45715</v>
      </c>
      <c r="H4" s="55">
        <v>320</v>
      </c>
      <c r="I4" s="55"/>
      <c r="J4" s="54">
        <v>45717</v>
      </c>
      <c r="K4" s="55">
        <v>360</v>
      </c>
      <c r="L4" s="55">
        <v>40</v>
      </c>
      <c r="M4" s="51" t="s">
        <v>880</v>
      </c>
    </row>
    <row r="5" spans="1:13" x14ac:dyDescent="0.3">
      <c r="A5" s="23" t="s">
        <v>16</v>
      </c>
      <c r="B5" s="25" t="s">
        <v>83</v>
      </c>
      <c r="C5" s="1" t="s">
        <v>21</v>
      </c>
      <c r="D5" s="1" t="s">
        <v>15</v>
      </c>
      <c r="E5" s="3">
        <v>350367275942554</v>
      </c>
      <c r="F5" s="1"/>
      <c r="G5" s="5">
        <v>45687</v>
      </c>
      <c r="H5" s="4">
        <v>410</v>
      </c>
      <c r="I5" s="4"/>
      <c r="J5" s="5">
        <v>45717</v>
      </c>
      <c r="K5" s="4">
        <v>500</v>
      </c>
      <c r="L5" s="4">
        <v>90</v>
      </c>
      <c r="M5" s="6" t="s">
        <v>811</v>
      </c>
    </row>
    <row r="6" spans="1:13" x14ac:dyDescent="0.3">
      <c r="A6" s="23" t="s">
        <v>16</v>
      </c>
      <c r="B6" s="6" t="s">
        <v>772</v>
      </c>
      <c r="C6" s="1" t="s">
        <v>26</v>
      </c>
      <c r="D6" s="1" t="s">
        <v>22</v>
      </c>
      <c r="E6" s="3">
        <v>355361725633710</v>
      </c>
      <c r="F6" s="1" t="s">
        <v>27</v>
      </c>
      <c r="G6" s="5">
        <v>45715</v>
      </c>
      <c r="H6" s="4">
        <v>630</v>
      </c>
      <c r="I6" s="4"/>
      <c r="J6" s="5">
        <v>45717</v>
      </c>
      <c r="K6" s="4">
        <v>675</v>
      </c>
      <c r="L6" s="4">
        <v>45</v>
      </c>
      <c r="M6" s="6" t="s">
        <v>877</v>
      </c>
    </row>
    <row r="7" spans="1:13" x14ac:dyDescent="0.3">
      <c r="A7" s="23" t="s">
        <v>16</v>
      </c>
      <c r="B7" s="6" t="s">
        <v>448</v>
      </c>
      <c r="C7" s="1" t="s">
        <v>65</v>
      </c>
      <c r="D7" s="1" t="s">
        <v>15</v>
      </c>
      <c r="E7" s="3">
        <v>356699118685253</v>
      </c>
      <c r="F7" s="1"/>
      <c r="G7" s="5">
        <v>45698</v>
      </c>
      <c r="H7" s="4">
        <v>280</v>
      </c>
      <c r="I7" s="4"/>
      <c r="J7" s="5">
        <v>45717</v>
      </c>
      <c r="K7" s="4">
        <v>400</v>
      </c>
      <c r="L7" s="4">
        <v>120</v>
      </c>
      <c r="M7" s="6">
        <v>993131300</v>
      </c>
    </row>
    <row r="8" spans="1:13" x14ac:dyDescent="0.3">
      <c r="A8" s="23" t="s">
        <v>16</v>
      </c>
      <c r="B8" s="6" t="s">
        <v>692</v>
      </c>
      <c r="C8" s="1" t="s">
        <v>65</v>
      </c>
      <c r="D8" s="1" t="s">
        <v>22</v>
      </c>
      <c r="E8" s="3">
        <v>356553313826396</v>
      </c>
      <c r="F8" s="1"/>
      <c r="G8" s="5">
        <v>45717</v>
      </c>
      <c r="H8" s="4">
        <v>700</v>
      </c>
      <c r="I8" s="4"/>
      <c r="J8" s="5">
        <v>45717</v>
      </c>
      <c r="K8" s="4">
        <v>770</v>
      </c>
      <c r="L8" s="4">
        <v>70</v>
      </c>
      <c r="M8" s="6" t="s">
        <v>886</v>
      </c>
    </row>
    <row r="9" spans="1:13" x14ac:dyDescent="0.3">
      <c r="A9" s="23" t="s">
        <v>13</v>
      </c>
      <c r="B9" s="6" t="s">
        <v>455</v>
      </c>
      <c r="C9" s="1" t="s">
        <v>21</v>
      </c>
      <c r="D9" s="1" t="s">
        <v>15</v>
      </c>
      <c r="E9" s="3">
        <v>352412371032971</v>
      </c>
      <c r="F9" s="1"/>
      <c r="G9" s="5">
        <v>45717</v>
      </c>
      <c r="H9" s="4">
        <v>270</v>
      </c>
      <c r="I9" s="4">
        <v>25</v>
      </c>
      <c r="J9" s="5">
        <v>45718</v>
      </c>
      <c r="K9" s="4">
        <v>330</v>
      </c>
      <c r="L9" s="4">
        <v>35</v>
      </c>
      <c r="M9" s="6" t="s">
        <v>147</v>
      </c>
    </row>
    <row r="10" spans="1:13" x14ac:dyDescent="0.3">
      <c r="A10" s="23" t="s">
        <v>13</v>
      </c>
      <c r="B10" s="6" t="s">
        <v>117</v>
      </c>
      <c r="C10" s="1" t="s">
        <v>21</v>
      </c>
      <c r="D10" s="1" t="s">
        <v>15</v>
      </c>
      <c r="E10" s="3">
        <v>357450460879683</v>
      </c>
      <c r="F10" s="1"/>
      <c r="G10" s="5">
        <v>45707</v>
      </c>
      <c r="H10" s="4">
        <v>205</v>
      </c>
      <c r="I10" s="4">
        <v>23</v>
      </c>
      <c r="J10" s="5">
        <v>45718</v>
      </c>
      <c r="K10" s="4">
        <v>270</v>
      </c>
      <c r="L10" s="4">
        <v>42</v>
      </c>
      <c r="M10" s="6" t="s">
        <v>147</v>
      </c>
    </row>
    <row r="11" spans="1:13" x14ac:dyDescent="0.3">
      <c r="A11" s="23" t="s">
        <v>16</v>
      </c>
      <c r="B11" s="6" t="s">
        <v>407</v>
      </c>
      <c r="C11" s="1" t="s">
        <v>21</v>
      </c>
      <c r="D11" s="1" t="s">
        <v>22</v>
      </c>
      <c r="E11" s="3">
        <v>5252</v>
      </c>
      <c r="F11" s="1"/>
      <c r="G11" s="5">
        <v>45685</v>
      </c>
      <c r="H11" s="4">
        <v>220</v>
      </c>
      <c r="I11" s="4"/>
      <c r="J11" s="5">
        <v>45718</v>
      </c>
      <c r="K11" s="4">
        <v>230</v>
      </c>
      <c r="L11" s="4">
        <v>30</v>
      </c>
      <c r="M11" s="6"/>
    </row>
    <row r="12" spans="1:13" x14ac:dyDescent="0.3">
      <c r="A12" s="23" t="s">
        <v>207</v>
      </c>
      <c r="B12" s="6" t="s">
        <v>862</v>
      </c>
      <c r="C12" s="1" t="s">
        <v>21</v>
      </c>
      <c r="D12" s="1" t="s">
        <v>22</v>
      </c>
      <c r="E12" s="3"/>
      <c r="F12" s="1"/>
      <c r="G12" s="5">
        <v>45711</v>
      </c>
      <c r="H12" s="4">
        <v>160</v>
      </c>
      <c r="I12" s="4"/>
      <c r="J12" s="5">
        <v>45718</v>
      </c>
      <c r="K12" s="4">
        <v>200</v>
      </c>
      <c r="L12" s="4">
        <v>40</v>
      </c>
      <c r="M12" s="6" t="s">
        <v>787</v>
      </c>
    </row>
    <row r="13" spans="1:13" x14ac:dyDescent="0.3">
      <c r="A13" s="23" t="s">
        <v>13</v>
      </c>
      <c r="B13" s="6" t="s">
        <v>117</v>
      </c>
      <c r="C13" s="1" t="s">
        <v>18</v>
      </c>
      <c r="D13" s="1" t="s">
        <v>15</v>
      </c>
      <c r="E13" s="3">
        <v>352019420604872</v>
      </c>
      <c r="F13" s="1"/>
      <c r="G13" s="5">
        <v>45707</v>
      </c>
      <c r="H13" s="4">
        <v>360</v>
      </c>
      <c r="I13" s="4">
        <v>23</v>
      </c>
      <c r="J13" s="5">
        <v>45718</v>
      </c>
      <c r="K13" s="4">
        <v>443</v>
      </c>
      <c r="L13" s="4">
        <v>60</v>
      </c>
      <c r="M13" s="6" t="s">
        <v>147</v>
      </c>
    </row>
    <row r="14" spans="1:13" x14ac:dyDescent="0.3">
      <c r="A14" s="23" t="s">
        <v>16</v>
      </c>
      <c r="B14" s="6" t="s">
        <v>448</v>
      </c>
      <c r="C14" s="1" t="s">
        <v>21</v>
      </c>
      <c r="D14" s="1" t="s">
        <v>22</v>
      </c>
      <c r="E14" s="3">
        <v>354794865390520</v>
      </c>
      <c r="F14" s="1"/>
      <c r="G14" s="5">
        <v>45650</v>
      </c>
      <c r="H14" s="4">
        <v>290</v>
      </c>
      <c r="I14" s="4">
        <v>18</v>
      </c>
      <c r="J14" s="5">
        <v>45718</v>
      </c>
      <c r="K14" s="4">
        <v>370</v>
      </c>
      <c r="L14" s="4">
        <v>62</v>
      </c>
      <c r="M14" s="6" t="s">
        <v>147</v>
      </c>
    </row>
    <row r="15" spans="1:13" x14ac:dyDescent="0.3">
      <c r="A15" s="23" t="s">
        <v>16</v>
      </c>
      <c r="B15" s="6" t="s">
        <v>448</v>
      </c>
      <c r="C15" s="1" t="s">
        <v>18</v>
      </c>
      <c r="D15" s="1" t="s">
        <v>15</v>
      </c>
      <c r="E15" s="3">
        <v>352622997839258</v>
      </c>
      <c r="F15" s="1" t="s">
        <v>805</v>
      </c>
      <c r="G15" s="5">
        <v>45684</v>
      </c>
      <c r="H15" s="4">
        <v>210</v>
      </c>
      <c r="I15" s="4"/>
      <c r="J15" s="5">
        <v>45718</v>
      </c>
      <c r="K15" s="4">
        <v>330</v>
      </c>
      <c r="L15" s="4">
        <v>120</v>
      </c>
      <c r="M15" s="6" t="s">
        <v>806</v>
      </c>
    </row>
    <row r="16" spans="1:13" x14ac:dyDescent="0.3">
      <c r="A16" s="23" t="s">
        <v>16</v>
      </c>
      <c r="B16" s="6" t="s">
        <v>692</v>
      </c>
      <c r="C16" s="1" t="s">
        <v>26</v>
      </c>
      <c r="D16" s="1" t="s">
        <v>22</v>
      </c>
      <c r="E16" s="3">
        <v>359960731183143</v>
      </c>
      <c r="F16" s="1"/>
      <c r="G16" s="5">
        <v>45712</v>
      </c>
      <c r="H16" s="4">
        <v>830</v>
      </c>
      <c r="I16" s="4"/>
      <c r="J16" s="5">
        <v>45718</v>
      </c>
      <c r="K16" s="4">
        <v>890</v>
      </c>
      <c r="L16" s="4">
        <v>60</v>
      </c>
      <c r="M16" s="6" t="s">
        <v>863</v>
      </c>
    </row>
    <row r="17" spans="1:13" x14ac:dyDescent="0.3">
      <c r="A17" s="23" t="s">
        <v>16</v>
      </c>
      <c r="B17" s="6" t="s">
        <v>518</v>
      </c>
      <c r="C17" s="1" t="s">
        <v>26</v>
      </c>
      <c r="D17" s="1" t="s">
        <v>22</v>
      </c>
      <c r="E17" s="3">
        <v>356553310455009</v>
      </c>
      <c r="F17" s="1"/>
      <c r="G17" s="5">
        <v>45715</v>
      </c>
      <c r="H17" s="4">
        <v>850</v>
      </c>
      <c r="I17" s="4"/>
      <c r="J17" s="5">
        <v>45718</v>
      </c>
      <c r="K17" s="4">
        <v>910</v>
      </c>
      <c r="L17" s="4">
        <v>60</v>
      </c>
      <c r="M17" s="6" t="s">
        <v>262</v>
      </c>
    </row>
    <row r="18" spans="1:13" x14ac:dyDescent="0.3">
      <c r="A18" s="23" t="s">
        <v>16</v>
      </c>
      <c r="B18" s="6" t="s">
        <v>312</v>
      </c>
      <c r="C18" s="1" t="s">
        <v>65</v>
      </c>
      <c r="D18" s="1" t="s">
        <v>15</v>
      </c>
      <c r="E18" s="3">
        <v>355908669434867</v>
      </c>
      <c r="F18" s="1"/>
      <c r="G18" s="5">
        <v>45650</v>
      </c>
      <c r="H18" s="4">
        <v>480</v>
      </c>
      <c r="I18" s="4">
        <v>20</v>
      </c>
      <c r="J18" s="5">
        <v>45718</v>
      </c>
      <c r="K18" s="4">
        <v>550</v>
      </c>
      <c r="L18" s="4">
        <v>50</v>
      </c>
      <c r="M18" s="6" t="s">
        <v>147</v>
      </c>
    </row>
    <row r="19" spans="1:13" s="56" customFormat="1" x14ac:dyDescent="0.3">
      <c r="A19" s="50" t="s">
        <v>16</v>
      </c>
      <c r="B19" s="51" t="s">
        <v>486</v>
      </c>
      <c r="C19" s="52" t="s">
        <v>21</v>
      </c>
      <c r="D19" s="52" t="s">
        <v>22</v>
      </c>
      <c r="E19" s="53">
        <v>357270095106231</v>
      </c>
      <c r="F19" s="52" t="s">
        <v>556</v>
      </c>
      <c r="G19" s="54">
        <v>45718</v>
      </c>
      <c r="H19" s="55">
        <v>112</v>
      </c>
      <c r="I19" s="55"/>
      <c r="J19" s="54">
        <v>45719</v>
      </c>
      <c r="K19" s="55">
        <v>167</v>
      </c>
      <c r="L19" s="55">
        <v>55</v>
      </c>
      <c r="M19" s="51" t="s">
        <v>889</v>
      </c>
    </row>
    <row r="20" spans="1:13" x14ac:dyDescent="0.3">
      <c r="A20" s="23" t="s">
        <v>16</v>
      </c>
      <c r="B20" s="6" t="s">
        <v>772</v>
      </c>
      <c r="C20" s="1" t="s">
        <v>26</v>
      </c>
      <c r="D20" s="1" t="s">
        <v>22</v>
      </c>
      <c r="E20" s="3">
        <v>350020988046458</v>
      </c>
      <c r="F20" s="1" t="s">
        <v>556</v>
      </c>
      <c r="G20" s="5">
        <v>45690</v>
      </c>
      <c r="H20" s="4">
        <v>550</v>
      </c>
      <c r="I20" s="4">
        <v>23</v>
      </c>
      <c r="J20" s="5">
        <v>45720</v>
      </c>
      <c r="K20" s="4">
        <v>620</v>
      </c>
      <c r="L20" s="4">
        <v>47</v>
      </c>
      <c r="M20" s="6" t="s">
        <v>262</v>
      </c>
    </row>
    <row r="21" spans="1:13" x14ac:dyDescent="0.3">
      <c r="A21" s="23" t="s">
        <v>16</v>
      </c>
      <c r="B21" s="6" t="s">
        <v>552</v>
      </c>
      <c r="C21" s="1" t="s">
        <v>97</v>
      </c>
      <c r="D21" s="1" t="s">
        <v>15</v>
      </c>
      <c r="E21" s="3">
        <v>353829104240093</v>
      </c>
      <c r="F21" s="1"/>
      <c r="G21" s="5">
        <v>45714</v>
      </c>
      <c r="H21" s="4">
        <v>180</v>
      </c>
      <c r="I21" s="4"/>
      <c r="J21" s="5">
        <v>45720</v>
      </c>
      <c r="K21" s="4">
        <v>230</v>
      </c>
      <c r="L21" s="4">
        <v>50</v>
      </c>
      <c r="M21" s="6" t="s">
        <v>868</v>
      </c>
    </row>
    <row r="22" spans="1:13" x14ac:dyDescent="0.3">
      <c r="A22" s="23" t="s">
        <v>13</v>
      </c>
      <c r="B22" s="6" t="s">
        <v>563</v>
      </c>
      <c r="C22" s="1" t="s">
        <v>97</v>
      </c>
      <c r="D22" s="1" t="s">
        <v>15</v>
      </c>
      <c r="E22" s="3">
        <v>351562313915773</v>
      </c>
      <c r="F22" s="1"/>
      <c r="G22" s="5">
        <v>45706</v>
      </c>
      <c r="H22" s="4">
        <v>405</v>
      </c>
      <c r="I22" s="4"/>
      <c r="J22" s="5">
        <v>45720</v>
      </c>
      <c r="K22" s="4">
        <v>434</v>
      </c>
      <c r="L22" s="4">
        <v>29</v>
      </c>
      <c r="M22" s="6" t="s">
        <v>19</v>
      </c>
    </row>
    <row r="23" spans="1:13" x14ac:dyDescent="0.3">
      <c r="A23" s="23" t="s">
        <v>16</v>
      </c>
      <c r="B23" s="6" t="s">
        <v>767</v>
      </c>
      <c r="C23" s="1" t="s">
        <v>257</v>
      </c>
      <c r="D23" s="1" t="s">
        <v>15</v>
      </c>
      <c r="E23" s="3">
        <v>357988120359646</v>
      </c>
      <c r="F23" s="1"/>
      <c r="G23" s="5">
        <v>45720</v>
      </c>
      <c r="H23" s="4">
        <v>900</v>
      </c>
      <c r="I23" s="4"/>
      <c r="J23" s="5">
        <v>45720</v>
      </c>
      <c r="K23" s="4">
        <v>960</v>
      </c>
      <c r="L23" s="4">
        <v>60</v>
      </c>
      <c r="M23" s="6" t="s">
        <v>892</v>
      </c>
    </row>
    <row r="24" spans="1:13" s="56" customFormat="1" x14ac:dyDescent="0.3">
      <c r="A24" s="50" t="s">
        <v>16</v>
      </c>
      <c r="B24" s="51" t="s">
        <v>772</v>
      </c>
      <c r="C24" s="52" t="s">
        <v>26</v>
      </c>
      <c r="D24" s="52" t="s">
        <v>22</v>
      </c>
      <c r="E24" s="53">
        <v>355663600982728</v>
      </c>
      <c r="F24" s="52"/>
      <c r="G24" s="54">
        <v>45720</v>
      </c>
      <c r="H24" s="55">
        <v>750</v>
      </c>
      <c r="I24" s="55"/>
      <c r="J24" s="54">
        <v>45722</v>
      </c>
      <c r="K24" s="55">
        <v>820</v>
      </c>
      <c r="L24" s="55">
        <v>70</v>
      </c>
      <c r="M24" s="51" t="s">
        <v>893</v>
      </c>
    </row>
    <row r="25" spans="1:13" x14ac:dyDescent="0.3">
      <c r="A25" s="23" t="s">
        <v>13</v>
      </c>
      <c r="B25" s="6" t="s">
        <v>121</v>
      </c>
      <c r="C25" s="1" t="s">
        <v>217</v>
      </c>
      <c r="D25" s="1" t="s">
        <v>15</v>
      </c>
      <c r="E25" s="3">
        <v>359008930546114</v>
      </c>
      <c r="F25" s="1"/>
      <c r="G25" s="5">
        <v>45717</v>
      </c>
      <c r="H25" s="4">
        <v>270</v>
      </c>
      <c r="I25" s="4"/>
      <c r="J25" s="5">
        <v>45722</v>
      </c>
      <c r="K25" s="4">
        <v>310</v>
      </c>
      <c r="L25" s="4">
        <v>40</v>
      </c>
      <c r="M25" s="6" t="s">
        <v>147</v>
      </c>
    </row>
    <row r="26" spans="1:13" x14ac:dyDescent="0.3">
      <c r="A26" s="23" t="s">
        <v>16</v>
      </c>
      <c r="B26" s="6" t="s">
        <v>81</v>
      </c>
      <c r="C26" s="1" t="s">
        <v>65</v>
      </c>
      <c r="D26" s="1" t="s">
        <v>15</v>
      </c>
      <c r="E26" s="3">
        <v>354073552888710</v>
      </c>
      <c r="F26" s="1"/>
      <c r="G26" s="5">
        <v>45716</v>
      </c>
      <c r="H26" s="4">
        <v>390</v>
      </c>
      <c r="I26" s="4"/>
      <c r="J26" s="5">
        <v>45722</v>
      </c>
      <c r="K26" s="4">
        <v>420</v>
      </c>
      <c r="L26" s="4">
        <v>30</v>
      </c>
      <c r="M26" s="6" t="s">
        <v>882</v>
      </c>
    </row>
    <row r="27" spans="1:13" s="56" customFormat="1" x14ac:dyDescent="0.3">
      <c r="A27" s="50" t="s">
        <v>13</v>
      </c>
      <c r="B27" s="51" t="s">
        <v>853</v>
      </c>
      <c r="C27" s="52" t="s">
        <v>21</v>
      </c>
      <c r="D27" s="52" t="s">
        <v>22</v>
      </c>
      <c r="E27" s="53">
        <v>353249143423636</v>
      </c>
      <c r="F27" s="52"/>
      <c r="G27" s="54">
        <v>45701</v>
      </c>
      <c r="H27" s="55">
        <v>200</v>
      </c>
      <c r="I27" s="55"/>
      <c r="J27" s="54">
        <v>45722</v>
      </c>
      <c r="K27" s="55">
        <v>285</v>
      </c>
      <c r="L27" s="55">
        <v>85</v>
      </c>
      <c r="M27" s="51" t="s">
        <v>854</v>
      </c>
    </row>
    <row r="28" spans="1:13" x14ac:dyDescent="0.3">
      <c r="A28" s="23" t="s">
        <v>16</v>
      </c>
      <c r="B28" s="6" t="s">
        <v>552</v>
      </c>
      <c r="C28" s="1" t="s">
        <v>97</v>
      </c>
      <c r="D28" s="1" t="s">
        <v>15</v>
      </c>
      <c r="E28" s="3">
        <v>353833106329235</v>
      </c>
      <c r="F28" s="1"/>
      <c r="G28" s="5">
        <v>45650</v>
      </c>
      <c r="H28" s="4">
        <v>200</v>
      </c>
      <c r="I28" s="4">
        <v>18</v>
      </c>
      <c r="J28" s="5">
        <v>45723</v>
      </c>
      <c r="K28" s="4">
        <v>230</v>
      </c>
      <c r="L28" s="4">
        <v>12</v>
      </c>
      <c r="M28" s="6" t="s">
        <v>147</v>
      </c>
    </row>
    <row r="29" spans="1:13" x14ac:dyDescent="0.3">
      <c r="A29" s="23" t="s">
        <v>16</v>
      </c>
      <c r="B29" s="6" t="s">
        <v>129</v>
      </c>
      <c r="C29" s="1" t="s">
        <v>97</v>
      </c>
      <c r="D29" s="1" t="s">
        <v>15</v>
      </c>
      <c r="E29" s="3">
        <v>351786563672848</v>
      </c>
      <c r="F29" s="1"/>
      <c r="G29" s="5">
        <v>45669</v>
      </c>
      <c r="H29" s="4">
        <v>470</v>
      </c>
      <c r="I29" s="4"/>
      <c r="J29" s="5">
        <v>45723</v>
      </c>
      <c r="K29" s="4">
        <v>590</v>
      </c>
      <c r="L29" s="4">
        <v>120</v>
      </c>
      <c r="M29" s="6" t="s">
        <v>737</v>
      </c>
    </row>
    <row r="30" spans="1:13" x14ac:dyDescent="0.3">
      <c r="A30" s="23" t="s">
        <v>16</v>
      </c>
      <c r="B30" s="6" t="s">
        <v>680</v>
      </c>
      <c r="C30" s="1" t="s">
        <v>107</v>
      </c>
      <c r="D30" s="1" t="s">
        <v>15</v>
      </c>
      <c r="E30" s="3">
        <v>357711644408990</v>
      </c>
      <c r="F30" s="1"/>
      <c r="G30" s="5">
        <v>45715</v>
      </c>
      <c r="H30" s="4">
        <v>220</v>
      </c>
      <c r="I30" s="4"/>
      <c r="J30" s="5">
        <v>45723</v>
      </c>
      <c r="K30" s="4">
        <v>270</v>
      </c>
      <c r="L30" s="4">
        <v>50</v>
      </c>
      <c r="M30" s="6" t="s">
        <v>881</v>
      </c>
    </row>
    <row r="31" spans="1:13" x14ac:dyDescent="0.3">
      <c r="A31" s="23" t="s">
        <v>16</v>
      </c>
      <c r="B31" s="6" t="s">
        <v>831</v>
      </c>
      <c r="C31" s="1" t="s">
        <v>21</v>
      </c>
      <c r="D31" s="1" t="s">
        <v>15</v>
      </c>
      <c r="E31" s="3">
        <v>353083102229951</v>
      </c>
      <c r="F31" s="1" t="s">
        <v>897</v>
      </c>
      <c r="G31" s="5">
        <v>45722</v>
      </c>
      <c r="H31" s="4">
        <v>70</v>
      </c>
      <c r="I31" s="4"/>
      <c r="J31" s="5">
        <v>45723</v>
      </c>
      <c r="K31" s="4">
        <v>130</v>
      </c>
      <c r="L31" s="4">
        <v>60</v>
      </c>
      <c r="M31" s="6" t="s">
        <v>898</v>
      </c>
    </row>
    <row r="32" spans="1:13" x14ac:dyDescent="0.3">
      <c r="A32" s="23" t="s">
        <v>142</v>
      </c>
      <c r="B32" s="6" t="s">
        <v>527</v>
      </c>
      <c r="C32" s="1" t="s">
        <v>21</v>
      </c>
      <c r="D32" s="1" t="s">
        <v>15</v>
      </c>
      <c r="E32" s="3">
        <v>864496059520820</v>
      </c>
      <c r="F32" s="1"/>
      <c r="G32" s="5">
        <v>45623</v>
      </c>
      <c r="H32" s="4">
        <v>55</v>
      </c>
      <c r="I32" s="4"/>
      <c r="J32" s="5">
        <v>45724</v>
      </c>
      <c r="K32" s="4">
        <v>100</v>
      </c>
      <c r="L32" s="4">
        <v>45</v>
      </c>
      <c r="M32" s="6" t="s">
        <v>528</v>
      </c>
    </row>
    <row r="33" spans="1:13" x14ac:dyDescent="0.3">
      <c r="A33" s="23" t="s">
        <v>16</v>
      </c>
      <c r="B33" s="6" t="s">
        <v>772</v>
      </c>
      <c r="C33" s="1" t="s">
        <v>26</v>
      </c>
      <c r="D33" s="1" t="s">
        <v>22</v>
      </c>
      <c r="E33" s="3">
        <v>353281479020439</v>
      </c>
      <c r="F33" s="1"/>
      <c r="G33" s="5">
        <v>45677</v>
      </c>
      <c r="H33" s="4">
        <v>700</v>
      </c>
      <c r="I33" s="4"/>
      <c r="J33" s="5">
        <v>45724</v>
      </c>
      <c r="K33" s="4">
        <v>750</v>
      </c>
      <c r="L33" s="4">
        <v>50</v>
      </c>
      <c r="M33" s="6" t="s">
        <v>773</v>
      </c>
    </row>
    <row r="34" spans="1:13" x14ac:dyDescent="0.3">
      <c r="A34" s="23" t="s">
        <v>16</v>
      </c>
      <c r="B34" s="6" t="s">
        <v>81</v>
      </c>
      <c r="C34" s="1" t="s">
        <v>65</v>
      </c>
      <c r="D34" s="1" t="s">
        <v>22</v>
      </c>
      <c r="E34" s="3">
        <v>354071153457638</v>
      </c>
      <c r="F34" s="1" t="s">
        <v>834</v>
      </c>
      <c r="G34" s="5">
        <v>45691</v>
      </c>
      <c r="H34" s="4">
        <v>400</v>
      </c>
      <c r="I34" s="4"/>
      <c r="J34" s="5">
        <v>45724</v>
      </c>
      <c r="K34" s="4">
        <v>450</v>
      </c>
      <c r="L34" s="4">
        <v>50</v>
      </c>
      <c r="M34" s="6" t="s">
        <v>262</v>
      </c>
    </row>
    <row r="35" spans="1:13" x14ac:dyDescent="0.3">
      <c r="A35" s="23" t="s">
        <v>16</v>
      </c>
      <c r="B35" s="6" t="s">
        <v>692</v>
      </c>
      <c r="C35" s="1" t="s">
        <v>26</v>
      </c>
      <c r="D35" s="1" t="s">
        <v>22</v>
      </c>
      <c r="E35" s="3">
        <v>356103501180709</v>
      </c>
      <c r="F35" s="1"/>
      <c r="G35" s="5">
        <v>45714</v>
      </c>
      <c r="H35" s="4">
        <v>745</v>
      </c>
      <c r="I35" s="4"/>
      <c r="J35" s="5">
        <v>45724</v>
      </c>
      <c r="K35" s="4">
        <v>850</v>
      </c>
      <c r="L35" s="4">
        <v>105</v>
      </c>
      <c r="M35" s="6" t="s">
        <v>870</v>
      </c>
    </row>
    <row r="36" spans="1:13" x14ac:dyDescent="0.3">
      <c r="A36" s="23" t="s">
        <v>13</v>
      </c>
      <c r="B36" s="6" t="s">
        <v>325</v>
      </c>
      <c r="C36" s="1" t="s">
        <v>21</v>
      </c>
      <c r="D36" s="1" t="s">
        <v>15</v>
      </c>
      <c r="E36" s="3">
        <v>350683211621189</v>
      </c>
      <c r="F36" s="1"/>
      <c r="G36" s="5">
        <v>45715</v>
      </c>
      <c r="H36" s="4">
        <v>615</v>
      </c>
      <c r="I36" s="4"/>
      <c r="J36" s="5">
        <v>45724</v>
      </c>
      <c r="K36" s="4">
        <v>660</v>
      </c>
      <c r="L36" s="4">
        <v>45</v>
      </c>
      <c r="M36" s="6" t="s">
        <v>875</v>
      </c>
    </row>
    <row r="37" spans="1:13" x14ac:dyDescent="0.3">
      <c r="A37" s="23" t="s">
        <v>13</v>
      </c>
      <c r="B37" s="6" t="s">
        <v>455</v>
      </c>
      <c r="C37" s="1" t="s">
        <v>21</v>
      </c>
      <c r="D37" s="1" t="s">
        <v>15</v>
      </c>
      <c r="E37" s="3">
        <v>352412374979756</v>
      </c>
      <c r="F37" s="1"/>
      <c r="G37" s="5">
        <v>45717</v>
      </c>
      <c r="H37" s="4">
        <v>270</v>
      </c>
      <c r="I37" s="4"/>
      <c r="J37" s="5">
        <v>45724</v>
      </c>
      <c r="K37" s="4">
        <v>315</v>
      </c>
      <c r="L37" s="4">
        <v>45</v>
      </c>
      <c r="M37" s="6" t="s">
        <v>147</v>
      </c>
    </row>
    <row r="38" spans="1:13" x14ac:dyDescent="0.3">
      <c r="A38" s="23" t="s">
        <v>16</v>
      </c>
      <c r="B38" s="6" t="s">
        <v>772</v>
      </c>
      <c r="C38" s="1" t="s">
        <v>21</v>
      </c>
      <c r="D38" s="1" t="s">
        <v>15</v>
      </c>
      <c r="E38" s="3">
        <v>351080470994218</v>
      </c>
      <c r="F38" s="1"/>
      <c r="G38" s="5">
        <v>45721</v>
      </c>
      <c r="H38" s="4">
        <v>600</v>
      </c>
      <c r="I38" s="4"/>
      <c r="J38" s="5">
        <v>45724</v>
      </c>
      <c r="K38" s="4">
        <v>705</v>
      </c>
      <c r="L38" s="4">
        <v>105</v>
      </c>
      <c r="M38" s="6" t="s">
        <v>147</v>
      </c>
    </row>
    <row r="39" spans="1:13" x14ac:dyDescent="0.3">
      <c r="A39" s="23" t="s">
        <v>142</v>
      </c>
      <c r="B39" s="6" t="s">
        <v>899</v>
      </c>
      <c r="C39" s="1" t="s">
        <v>65</v>
      </c>
      <c r="D39" s="1" t="s">
        <v>22</v>
      </c>
      <c r="E39" s="3">
        <v>8667343027676320</v>
      </c>
      <c r="F39" s="1"/>
      <c r="G39" s="5">
        <v>45722</v>
      </c>
      <c r="H39" s="4">
        <v>40</v>
      </c>
      <c r="I39" s="4"/>
      <c r="J39" s="5">
        <v>45724</v>
      </c>
      <c r="K39" s="4">
        <v>50</v>
      </c>
      <c r="L39" s="4">
        <v>10</v>
      </c>
      <c r="M39" s="6"/>
    </row>
    <row r="40" spans="1:13" s="56" customFormat="1" x14ac:dyDescent="0.3">
      <c r="A40" s="50" t="s">
        <v>16</v>
      </c>
      <c r="B40" s="57" t="s">
        <v>104</v>
      </c>
      <c r="C40" s="52" t="s">
        <v>904</v>
      </c>
      <c r="D40" s="52" t="s">
        <v>22</v>
      </c>
      <c r="E40" s="53">
        <v>350981869520384</v>
      </c>
      <c r="F40" s="52" t="s">
        <v>556</v>
      </c>
      <c r="G40" s="54">
        <v>45724</v>
      </c>
      <c r="H40" s="55">
        <v>200</v>
      </c>
      <c r="I40" s="55">
        <v>20</v>
      </c>
      <c r="J40" s="54">
        <v>45725</v>
      </c>
      <c r="K40" s="55">
        <v>310</v>
      </c>
      <c r="L40" s="55">
        <v>90</v>
      </c>
      <c r="M40" s="51" t="s">
        <v>528</v>
      </c>
    </row>
    <row r="41" spans="1:13" x14ac:dyDescent="0.3">
      <c r="A41" s="23" t="s">
        <v>16</v>
      </c>
      <c r="B41" s="25">
        <v>8256</v>
      </c>
      <c r="C41" s="1" t="s">
        <v>45</v>
      </c>
      <c r="D41" s="1" t="s">
        <v>15</v>
      </c>
      <c r="E41" s="3">
        <v>359495080577272</v>
      </c>
      <c r="F41" s="1"/>
      <c r="G41" s="5">
        <v>45682</v>
      </c>
      <c r="H41" s="4">
        <v>62</v>
      </c>
      <c r="I41" s="4"/>
      <c r="J41" s="5">
        <v>45726</v>
      </c>
      <c r="K41" s="4">
        <v>83</v>
      </c>
      <c r="L41" s="4">
        <v>24</v>
      </c>
      <c r="M41" s="6" t="s">
        <v>796</v>
      </c>
    </row>
    <row r="42" spans="1:13" x14ac:dyDescent="0.3">
      <c r="A42" s="23" t="s">
        <v>16</v>
      </c>
      <c r="B42" s="6" t="s">
        <v>81</v>
      </c>
      <c r="C42" s="1" t="s">
        <v>97</v>
      </c>
      <c r="D42" s="1" t="s">
        <v>15</v>
      </c>
      <c r="E42" s="3">
        <v>355677815341843</v>
      </c>
      <c r="F42" s="1"/>
      <c r="G42" s="5">
        <v>45719</v>
      </c>
      <c r="H42" s="4">
        <v>410</v>
      </c>
      <c r="I42" s="4"/>
      <c r="J42" s="5">
        <v>45726</v>
      </c>
      <c r="K42" s="4">
        <v>500</v>
      </c>
      <c r="L42" s="4">
        <v>90</v>
      </c>
      <c r="M42" s="6" t="s">
        <v>262</v>
      </c>
    </row>
    <row r="43" spans="1:13" x14ac:dyDescent="0.3">
      <c r="A43" s="23" t="s">
        <v>16</v>
      </c>
      <c r="B43" s="22" t="s">
        <v>902</v>
      </c>
      <c r="C43" s="1" t="s">
        <v>45</v>
      </c>
      <c r="D43" s="1" t="s">
        <v>15</v>
      </c>
      <c r="E43" s="3">
        <v>356767081998811</v>
      </c>
      <c r="F43" s="1"/>
      <c r="G43" s="5" t="s">
        <v>903</v>
      </c>
      <c r="H43" s="4">
        <v>50</v>
      </c>
      <c r="I43" s="4"/>
      <c r="J43" s="5">
        <v>45726</v>
      </c>
      <c r="K43" s="4">
        <v>100</v>
      </c>
      <c r="L43" s="4">
        <v>50</v>
      </c>
      <c r="M43" s="6" t="s">
        <v>528</v>
      </c>
    </row>
    <row r="44" spans="1:13" x14ac:dyDescent="0.3">
      <c r="A44" s="23" t="s">
        <v>16</v>
      </c>
      <c r="B44" s="22" t="s">
        <v>907</v>
      </c>
      <c r="C44" s="1" t="s">
        <v>18</v>
      </c>
      <c r="D44" s="1" t="s">
        <v>22</v>
      </c>
      <c r="E44" s="3">
        <v>358634093765885</v>
      </c>
      <c r="F44" s="1"/>
      <c r="G44" s="5">
        <v>45725</v>
      </c>
      <c r="H44" s="4">
        <v>85</v>
      </c>
      <c r="I44" s="4"/>
      <c r="J44" s="5">
        <v>45726</v>
      </c>
      <c r="K44" s="4">
        <v>131</v>
      </c>
      <c r="L44" s="4">
        <v>46</v>
      </c>
      <c r="M44" s="6" t="s">
        <v>908</v>
      </c>
    </row>
    <row r="45" spans="1:13" x14ac:dyDescent="0.3">
      <c r="A45" s="23" t="s">
        <v>16</v>
      </c>
      <c r="B45" s="6" t="s">
        <v>656</v>
      </c>
      <c r="C45" s="1" t="s">
        <v>18</v>
      </c>
      <c r="D45" s="1" t="s">
        <v>22</v>
      </c>
      <c r="E45" s="3"/>
      <c r="F45" s="1"/>
      <c r="G45" s="5"/>
      <c r="H45" s="4"/>
      <c r="I45" s="4"/>
      <c r="J45" s="5">
        <v>45727</v>
      </c>
      <c r="K45" s="4">
        <v>1300</v>
      </c>
      <c r="L45" s="4">
        <v>100</v>
      </c>
      <c r="M45" s="6" t="s">
        <v>147</v>
      </c>
    </row>
    <row r="46" spans="1:13" x14ac:dyDescent="0.3">
      <c r="A46" s="23" t="s">
        <v>13</v>
      </c>
      <c r="B46" s="6" t="s">
        <v>115</v>
      </c>
      <c r="C46" s="1" t="s">
        <v>89</v>
      </c>
      <c r="D46" s="1" t="s">
        <v>15</v>
      </c>
      <c r="E46" s="3">
        <v>351376417513487</v>
      </c>
      <c r="F46" s="1"/>
      <c r="G46" s="5">
        <v>45628</v>
      </c>
      <c r="H46" s="4">
        <v>170</v>
      </c>
      <c r="I46" s="4">
        <v>9</v>
      </c>
      <c r="J46" s="5">
        <v>45727</v>
      </c>
      <c r="K46" s="4">
        <v>230</v>
      </c>
      <c r="L46" s="4">
        <v>51</v>
      </c>
      <c r="M46" s="6" t="s">
        <v>147</v>
      </c>
    </row>
    <row r="47" spans="1:13" x14ac:dyDescent="0.3">
      <c r="A47" s="23" t="s">
        <v>142</v>
      </c>
      <c r="B47" s="6" t="s">
        <v>895</v>
      </c>
      <c r="C47" s="1" t="s">
        <v>21</v>
      </c>
      <c r="D47" s="1" t="s">
        <v>22</v>
      </c>
      <c r="E47" s="3">
        <v>860870077207186</v>
      </c>
      <c r="F47" s="1" t="s">
        <v>98</v>
      </c>
      <c r="G47" s="5">
        <v>45722</v>
      </c>
      <c r="H47" s="4">
        <v>70</v>
      </c>
      <c r="I47" s="4"/>
      <c r="J47" s="5">
        <v>45727</v>
      </c>
      <c r="K47" s="4">
        <v>95</v>
      </c>
      <c r="L47" s="4">
        <v>25</v>
      </c>
      <c r="M47" s="6" t="s">
        <v>896</v>
      </c>
    </row>
    <row r="48" spans="1:13" x14ac:dyDescent="0.3">
      <c r="A48" s="23" t="s">
        <v>16</v>
      </c>
      <c r="B48" s="6" t="s">
        <v>34</v>
      </c>
      <c r="C48" s="1" t="s">
        <v>35</v>
      </c>
      <c r="D48" s="1" t="s">
        <v>22</v>
      </c>
      <c r="E48" s="3">
        <v>359761974791422</v>
      </c>
      <c r="F48" s="1"/>
      <c r="G48" s="5">
        <v>45690</v>
      </c>
      <c r="H48" s="4">
        <v>650</v>
      </c>
      <c r="I48" s="4"/>
      <c r="J48" s="5">
        <v>45728</v>
      </c>
      <c r="K48" s="4">
        <v>670</v>
      </c>
      <c r="L48" s="4">
        <v>20</v>
      </c>
      <c r="M48" s="6" t="s">
        <v>828</v>
      </c>
    </row>
    <row r="49" spans="1:13" x14ac:dyDescent="0.3">
      <c r="A49" s="23" t="s">
        <v>13</v>
      </c>
      <c r="B49" s="6" t="s">
        <v>851</v>
      </c>
      <c r="C49" s="1" t="s">
        <v>21</v>
      </c>
      <c r="D49" s="1" t="s">
        <v>22</v>
      </c>
      <c r="E49" s="3">
        <v>351062770553589</v>
      </c>
      <c r="F49" s="1"/>
      <c r="G49" s="5">
        <v>45709</v>
      </c>
      <c r="H49" s="4">
        <v>100</v>
      </c>
      <c r="I49" s="4"/>
      <c r="J49" s="5">
        <v>45729</v>
      </c>
      <c r="K49" s="4">
        <v>170</v>
      </c>
      <c r="L49" s="4">
        <v>70</v>
      </c>
      <c r="M49" s="6" t="s">
        <v>262</v>
      </c>
    </row>
    <row r="50" spans="1:13" x14ac:dyDescent="0.3">
      <c r="A50" s="23" t="s">
        <v>13</v>
      </c>
      <c r="B50" s="6" t="s">
        <v>883</v>
      </c>
      <c r="C50" s="1" t="s">
        <v>21</v>
      </c>
      <c r="D50" s="1" t="s">
        <v>15</v>
      </c>
      <c r="E50" s="3">
        <v>354205111444565</v>
      </c>
      <c r="F50" s="1"/>
      <c r="G50" s="5">
        <v>45717</v>
      </c>
      <c r="H50" s="4">
        <v>165</v>
      </c>
      <c r="I50" s="4">
        <v>35</v>
      </c>
      <c r="J50" s="5">
        <v>45729</v>
      </c>
      <c r="K50" s="4">
        <v>230</v>
      </c>
      <c r="L50" s="4">
        <v>30</v>
      </c>
      <c r="M50" s="6" t="s">
        <v>147</v>
      </c>
    </row>
    <row r="51" spans="1:13" s="56" customFormat="1" x14ac:dyDescent="0.3">
      <c r="A51" s="50" t="s">
        <v>13</v>
      </c>
      <c r="B51" s="51" t="s">
        <v>455</v>
      </c>
      <c r="C51" s="52" t="s">
        <v>21</v>
      </c>
      <c r="D51" s="52" t="s">
        <v>15</v>
      </c>
      <c r="E51" s="53">
        <v>352412374879576</v>
      </c>
      <c r="F51" s="52"/>
      <c r="G51" s="54">
        <v>45717</v>
      </c>
      <c r="H51" s="55">
        <v>270</v>
      </c>
      <c r="I51" s="55"/>
      <c r="J51" s="54">
        <v>45729</v>
      </c>
      <c r="K51" s="55">
        <v>318</v>
      </c>
      <c r="L51" s="55">
        <v>48</v>
      </c>
      <c r="M51" s="51" t="s">
        <v>147</v>
      </c>
    </row>
    <row r="52" spans="1:13" x14ac:dyDescent="0.3">
      <c r="A52" s="23" t="s">
        <v>16</v>
      </c>
      <c r="B52" s="22" t="s">
        <v>104</v>
      </c>
      <c r="C52" s="1" t="s">
        <v>21</v>
      </c>
      <c r="D52" s="1" t="s">
        <v>22</v>
      </c>
      <c r="E52" s="3">
        <v>351232991620620</v>
      </c>
      <c r="F52" s="1"/>
      <c r="G52" s="5">
        <v>45725</v>
      </c>
      <c r="H52" s="4">
        <v>300</v>
      </c>
      <c r="I52" s="4"/>
      <c r="J52" s="5">
        <v>45729</v>
      </c>
      <c r="K52" s="4">
        <v>370</v>
      </c>
      <c r="L52" s="4">
        <v>70</v>
      </c>
      <c r="M52" s="6" t="s">
        <v>262</v>
      </c>
    </row>
    <row r="53" spans="1:13" x14ac:dyDescent="0.3">
      <c r="A53" s="23" t="s">
        <v>13</v>
      </c>
      <c r="B53" s="22" t="s">
        <v>117</v>
      </c>
      <c r="C53" s="1" t="s">
        <v>21</v>
      </c>
      <c r="D53" s="1" t="s">
        <v>15</v>
      </c>
      <c r="E53" s="3">
        <v>351424776843598</v>
      </c>
      <c r="F53" s="1"/>
      <c r="G53" s="5">
        <v>45726</v>
      </c>
      <c r="H53" s="4">
        <v>180</v>
      </c>
      <c r="I53" s="4">
        <v>19</v>
      </c>
      <c r="J53" s="5">
        <v>45729</v>
      </c>
      <c r="K53" s="4">
        <v>281</v>
      </c>
      <c r="L53" s="4">
        <v>101</v>
      </c>
      <c r="M53" s="6" t="s">
        <v>147</v>
      </c>
    </row>
    <row r="54" spans="1:13" x14ac:dyDescent="0.3">
      <c r="A54" s="23" t="s">
        <v>16</v>
      </c>
      <c r="B54" s="22" t="s">
        <v>17</v>
      </c>
      <c r="C54" s="1" t="s">
        <v>21</v>
      </c>
      <c r="D54" s="1" t="s">
        <v>15</v>
      </c>
      <c r="E54" s="3">
        <v>353845106431688</v>
      </c>
      <c r="F54" s="1"/>
      <c r="G54" s="5">
        <v>45726</v>
      </c>
      <c r="H54" s="4">
        <v>180</v>
      </c>
      <c r="I54" s="4"/>
      <c r="J54" s="5">
        <v>45729</v>
      </c>
      <c r="K54" s="4">
        <v>234</v>
      </c>
      <c r="L54" s="4">
        <v>54</v>
      </c>
      <c r="M54" s="6" t="s">
        <v>912</v>
      </c>
    </row>
    <row r="55" spans="1:13" x14ac:dyDescent="0.3">
      <c r="A55" s="23" t="s">
        <v>13</v>
      </c>
      <c r="B55" s="6" t="s">
        <v>115</v>
      </c>
      <c r="C55" s="1" t="s">
        <v>35</v>
      </c>
      <c r="D55" s="1" t="s">
        <v>15</v>
      </c>
      <c r="E55" s="3">
        <v>351376415214153</v>
      </c>
      <c r="F55" s="1"/>
      <c r="G55" s="5">
        <v>45639</v>
      </c>
      <c r="H55" s="4">
        <v>160</v>
      </c>
      <c r="I55" s="4">
        <v>20</v>
      </c>
      <c r="J55" s="5">
        <v>45730</v>
      </c>
      <c r="K55" s="4">
        <v>230</v>
      </c>
      <c r="L55" s="4">
        <v>50</v>
      </c>
      <c r="M55" s="6" t="s">
        <v>147</v>
      </c>
    </row>
    <row r="56" spans="1:13" x14ac:dyDescent="0.3">
      <c r="A56" s="23" t="s">
        <v>16</v>
      </c>
      <c r="B56" s="6" t="s">
        <v>128</v>
      </c>
      <c r="C56" s="1" t="s">
        <v>65</v>
      </c>
      <c r="D56" s="1" t="s">
        <v>22</v>
      </c>
      <c r="E56" s="3">
        <v>356116986330185</v>
      </c>
      <c r="F56" s="1"/>
      <c r="G56" s="5">
        <v>45682</v>
      </c>
      <c r="H56" s="4">
        <v>700</v>
      </c>
      <c r="I56" s="4"/>
      <c r="J56" s="5">
        <v>45730</v>
      </c>
      <c r="K56" s="4">
        <v>740</v>
      </c>
      <c r="L56" s="4">
        <v>40</v>
      </c>
      <c r="M56" s="6" t="s">
        <v>798</v>
      </c>
    </row>
    <row r="57" spans="1:13" x14ac:dyDescent="0.3">
      <c r="A57" s="23" t="s">
        <v>16</v>
      </c>
      <c r="B57" s="6" t="s">
        <v>621</v>
      </c>
      <c r="C57" s="1" t="s">
        <v>21</v>
      </c>
      <c r="D57" s="1" t="s">
        <v>22</v>
      </c>
      <c r="E57" s="3">
        <v>350059630444067</v>
      </c>
      <c r="F57" s="1"/>
      <c r="G57" s="5">
        <v>45694</v>
      </c>
      <c r="H57" s="4">
        <v>900</v>
      </c>
      <c r="I57" s="4"/>
      <c r="J57" s="5">
        <v>45730</v>
      </c>
      <c r="K57" s="4">
        <v>920</v>
      </c>
      <c r="L57" s="4">
        <v>20</v>
      </c>
      <c r="M57" s="6">
        <v>946636768</v>
      </c>
    </row>
    <row r="58" spans="1:13" x14ac:dyDescent="0.3">
      <c r="A58" s="23" t="s">
        <v>16</v>
      </c>
      <c r="B58" s="22" t="s">
        <v>552</v>
      </c>
      <c r="C58" s="1" t="s">
        <v>97</v>
      </c>
      <c r="D58" s="1" t="s">
        <v>15</v>
      </c>
      <c r="E58" s="3">
        <v>353830102549063</v>
      </c>
      <c r="F58" s="1" t="s">
        <v>897</v>
      </c>
      <c r="G58" s="5">
        <v>45727</v>
      </c>
      <c r="H58" s="4">
        <v>54</v>
      </c>
      <c r="I58" s="4">
        <v>58</v>
      </c>
      <c r="J58" s="5">
        <v>45730</v>
      </c>
      <c r="K58" s="4">
        <v>215</v>
      </c>
      <c r="L58" s="4">
        <v>103</v>
      </c>
      <c r="M58" s="6" t="s">
        <v>915</v>
      </c>
    </row>
    <row r="59" spans="1:13" x14ac:dyDescent="0.3">
      <c r="A59" s="23" t="s">
        <v>16</v>
      </c>
      <c r="B59" s="22" t="s">
        <v>767</v>
      </c>
      <c r="C59" s="1" t="s">
        <v>583</v>
      </c>
      <c r="D59" s="1" t="s">
        <v>22</v>
      </c>
      <c r="E59" s="3">
        <v>355564849709866</v>
      </c>
      <c r="F59" s="1"/>
      <c r="G59" s="5">
        <v>45729</v>
      </c>
      <c r="H59" s="4">
        <v>1050</v>
      </c>
      <c r="I59" s="4"/>
      <c r="J59" s="5">
        <v>45730</v>
      </c>
      <c r="K59" s="4">
        <v>1120</v>
      </c>
      <c r="L59" s="4">
        <v>70</v>
      </c>
      <c r="M59" s="6" t="s">
        <v>920</v>
      </c>
    </row>
    <row r="60" spans="1:13" x14ac:dyDescent="0.3">
      <c r="A60" s="23" t="s">
        <v>16</v>
      </c>
      <c r="B60" s="6" t="s">
        <v>492</v>
      </c>
      <c r="C60" s="1" t="s">
        <v>65</v>
      </c>
      <c r="D60" s="1" t="s">
        <v>22</v>
      </c>
      <c r="E60" s="3">
        <v>356226670684944</v>
      </c>
      <c r="F60" s="1"/>
      <c r="G60" s="5">
        <v>45692</v>
      </c>
      <c r="H60" s="4">
        <v>300</v>
      </c>
      <c r="I60" s="4"/>
      <c r="J60" s="5">
        <v>45731</v>
      </c>
      <c r="K60" s="4">
        <v>350</v>
      </c>
      <c r="L60" s="4">
        <v>50</v>
      </c>
      <c r="M60" s="6" t="s">
        <v>840</v>
      </c>
    </row>
    <row r="61" spans="1:13" x14ac:dyDescent="0.3">
      <c r="A61" s="23" t="s">
        <v>142</v>
      </c>
      <c r="B61" s="6" t="s">
        <v>819</v>
      </c>
      <c r="C61" s="1"/>
      <c r="D61" s="1"/>
      <c r="E61" s="3">
        <v>7401</v>
      </c>
      <c r="F61" s="1"/>
      <c r="G61" s="5"/>
      <c r="H61" s="4">
        <v>43</v>
      </c>
      <c r="I61" s="4"/>
      <c r="J61" s="5">
        <v>45731</v>
      </c>
      <c r="K61" s="4">
        <v>58</v>
      </c>
      <c r="L61" s="4">
        <v>15</v>
      </c>
      <c r="M61" s="6"/>
    </row>
    <row r="62" spans="1:13" x14ac:dyDescent="0.3">
      <c r="A62" s="23" t="s">
        <v>16</v>
      </c>
      <c r="B62" s="6" t="s">
        <v>772</v>
      </c>
      <c r="C62" s="1" t="s">
        <v>26</v>
      </c>
      <c r="D62" s="1" t="s">
        <v>15</v>
      </c>
      <c r="E62" s="3">
        <v>356116985743503</v>
      </c>
      <c r="F62" s="1"/>
      <c r="G62" s="5">
        <v>45718</v>
      </c>
      <c r="H62" s="4">
        <v>580</v>
      </c>
      <c r="I62" s="4"/>
      <c r="J62" s="5">
        <v>45731</v>
      </c>
      <c r="K62" s="4">
        <v>650</v>
      </c>
      <c r="L62" s="4">
        <v>70</v>
      </c>
      <c r="M62" s="6" t="s">
        <v>890</v>
      </c>
    </row>
    <row r="63" spans="1:13" x14ac:dyDescent="0.3">
      <c r="A63" s="23" t="s">
        <v>16</v>
      </c>
      <c r="B63" s="22" t="s">
        <v>621</v>
      </c>
      <c r="C63" s="1" t="s">
        <v>21</v>
      </c>
      <c r="D63" s="1" t="s">
        <v>15</v>
      </c>
      <c r="E63" s="3">
        <v>358244954293793</v>
      </c>
      <c r="F63" s="1" t="s">
        <v>343</v>
      </c>
      <c r="G63" s="5">
        <v>45724</v>
      </c>
      <c r="H63" s="4">
        <v>620</v>
      </c>
      <c r="I63" s="4"/>
      <c r="J63" s="5">
        <v>45731</v>
      </c>
      <c r="K63" s="4">
        <v>720</v>
      </c>
      <c r="L63" s="4">
        <v>100</v>
      </c>
      <c r="M63" s="6" t="s">
        <v>901</v>
      </c>
    </row>
    <row r="64" spans="1:13" x14ac:dyDescent="0.3">
      <c r="A64" s="23" t="s">
        <v>16</v>
      </c>
      <c r="B64" s="22" t="s">
        <v>32</v>
      </c>
      <c r="C64" s="1" t="s">
        <v>26</v>
      </c>
      <c r="D64" s="1" t="s">
        <v>22</v>
      </c>
      <c r="E64" s="3">
        <v>359370792113098</v>
      </c>
      <c r="F64" s="1"/>
      <c r="G64" s="5">
        <v>45726</v>
      </c>
      <c r="H64" s="4">
        <v>800</v>
      </c>
      <c r="I64" s="4"/>
      <c r="J64" s="5">
        <v>45731</v>
      </c>
      <c r="K64" s="4">
        <v>860</v>
      </c>
      <c r="L64" s="4">
        <v>60</v>
      </c>
      <c r="M64" s="6" t="s">
        <v>803</v>
      </c>
    </row>
    <row r="65" spans="1:13" s="56" customFormat="1" x14ac:dyDescent="0.3">
      <c r="A65" s="50" t="s">
        <v>13</v>
      </c>
      <c r="B65" s="57" t="s">
        <v>502</v>
      </c>
      <c r="C65" s="52" t="s">
        <v>21</v>
      </c>
      <c r="D65" s="52" t="s">
        <v>22</v>
      </c>
      <c r="E65" s="53">
        <v>356663760313853</v>
      </c>
      <c r="F65" s="52"/>
      <c r="G65" s="54">
        <v>45724</v>
      </c>
      <c r="H65" s="55">
        <v>400</v>
      </c>
      <c r="I65" s="55"/>
      <c r="J65" s="54">
        <v>45732</v>
      </c>
      <c r="K65" s="55">
        <v>484</v>
      </c>
      <c r="L65" s="55">
        <v>84</v>
      </c>
      <c r="M65" s="51" t="s">
        <v>549</v>
      </c>
    </row>
    <row r="66" spans="1:13" s="56" customFormat="1" x14ac:dyDescent="0.3">
      <c r="A66" s="50" t="s">
        <v>13</v>
      </c>
      <c r="B66" s="57" t="s">
        <v>117</v>
      </c>
      <c r="C66" s="52" t="s">
        <v>21</v>
      </c>
      <c r="D66" s="52" t="s">
        <v>15</v>
      </c>
      <c r="E66" s="53">
        <v>352854661965297</v>
      </c>
      <c r="F66" s="52"/>
      <c r="G66" s="54">
        <v>45727</v>
      </c>
      <c r="H66" s="55">
        <v>216</v>
      </c>
      <c r="I66" s="55"/>
      <c r="J66" s="54">
        <v>45732</v>
      </c>
      <c r="K66" s="55">
        <v>285</v>
      </c>
      <c r="L66" s="55">
        <v>69</v>
      </c>
      <c r="M66" s="51" t="s">
        <v>262</v>
      </c>
    </row>
    <row r="67" spans="1:13" x14ac:dyDescent="0.3">
      <c r="A67" s="23" t="s">
        <v>16</v>
      </c>
      <c r="B67" s="22" t="s">
        <v>916</v>
      </c>
      <c r="C67" s="1" t="s">
        <v>21</v>
      </c>
      <c r="D67" s="1" t="s">
        <v>15</v>
      </c>
      <c r="E67" s="3">
        <v>357250092825371</v>
      </c>
      <c r="F67" s="1"/>
      <c r="G67" s="5">
        <v>45729</v>
      </c>
      <c r="H67" s="4">
        <v>100</v>
      </c>
      <c r="I67" s="4"/>
      <c r="J67" s="5">
        <v>45732</v>
      </c>
      <c r="K67" s="4">
        <v>160</v>
      </c>
      <c r="L67" s="4">
        <v>60</v>
      </c>
      <c r="M67" s="6" t="s">
        <v>917</v>
      </c>
    </row>
    <row r="68" spans="1:13" x14ac:dyDescent="0.3">
      <c r="A68" s="23" t="s">
        <v>16</v>
      </c>
      <c r="B68" s="6" t="s">
        <v>672</v>
      </c>
      <c r="C68" s="1" t="s">
        <v>18</v>
      </c>
      <c r="D68" s="1" t="s">
        <v>15</v>
      </c>
      <c r="E68" s="3">
        <v>353018116106217</v>
      </c>
      <c r="F68" s="1" t="s">
        <v>586</v>
      </c>
      <c r="G68" s="5">
        <v>45712</v>
      </c>
      <c r="H68" s="4">
        <v>77</v>
      </c>
      <c r="I68" s="4">
        <v>25</v>
      </c>
      <c r="J68" s="5">
        <v>45733</v>
      </c>
      <c r="K68" s="4">
        <v>162</v>
      </c>
      <c r="L68" s="4">
        <v>60</v>
      </c>
      <c r="M68" s="6" t="s">
        <v>864</v>
      </c>
    </row>
    <row r="69" spans="1:13" x14ac:dyDescent="0.3">
      <c r="A69" s="23" t="s">
        <v>13</v>
      </c>
      <c r="B69" s="22" t="s">
        <v>117</v>
      </c>
      <c r="C69" s="1" t="s">
        <v>18</v>
      </c>
      <c r="D69" s="1" t="s">
        <v>15</v>
      </c>
      <c r="E69" s="3">
        <v>351424772427339</v>
      </c>
      <c r="F69" s="1"/>
      <c r="G69" s="5">
        <v>45730</v>
      </c>
      <c r="H69" s="4">
        <v>190</v>
      </c>
      <c r="I69" s="4">
        <v>19</v>
      </c>
      <c r="J69" s="5">
        <v>45734</v>
      </c>
      <c r="K69" s="4">
        <v>280</v>
      </c>
      <c r="L69" s="4">
        <v>71</v>
      </c>
      <c r="M69" s="6" t="s">
        <v>147</v>
      </c>
    </row>
    <row r="70" spans="1:13" x14ac:dyDescent="0.3">
      <c r="A70" s="23" t="s">
        <v>16</v>
      </c>
      <c r="B70" s="22" t="s">
        <v>39</v>
      </c>
      <c r="C70" s="1" t="s">
        <v>35</v>
      </c>
      <c r="D70" s="1" t="s">
        <v>22</v>
      </c>
      <c r="E70" s="3">
        <v>358457888705688</v>
      </c>
      <c r="F70" s="1"/>
      <c r="G70" s="5">
        <v>45727</v>
      </c>
      <c r="H70" s="4">
        <v>550</v>
      </c>
      <c r="I70" s="4"/>
      <c r="J70" s="5">
        <v>45734</v>
      </c>
      <c r="K70" s="4">
        <v>625</v>
      </c>
      <c r="L70" s="4">
        <v>75</v>
      </c>
      <c r="M70" s="6" t="s">
        <v>914</v>
      </c>
    </row>
    <row r="71" spans="1:13" x14ac:dyDescent="0.3">
      <c r="A71" s="23" t="s">
        <v>13</v>
      </c>
      <c r="B71" s="6" t="s">
        <v>859</v>
      </c>
      <c r="C71" s="1" t="s">
        <v>217</v>
      </c>
      <c r="D71" s="1" t="s">
        <v>15</v>
      </c>
      <c r="E71" s="3">
        <v>355375102315345</v>
      </c>
      <c r="F71" s="1"/>
      <c r="G71" s="5">
        <v>45717</v>
      </c>
      <c r="H71" s="4">
        <v>145</v>
      </c>
      <c r="I71" s="4">
        <v>23</v>
      </c>
      <c r="J71" s="5">
        <v>45734</v>
      </c>
      <c r="K71" s="4">
        <v>203</v>
      </c>
      <c r="L71" s="4">
        <v>35</v>
      </c>
      <c r="M71" s="6" t="s">
        <v>147</v>
      </c>
    </row>
    <row r="72" spans="1:13" x14ac:dyDescent="0.3">
      <c r="A72" s="23" t="s">
        <v>16</v>
      </c>
      <c r="B72" s="6" t="s">
        <v>104</v>
      </c>
      <c r="C72" s="1" t="s">
        <v>65</v>
      </c>
      <c r="D72" s="1" t="s">
        <v>22</v>
      </c>
      <c r="E72" s="3">
        <v>356713119647863</v>
      </c>
      <c r="F72" s="1"/>
      <c r="G72" s="5">
        <v>45610</v>
      </c>
      <c r="H72" s="4">
        <v>330</v>
      </c>
      <c r="I72" s="4"/>
      <c r="J72" s="5">
        <v>45735</v>
      </c>
      <c r="K72" s="4">
        <v>370</v>
      </c>
      <c r="L72" s="4">
        <v>40</v>
      </c>
      <c r="M72" s="6" t="s">
        <v>436</v>
      </c>
    </row>
    <row r="73" spans="1:13" s="56" customFormat="1" x14ac:dyDescent="0.3">
      <c r="A73" s="50" t="s">
        <v>13</v>
      </c>
      <c r="B73" s="51" t="s">
        <v>563</v>
      </c>
      <c r="C73" s="52" t="s">
        <v>21</v>
      </c>
      <c r="D73" s="52" t="s">
        <v>15</v>
      </c>
      <c r="E73" s="53">
        <v>352019421660477</v>
      </c>
      <c r="F73" s="52"/>
      <c r="G73" s="54">
        <v>45713</v>
      </c>
      <c r="H73" s="55">
        <v>330</v>
      </c>
      <c r="I73" s="55"/>
      <c r="J73" s="54">
        <v>45735</v>
      </c>
      <c r="K73" s="55">
        <v>400</v>
      </c>
      <c r="L73" s="55">
        <v>70</v>
      </c>
      <c r="M73" s="51" t="s">
        <v>147</v>
      </c>
    </row>
    <row r="74" spans="1:13" x14ac:dyDescent="0.3">
      <c r="A74" s="23" t="s">
        <v>16</v>
      </c>
      <c r="B74" s="22" t="s">
        <v>692</v>
      </c>
      <c r="C74" s="1" t="s">
        <v>26</v>
      </c>
      <c r="D74" s="1" t="s">
        <v>22</v>
      </c>
      <c r="E74" s="3">
        <v>35465091954017</v>
      </c>
      <c r="F74" s="1"/>
      <c r="G74" s="5">
        <v>45734</v>
      </c>
      <c r="H74" s="4">
        <v>800</v>
      </c>
      <c r="I74" s="4"/>
      <c r="J74" s="5">
        <v>45735</v>
      </c>
      <c r="K74" s="4">
        <v>870</v>
      </c>
      <c r="L74" s="4">
        <v>70</v>
      </c>
      <c r="M74" s="6" t="s">
        <v>928</v>
      </c>
    </row>
    <row r="75" spans="1:13" x14ac:dyDescent="0.3">
      <c r="A75" s="23" t="s">
        <v>16</v>
      </c>
      <c r="B75" s="22" t="s">
        <v>692</v>
      </c>
      <c r="C75" s="1" t="s">
        <v>26</v>
      </c>
      <c r="D75" s="1" t="s">
        <v>15</v>
      </c>
      <c r="E75" s="3">
        <v>351059894669804</v>
      </c>
      <c r="F75" s="1"/>
      <c r="G75" s="5">
        <v>45734</v>
      </c>
      <c r="H75" s="4">
        <v>700</v>
      </c>
      <c r="I75" s="4"/>
      <c r="J75" s="5">
        <v>45736</v>
      </c>
      <c r="K75" s="4">
        <v>800</v>
      </c>
      <c r="L75" s="4">
        <v>100</v>
      </c>
      <c r="M75" s="6" t="s">
        <v>929</v>
      </c>
    </row>
    <row r="76" spans="1:13" x14ac:dyDescent="0.3">
      <c r="A76" s="23" t="s">
        <v>207</v>
      </c>
      <c r="B76" s="22" t="s">
        <v>900</v>
      </c>
      <c r="C76" s="1" t="s">
        <v>21</v>
      </c>
      <c r="D76" s="1" t="s">
        <v>22</v>
      </c>
      <c r="E76" s="3"/>
      <c r="F76" s="1"/>
      <c r="G76" s="5">
        <v>45722</v>
      </c>
      <c r="H76" s="4">
        <v>150</v>
      </c>
      <c r="I76" s="4"/>
      <c r="J76" s="5">
        <v>45736</v>
      </c>
      <c r="K76" s="4">
        <v>200</v>
      </c>
      <c r="L76" s="4">
        <v>50</v>
      </c>
      <c r="M76" s="6" t="s">
        <v>262</v>
      </c>
    </row>
    <row r="77" spans="1:13" x14ac:dyDescent="0.3">
      <c r="A77" s="23" t="s">
        <v>142</v>
      </c>
      <c r="B77" s="6" t="s">
        <v>760</v>
      </c>
      <c r="C77" s="1" t="s">
        <v>21</v>
      </c>
      <c r="D77" s="1" t="s">
        <v>22</v>
      </c>
      <c r="E77" s="3">
        <v>860102062457380</v>
      </c>
      <c r="F77" s="1"/>
      <c r="G77" s="5">
        <v>45674</v>
      </c>
      <c r="H77" s="4">
        <v>47</v>
      </c>
      <c r="I77" s="4"/>
      <c r="J77" s="5">
        <v>45736</v>
      </c>
      <c r="K77" s="5" t="s">
        <v>946</v>
      </c>
      <c r="L77" s="4">
        <v>50</v>
      </c>
      <c r="M77" s="6" t="s">
        <v>761</v>
      </c>
    </row>
    <row r="78" spans="1:13" x14ac:dyDescent="0.3">
      <c r="A78" s="23" t="s">
        <v>16</v>
      </c>
      <c r="B78" s="6">
        <v>12</v>
      </c>
      <c r="C78" s="1" t="s">
        <v>65</v>
      </c>
      <c r="D78" s="1" t="s">
        <v>15</v>
      </c>
      <c r="E78" s="3">
        <v>352704134884072</v>
      </c>
      <c r="F78" s="1" t="s">
        <v>845</v>
      </c>
      <c r="G78" s="5">
        <v>45695</v>
      </c>
      <c r="H78" s="4">
        <v>170</v>
      </c>
      <c r="I78" s="4"/>
      <c r="J78" s="5">
        <v>45736</v>
      </c>
      <c r="K78" s="4">
        <v>200</v>
      </c>
      <c r="L78" s="4">
        <v>30</v>
      </c>
      <c r="M78" s="6" t="s">
        <v>262</v>
      </c>
    </row>
    <row r="79" spans="1:13" s="56" customFormat="1" x14ac:dyDescent="0.3">
      <c r="A79" s="50" t="s">
        <v>16</v>
      </c>
      <c r="B79" s="57" t="s">
        <v>692</v>
      </c>
      <c r="C79" s="52" t="s">
        <v>26</v>
      </c>
      <c r="D79" s="52" t="s">
        <v>22</v>
      </c>
      <c r="E79" s="53">
        <v>351149519414783</v>
      </c>
      <c r="F79" s="52"/>
      <c r="G79" s="54">
        <v>45735</v>
      </c>
      <c r="H79" s="55">
        <v>870</v>
      </c>
      <c r="I79" s="55"/>
      <c r="J79" s="54">
        <v>45737</v>
      </c>
      <c r="K79" s="55">
        <v>930</v>
      </c>
      <c r="L79" s="55">
        <v>60</v>
      </c>
      <c r="M79" s="51" t="s">
        <v>930</v>
      </c>
    </row>
    <row r="80" spans="1:13" x14ac:dyDescent="0.3">
      <c r="A80" s="23" t="s">
        <v>13</v>
      </c>
      <c r="B80" s="22" t="s">
        <v>325</v>
      </c>
      <c r="C80" s="1" t="s">
        <v>26</v>
      </c>
      <c r="D80" s="1" t="s">
        <v>22</v>
      </c>
      <c r="E80" s="3" t="s">
        <v>947</v>
      </c>
      <c r="F80" s="1"/>
      <c r="G80" s="5"/>
      <c r="H80" s="4">
        <v>630</v>
      </c>
      <c r="I80" s="4"/>
      <c r="J80" s="5">
        <v>45737</v>
      </c>
      <c r="K80" s="4">
        <v>700</v>
      </c>
      <c r="L80" s="4">
        <f>Таблица3758[[#This Row],[SOTILGAN NARXI]]-Таблица3758[[#This Row],[OLINGAN NARXI $]]-Таблица3758[[#This Row],[RASXOD]]</f>
        <v>70</v>
      </c>
      <c r="M80" s="6"/>
    </row>
    <row r="81" spans="1:13" x14ac:dyDescent="0.3">
      <c r="A81" s="23" t="s">
        <v>13</v>
      </c>
      <c r="B81" s="22" t="s">
        <v>910</v>
      </c>
      <c r="C81" s="1" t="s">
        <v>21</v>
      </c>
      <c r="D81" s="1" t="s">
        <v>15</v>
      </c>
      <c r="E81" s="3">
        <v>355703101151702</v>
      </c>
      <c r="F81" s="1" t="s">
        <v>911</v>
      </c>
      <c r="G81" s="5">
        <v>45726</v>
      </c>
      <c r="H81" s="4">
        <v>50</v>
      </c>
      <c r="I81" s="4">
        <v>25</v>
      </c>
      <c r="J81" s="5">
        <v>45737</v>
      </c>
      <c r="K81" s="4">
        <v>135</v>
      </c>
      <c r="L81" s="4">
        <v>60</v>
      </c>
      <c r="M81" s="6" t="s">
        <v>147</v>
      </c>
    </row>
    <row r="82" spans="1:13" x14ac:dyDescent="0.3">
      <c r="A82" s="23" t="s">
        <v>13</v>
      </c>
      <c r="B82" s="6" t="s">
        <v>698</v>
      </c>
      <c r="C82" s="1" t="s">
        <v>18</v>
      </c>
      <c r="D82" s="1" t="s">
        <v>15</v>
      </c>
      <c r="E82" s="3">
        <v>350290891815345</v>
      </c>
      <c r="F82" s="1"/>
      <c r="G82" s="5">
        <v>45681</v>
      </c>
      <c r="H82" s="4">
        <v>270</v>
      </c>
      <c r="I82" s="4"/>
      <c r="J82" s="5">
        <v>45738</v>
      </c>
      <c r="K82" s="4">
        <v>320</v>
      </c>
      <c r="L82" s="4">
        <v>50</v>
      </c>
      <c r="M82" s="6" t="s">
        <v>795</v>
      </c>
    </row>
    <row r="83" spans="1:13" s="56" customFormat="1" x14ac:dyDescent="0.3">
      <c r="A83" s="50" t="s">
        <v>16</v>
      </c>
      <c r="B83" s="51" t="s">
        <v>83</v>
      </c>
      <c r="C83" s="52" t="s">
        <v>97</v>
      </c>
      <c r="D83" s="52" t="s">
        <v>22</v>
      </c>
      <c r="E83" s="53">
        <v>351855181213952</v>
      </c>
      <c r="F83" s="52"/>
      <c r="G83" s="54">
        <v>45719</v>
      </c>
      <c r="H83" s="55">
        <v>440</v>
      </c>
      <c r="I83" s="55"/>
      <c r="J83" s="54">
        <v>45738</v>
      </c>
      <c r="K83" s="55">
        <v>485</v>
      </c>
      <c r="L83" s="55">
        <v>45</v>
      </c>
      <c r="M83" s="51" t="s">
        <v>262</v>
      </c>
    </row>
    <row r="84" spans="1:13" x14ac:dyDescent="0.3">
      <c r="A84" s="23" t="s">
        <v>13</v>
      </c>
      <c r="B84" s="6" t="s">
        <v>859</v>
      </c>
      <c r="C84" s="1" t="s">
        <v>217</v>
      </c>
      <c r="D84" s="1" t="s">
        <v>15</v>
      </c>
      <c r="E84" s="3">
        <v>355375105131335</v>
      </c>
      <c r="F84" s="1"/>
      <c r="G84" s="5">
        <v>45707</v>
      </c>
      <c r="H84" s="4">
        <v>135</v>
      </c>
      <c r="I84" s="4">
        <v>23</v>
      </c>
      <c r="J84" s="5">
        <v>45738</v>
      </c>
      <c r="K84" s="4">
        <v>190</v>
      </c>
      <c r="L84" s="4">
        <v>32</v>
      </c>
      <c r="M84" s="6" t="s">
        <v>147</v>
      </c>
    </row>
    <row r="85" spans="1:13" x14ac:dyDescent="0.3">
      <c r="A85" s="23" t="s">
        <v>13</v>
      </c>
      <c r="B85" s="22" t="s">
        <v>502</v>
      </c>
      <c r="C85" s="1" t="s">
        <v>97</v>
      </c>
      <c r="D85" s="1" t="s">
        <v>15</v>
      </c>
      <c r="E85" s="3">
        <v>351747953152080</v>
      </c>
      <c r="F85" s="1"/>
      <c r="G85" s="5">
        <v>45737</v>
      </c>
      <c r="H85" s="4">
        <v>470</v>
      </c>
      <c r="I85" s="4"/>
      <c r="J85" s="5">
        <v>45738</v>
      </c>
      <c r="K85" s="4">
        <v>500</v>
      </c>
      <c r="L85" s="4">
        <v>30</v>
      </c>
      <c r="M85" s="6" t="s">
        <v>942</v>
      </c>
    </row>
    <row r="86" spans="1:13" x14ac:dyDescent="0.3">
      <c r="A86" s="23" t="s">
        <v>13</v>
      </c>
      <c r="B86" s="6" t="s">
        <v>859</v>
      </c>
      <c r="C86" s="1" t="s">
        <v>217</v>
      </c>
      <c r="D86" s="1" t="s">
        <v>15</v>
      </c>
      <c r="E86" s="3">
        <v>356007101498660</v>
      </c>
      <c r="F86" s="1"/>
      <c r="G86" s="5">
        <v>45717</v>
      </c>
      <c r="H86" s="4">
        <v>145</v>
      </c>
      <c r="I86" s="4"/>
      <c r="J86" s="5">
        <v>45721</v>
      </c>
      <c r="K86" s="4">
        <v>165</v>
      </c>
      <c r="L86" s="4">
        <v>30</v>
      </c>
      <c r="M86" s="6" t="s">
        <v>147</v>
      </c>
    </row>
    <row r="87" spans="1:13" x14ac:dyDescent="0.3">
      <c r="A87" s="23" t="s">
        <v>16</v>
      </c>
      <c r="B87" s="22" t="s">
        <v>74</v>
      </c>
      <c r="C87" s="1" t="s">
        <v>21</v>
      </c>
      <c r="D87" s="1" t="s">
        <v>15</v>
      </c>
      <c r="E87" s="3">
        <v>355960222413136</v>
      </c>
      <c r="F87" s="1" t="s">
        <v>556</v>
      </c>
      <c r="G87" s="5">
        <v>45723</v>
      </c>
      <c r="H87" s="4">
        <v>500</v>
      </c>
      <c r="I87" s="4"/>
      <c r="J87" s="5">
        <v>45739</v>
      </c>
      <c r="K87" s="4">
        <v>550</v>
      </c>
      <c r="L87" s="4">
        <v>50</v>
      </c>
      <c r="M87" s="6" t="s">
        <v>262</v>
      </c>
    </row>
    <row r="88" spans="1:13" x14ac:dyDescent="0.3">
      <c r="A88" s="23" t="s">
        <v>16</v>
      </c>
      <c r="B88" s="22" t="s">
        <v>931</v>
      </c>
      <c r="C88" s="1" t="s">
        <v>21</v>
      </c>
      <c r="D88" s="1" t="s">
        <v>22</v>
      </c>
      <c r="E88" s="3">
        <v>358165606639721</v>
      </c>
      <c r="F88" s="1"/>
      <c r="G88" s="5">
        <v>45735</v>
      </c>
      <c r="H88" s="4">
        <v>650</v>
      </c>
      <c r="I88" s="4"/>
      <c r="J88" s="5">
        <v>45739</v>
      </c>
      <c r="K88" s="4">
        <v>730</v>
      </c>
      <c r="L88" s="4">
        <v>80</v>
      </c>
      <c r="M88" s="6" t="s">
        <v>932</v>
      </c>
    </row>
    <row r="89" spans="1:13" x14ac:dyDescent="0.3">
      <c r="A89" s="23" t="s">
        <v>16</v>
      </c>
      <c r="B89" s="22" t="s">
        <v>598</v>
      </c>
      <c r="C89" s="1" t="s">
        <v>187</v>
      </c>
      <c r="D89" s="1" t="s">
        <v>15</v>
      </c>
      <c r="E89" s="3">
        <v>353808089922404</v>
      </c>
      <c r="F89" s="1"/>
      <c r="G89" s="5">
        <v>45726</v>
      </c>
      <c r="H89" s="4">
        <v>23</v>
      </c>
      <c r="I89" s="4">
        <v>25</v>
      </c>
      <c r="J89" s="5">
        <v>45739</v>
      </c>
      <c r="K89" s="4">
        <v>90</v>
      </c>
      <c r="L89" s="4">
        <v>42</v>
      </c>
      <c r="M89" s="6" t="s">
        <v>909</v>
      </c>
    </row>
    <row r="90" spans="1:13" x14ac:dyDescent="0.3">
      <c r="A90" s="23" t="s">
        <v>16</v>
      </c>
      <c r="B90" s="6" t="s">
        <v>409</v>
      </c>
      <c r="C90" s="1" t="s">
        <v>18</v>
      </c>
      <c r="D90" s="1" t="s">
        <v>15</v>
      </c>
      <c r="E90" s="3">
        <v>355820715052439</v>
      </c>
      <c r="F90" s="1"/>
      <c r="G90" s="5">
        <v>45684</v>
      </c>
      <c r="H90" s="4">
        <v>560</v>
      </c>
      <c r="I90" s="4"/>
      <c r="J90" s="5"/>
      <c r="K90" s="4">
        <v>585</v>
      </c>
      <c r="L90" s="4">
        <v>25</v>
      </c>
      <c r="M90" s="6" t="s">
        <v>809</v>
      </c>
    </row>
    <row r="91" spans="1:13" x14ac:dyDescent="0.3">
      <c r="A91" s="23" t="s">
        <v>13</v>
      </c>
      <c r="B91" s="6" t="s">
        <v>827</v>
      </c>
      <c r="C91" s="1" t="s">
        <v>65</v>
      </c>
      <c r="D91" s="1" t="s">
        <v>15</v>
      </c>
      <c r="E91" s="3">
        <v>352455981298284</v>
      </c>
      <c r="F91" s="1"/>
      <c r="G91" s="5">
        <v>45690</v>
      </c>
      <c r="H91" s="4">
        <v>100</v>
      </c>
      <c r="I91" s="4">
        <v>23</v>
      </c>
      <c r="J91" s="5">
        <v>45740</v>
      </c>
      <c r="K91" s="4">
        <v>160</v>
      </c>
      <c r="L91" s="4">
        <v>37</v>
      </c>
      <c r="M91" s="6" t="s">
        <v>147</v>
      </c>
    </row>
    <row r="92" spans="1:13" x14ac:dyDescent="0.3">
      <c r="A92" s="23" t="s">
        <v>16</v>
      </c>
      <c r="B92" s="22" t="s">
        <v>492</v>
      </c>
      <c r="C92" s="1" t="s">
        <v>65</v>
      </c>
      <c r="D92" s="1" t="s">
        <v>22</v>
      </c>
      <c r="E92" s="3">
        <v>355846125259702</v>
      </c>
      <c r="F92" s="1"/>
      <c r="G92" s="5">
        <v>45739</v>
      </c>
      <c r="H92" s="4">
        <v>330</v>
      </c>
      <c r="I92" s="4"/>
      <c r="J92" s="5">
        <v>45741</v>
      </c>
      <c r="K92" s="4">
        <v>400</v>
      </c>
      <c r="L92" s="4">
        <v>70</v>
      </c>
      <c r="M92" s="6" t="s">
        <v>948</v>
      </c>
    </row>
    <row r="93" spans="1:13" x14ac:dyDescent="0.3">
      <c r="A93" s="23" t="s">
        <v>16</v>
      </c>
      <c r="B93" s="6" t="s">
        <v>312</v>
      </c>
      <c r="C93" s="1" t="s">
        <v>65</v>
      </c>
      <c r="D93" s="1" t="s">
        <v>22</v>
      </c>
      <c r="E93" s="3">
        <v>358649253518262</v>
      </c>
      <c r="F93" s="1"/>
      <c r="G93" s="5">
        <v>45715</v>
      </c>
      <c r="H93" s="4">
        <v>470</v>
      </c>
      <c r="I93" s="4">
        <v>39</v>
      </c>
      <c r="J93" s="5"/>
      <c r="K93" s="4">
        <v>550</v>
      </c>
      <c r="L93" s="4">
        <v>41</v>
      </c>
      <c r="M93" s="6" t="s">
        <v>880</v>
      </c>
    </row>
    <row r="94" spans="1:13" x14ac:dyDescent="0.3">
      <c r="A94" s="23" t="s">
        <v>16</v>
      </c>
      <c r="B94" s="6" t="s">
        <v>39</v>
      </c>
      <c r="C94" s="1" t="s">
        <v>35</v>
      </c>
      <c r="D94" s="1" t="s">
        <v>22</v>
      </c>
      <c r="E94" s="3">
        <v>357170852809052</v>
      </c>
      <c r="F94" s="1"/>
      <c r="G94" s="5">
        <v>45742</v>
      </c>
      <c r="H94" s="4">
        <v>450</v>
      </c>
      <c r="I94" s="4">
        <v>27</v>
      </c>
      <c r="J94" s="5">
        <v>45742</v>
      </c>
      <c r="K94" s="4">
        <v>550</v>
      </c>
      <c r="L94" s="4">
        <v>73</v>
      </c>
      <c r="M94" s="6" t="s">
        <v>951</v>
      </c>
    </row>
    <row r="95" spans="1:13" x14ac:dyDescent="0.3">
      <c r="A95" s="23" t="s">
        <v>142</v>
      </c>
      <c r="B95" s="22" t="s">
        <v>935</v>
      </c>
      <c r="C95" s="1" t="s">
        <v>21</v>
      </c>
      <c r="D95" s="1" t="s">
        <v>22</v>
      </c>
      <c r="E95" s="3">
        <v>865991078338765</v>
      </c>
      <c r="F95" s="1"/>
      <c r="G95" s="5">
        <v>45736</v>
      </c>
      <c r="H95" s="4">
        <v>200</v>
      </c>
      <c r="I95" s="4"/>
      <c r="J95" s="5">
        <v>45743</v>
      </c>
      <c r="K95" s="4">
        <v>300</v>
      </c>
      <c r="L95" s="4">
        <v>100</v>
      </c>
      <c r="M95" s="6" t="s">
        <v>936</v>
      </c>
    </row>
    <row r="96" spans="1:13" x14ac:dyDescent="0.3">
      <c r="A96" s="23" t="s">
        <v>16</v>
      </c>
      <c r="B96" s="6" t="s">
        <v>692</v>
      </c>
      <c r="C96" s="1" t="s">
        <v>65</v>
      </c>
      <c r="D96" s="1" t="s">
        <v>22</v>
      </c>
      <c r="E96" s="3">
        <v>356103504395494</v>
      </c>
      <c r="F96" s="1"/>
      <c r="G96" s="5">
        <v>45717</v>
      </c>
      <c r="H96" s="4">
        <v>700</v>
      </c>
      <c r="I96" s="4"/>
      <c r="J96" s="5">
        <v>45743</v>
      </c>
      <c r="K96" s="4">
        <v>790</v>
      </c>
      <c r="L96" s="4">
        <v>90</v>
      </c>
      <c r="M96" s="6" t="s">
        <v>887</v>
      </c>
    </row>
    <row r="97" spans="1:13" x14ac:dyDescent="0.3">
      <c r="A97" s="23" t="s">
        <v>16</v>
      </c>
      <c r="B97" s="22" t="s">
        <v>77</v>
      </c>
      <c r="C97" s="1" t="s">
        <v>35</v>
      </c>
      <c r="D97" s="1" t="s">
        <v>15</v>
      </c>
      <c r="E97" s="3">
        <v>357050831534247</v>
      </c>
      <c r="F97" s="1"/>
      <c r="G97" s="5">
        <v>45731</v>
      </c>
      <c r="H97" s="4">
        <v>500</v>
      </c>
      <c r="I97" s="4"/>
      <c r="J97" s="5">
        <v>45744</v>
      </c>
      <c r="K97" s="4">
        <v>560</v>
      </c>
      <c r="L97" s="4">
        <v>60</v>
      </c>
      <c r="M97" s="6" t="s">
        <v>925</v>
      </c>
    </row>
    <row r="98" spans="1:13" x14ac:dyDescent="0.3">
      <c r="A98" s="23" t="s">
        <v>16</v>
      </c>
      <c r="B98" s="22">
        <v>12</v>
      </c>
      <c r="C98" s="1"/>
      <c r="D98" s="1"/>
      <c r="E98" s="3">
        <v>3857</v>
      </c>
      <c r="F98" s="1"/>
      <c r="G98" s="5"/>
      <c r="H98" s="4"/>
      <c r="I98" s="4"/>
      <c r="J98" s="5">
        <v>45744</v>
      </c>
      <c r="K98" s="4">
        <v>15</v>
      </c>
      <c r="L98" s="4">
        <f>Таблица3758[[#This Row],[SOTILGAN NARXI]]-Таблица3758[[#This Row],[OLINGAN NARXI $]]-Таблица3758[[#This Row],[RASXOD]]</f>
        <v>15</v>
      </c>
      <c r="M98" s="6"/>
    </row>
    <row r="99" spans="1:13" x14ac:dyDescent="0.3">
      <c r="A99" s="23" t="s">
        <v>16</v>
      </c>
      <c r="B99" s="6" t="s">
        <v>552</v>
      </c>
      <c r="C99" s="1" t="s">
        <v>97</v>
      </c>
      <c r="D99" s="1" t="s">
        <v>15</v>
      </c>
      <c r="E99" s="3">
        <v>352821110595454</v>
      </c>
      <c r="F99" s="1"/>
      <c r="G99" s="5">
        <v>45742</v>
      </c>
      <c r="H99" s="4">
        <v>195</v>
      </c>
      <c r="I99" s="4"/>
      <c r="J99" s="5">
        <v>45744</v>
      </c>
      <c r="K99" s="4">
        <v>245</v>
      </c>
      <c r="L99" s="4">
        <v>50</v>
      </c>
      <c r="M99" s="6" t="s">
        <v>953</v>
      </c>
    </row>
    <row r="100" spans="1:13" x14ac:dyDescent="0.3">
      <c r="A100" s="23" t="s">
        <v>16</v>
      </c>
      <c r="B100" s="6" t="s">
        <v>74</v>
      </c>
      <c r="C100" s="1" t="s">
        <v>45</v>
      </c>
      <c r="D100" s="1" t="s">
        <v>15</v>
      </c>
      <c r="E100" s="3">
        <v>356901457471695</v>
      </c>
      <c r="F100" s="1"/>
      <c r="G100" s="5">
        <v>45699</v>
      </c>
      <c r="H100" s="4">
        <v>500</v>
      </c>
      <c r="I100" s="4"/>
      <c r="J100" s="5">
        <v>45744</v>
      </c>
      <c r="K100" s="4">
        <v>560</v>
      </c>
      <c r="L100" s="4">
        <v>60</v>
      </c>
      <c r="M100" s="6" t="s">
        <v>848</v>
      </c>
    </row>
    <row r="101" spans="1:13" x14ac:dyDescent="0.3">
      <c r="A101" s="23" t="s">
        <v>16</v>
      </c>
      <c r="B101" s="22" t="s">
        <v>692</v>
      </c>
      <c r="C101" s="1" t="s">
        <v>26</v>
      </c>
      <c r="D101" s="1" t="s">
        <v>22</v>
      </c>
      <c r="E101" s="3">
        <v>354650912525718</v>
      </c>
      <c r="F101" s="1" t="s">
        <v>66</v>
      </c>
      <c r="G101" s="5">
        <v>45734</v>
      </c>
      <c r="H101" s="4">
        <v>650</v>
      </c>
      <c r="I101" s="4"/>
      <c r="J101" s="5">
        <v>45745</v>
      </c>
      <c r="K101" s="4">
        <v>720</v>
      </c>
      <c r="L101" s="4">
        <v>70</v>
      </c>
      <c r="M101" s="6" t="s">
        <v>927</v>
      </c>
    </row>
    <row r="102" spans="1:13" x14ac:dyDescent="0.3">
      <c r="A102" s="23" t="s">
        <v>207</v>
      </c>
      <c r="B102" s="22" t="s">
        <v>933</v>
      </c>
      <c r="C102" s="1" t="s">
        <v>65</v>
      </c>
      <c r="D102" s="1" t="s">
        <v>15</v>
      </c>
      <c r="E102" s="3"/>
      <c r="F102" s="1"/>
      <c r="G102" s="5">
        <v>45735</v>
      </c>
      <c r="H102" s="4">
        <v>85</v>
      </c>
      <c r="I102" s="4"/>
      <c r="J102" s="5">
        <v>45745</v>
      </c>
      <c r="K102" s="4">
        <v>100</v>
      </c>
      <c r="L102" s="4">
        <v>15</v>
      </c>
      <c r="M102" s="6" t="s">
        <v>934</v>
      </c>
    </row>
    <row r="103" spans="1:13" x14ac:dyDescent="0.3">
      <c r="A103" s="23" t="s">
        <v>13</v>
      </c>
      <c r="B103" s="22" t="s">
        <v>325</v>
      </c>
      <c r="C103" s="1" t="s">
        <v>26</v>
      </c>
      <c r="D103" s="1" t="s">
        <v>22</v>
      </c>
      <c r="E103" s="3">
        <v>351123965410892</v>
      </c>
      <c r="F103" s="1"/>
      <c r="G103" s="5">
        <v>45730</v>
      </c>
      <c r="H103" s="4">
        <v>640</v>
      </c>
      <c r="I103" s="4"/>
      <c r="J103" s="5">
        <v>45745</v>
      </c>
      <c r="K103" s="4">
        <v>700</v>
      </c>
      <c r="L103" s="4">
        <v>60</v>
      </c>
      <c r="M103" s="6" t="s">
        <v>921</v>
      </c>
    </row>
    <row r="104" spans="1:13" x14ac:dyDescent="0.3">
      <c r="A104" s="23" t="s">
        <v>16</v>
      </c>
      <c r="B104" s="6" t="s">
        <v>77</v>
      </c>
      <c r="C104" s="1" t="s">
        <v>21</v>
      </c>
      <c r="D104" s="1" t="s">
        <v>15</v>
      </c>
      <c r="E104" s="3">
        <v>355780875963330</v>
      </c>
      <c r="F104" s="1"/>
      <c r="G104" s="5">
        <v>45716</v>
      </c>
      <c r="H104" s="4">
        <v>500</v>
      </c>
      <c r="I104" s="4"/>
      <c r="J104" s="5">
        <v>45747</v>
      </c>
      <c r="K104" s="4">
        <v>560</v>
      </c>
      <c r="L104" s="4">
        <v>60</v>
      </c>
      <c r="M104" s="6" t="s">
        <v>147</v>
      </c>
    </row>
    <row r="105" spans="1:13" x14ac:dyDescent="0.3">
      <c r="A105" s="23" t="s">
        <v>13</v>
      </c>
      <c r="B105" s="22" t="s">
        <v>117</v>
      </c>
      <c r="C105" s="1" t="s">
        <v>18</v>
      </c>
      <c r="D105" s="1" t="s">
        <v>15</v>
      </c>
      <c r="E105" s="3">
        <v>356271890156026</v>
      </c>
      <c r="F105" s="1"/>
      <c r="G105" s="5">
        <v>45739</v>
      </c>
      <c r="H105" s="4">
        <v>215</v>
      </c>
      <c r="I105" s="4"/>
      <c r="J105" s="5">
        <v>45747</v>
      </c>
      <c r="K105" s="4">
        <v>270</v>
      </c>
      <c r="L105" s="4">
        <v>55</v>
      </c>
      <c r="M105" s="6" t="s">
        <v>147</v>
      </c>
    </row>
    <row r="106" spans="1:13" x14ac:dyDescent="0.3">
      <c r="A106" s="23" t="s">
        <v>16</v>
      </c>
      <c r="B106" s="22" t="s">
        <v>621</v>
      </c>
      <c r="C106" s="1" t="s">
        <v>21</v>
      </c>
      <c r="D106" s="1" t="s">
        <v>15</v>
      </c>
      <c r="E106" s="3">
        <v>353870303641582</v>
      </c>
      <c r="F106" s="1" t="s">
        <v>27</v>
      </c>
      <c r="G106" s="5">
        <v>45726</v>
      </c>
      <c r="H106" s="4">
        <v>750</v>
      </c>
      <c r="I106" s="4"/>
      <c r="J106" s="5">
        <v>45747</v>
      </c>
      <c r="K106" s="4">
        <v>800</v>
      </c>
      <c r="L106" s="4">
        <v>50</v>
      </c>
      <c r="M106" s="6" t="s">
        <v>147</v>
      </c>
    </row>
    <row r="107" spans="1:13" x14ac:dyDescent="0.3">
      <c r="A107" s="23" t="s">
        <v>16</v>
      </c>
      <c r="B107" s="6" t="s">
        <v>692</v>
      </c>
      <c r="C107" s="1" t="s">
        <v>26</v>
      </c>
      <c r="D107" s="1" t="s">
        <v>22</v>
      </c>
      <c r="E107" s="3">
        <v>351182297978000</v>
      </c>
      <c r="F107" s="1"/>
      <c r="G107" s="5">
        <v>45747</v>
      </c>
      <c r="H107" s="4">
        <v>770</v>
      </c>
      <c r="I107" s="4"/>
      <c r="J107" s="5">
        <v>45747</v>
      </c>
      <c r="K107" s="4">
        <v>835</v>
      </c>
      <c r="L107" s="4">
        <v>65</v>
      </c>
      <c r="M107" s="6" t="s">
        <v>959</v>
      </c>
    </row>
    <row r="108" spans="1:13" x14ac:dyDescent="0.3">
      <c r="A108" s="23" t="s">
        <v>16</v>
      </c>
      <c r="B108" s="22" t="s">
        <v>407</v>
      </c>
      <c r="C108" s="1" t="s">
        <v>65</v>
      </c>
      <c r="D108" s="1" t="s">
        <v>15</v>
      </c>
      <c r="E108" s="3">
        <v>351696728545252</v>
      </c>
      <c r="F108" s="1"/>
      <c r="G108" s="5">
        <v>45726</v>
      </c>
      <c r="H108" s="4">
        <v>220</v>
      </c>
      <c r="I108" s="4"/>
      <c r="J108" s="5">
        <v>45747</v>
      </c>
      <c r="K108" s="4">
        <v>270</v>
      </c>
      <c r="L108" s="4">
        <v>50</v>
      </c>
      <c r="M108" s="6" t="s">
        <v>262</v>
      </c>
    </row>
    <row r="109" spans="1:13" x14ac:dyDescent="0.3">
      <c r="A109" s="23" t="s">
        <v>16</v>
      </c>
      <c r="B109" s="6" t="s">
        <v>34</v>
      </c>
      <c r="C109" s="1" t="s">
        <v>35</v>
      </c>
      <c r="D109" s="1" t="s">
        <v>22</v>
      </c>
      <c r="E109" s="3">
        <v>352472889893579</v>
      </c>
      <c r="F109" s="1"/>
      <c r="G109" s="5">
        <v>45626</v>
      </c>
      <c r="H109" s="4">
        <v>620</v>
      </c>
      <c r="I109" s="4"/>
      <c r="J109" s="5">
        <v>45747</v>
      </c>
      <c r="K109" s="4">
        <v>690</v>
      </c>
      <c r="L109" s="4">
        <v>70</v>
      </c>
      <c r="M109" s="6" t="s">
        <v>547</v>
      </c>
    </row>
    <row r="110" spans="1:13" x14ac:dyDescent="0.3">
      <c r="A110" s="23" t="s">
        <v>16</v>
      </c>
      <c r="B110" s="6" t="s">
        <v>81</v>
      </c>
      <c r="C110" s="1" t="s">
        <v>45</v>
      </c>
      <c r="D110" s="1" t="s">
        <v>22</v>
      </c>
      <c r="E110" s="3">
        <v>359366640733095</v>
      </c>
      <c r="F110" s="1"/>
      <c r="G110" s="5">
        <v>45745</v>
      </c>
      <c r="H110" s="4">
        <v>350</v>
      </c>
      <c r="I110" s="4"/>
      <c r="J110" s="5">
        <v>45747</v>
      </c>
      <c r="K110" s="4">
        <v>425</v>
      </c>
      <c r="L110" s="4">
        <v>75</v>
      </c>
      <c r="M110" s="6" t="s">
        <v>959</v>
      </c>
    </row>
    <row r="111" spans="1:13" x14ac:dyDescent="0.3">
      <c r="A111" s="23" t="s">
        <v>16</v>
      </c>
      <c r="B111" s="22" t="s">
        <v>34</v>
      </c>
      <c r="C111" s="1" t="s">
        <v>21</v>
      </c>
      <c r="D111" s="1" t="s">
        <v>22</v>
      </c>
      <c r="E111" s="3">
        <v>358034165076453</v>
      </c>
      <c r="F111" s="1"/>
      <c r="G111" s="5">
        <v>45730</v>
      </c>
      <c r="H111" s="4">
        <v>600</v>
      </c>
      <c r="I111" s="4"/>
      <c r="J111" s="5">
        <v>45747</v>
      </c>
      <c r="K111" s="4">
        <v>680</v>
      </c>
      <c r="L111" s="4">
        <v>80</v>
      </c>
      <c r="M111" s="6" t="s">
        <v>923</v>
      </c>
    </row>
    <row r="112" spans="1:13" x14ac:dyDescent="0.3">
      <c r="A112" s="23" t="s">
        <v>16</v>
      </c>
      <c r="B112" s="22" t="s">
        <v>17</v>
      </c>
      <c r="C112" s="1" t="s">
        <v>97</v>
      </c>
      <c r="D112" s="1" t="s">
        <v>22</v>
      </c>
      <c r="E112" s="3">
        <v>353837105452567</v>
      </c>
      <c r="F112" s="1"/>
      <c r="G112" s="5">
        <v>45736</v>
      </c>
      <c r="H112" s="4">
        <v>210</v>
      </c>
      <c r="I112" s="4"/>
      <c r="J112" s="5">
        <v>45737</v>
      </c>
      <c r="K112" s="4">
        <v>255</v>
      </c>
      <c r="L112" s="4">
        <v>45</v>
      </c>
      <c r="M112" s="6" t="s">
        <v>939</v>
      </c>
    </row>
    <row r="113" spans="1:13" x14ac:dyDescent="0.3">
      <c r="A113" s="23" t="s">
        <v>142</v>
      </c>
      <c r="B113" s="6" t="s">
        <v>374</v>
      </c>
      <c r="C113" s="1" t="s">
        <v>375</v>
      </c>
      <c r="D113" s="1" t="s">
        <v>15</v>
      </c>
      <c r="E113" s="3">
        <v>5576</v>
      </c>
      <c r="F113" s="1"/>
      <c r="G113" s="5">
        <v>45603</v>
      </c>
      <c r="H113" s="4">
        <v>150</v>
      </c>
      <c r="I113" s="4"/>
      <c r="J113" s="5" t="s">
        <v>973</v>
      </c>
      <c r="K113" s="4">
        <v>150</v>
      </c>
      <c r="L113" s="4">
        <v>0</v>
      </c>
      <c r="M113" s="6">
        <v>938990330</v>
      </c>
    </row>
    <row r="114" spans="1:13" x14ac:dyDescent="0.3">
      <c r="A114" s="23" t="s">
        <v>16</v>
      </c>
      <c r="B114" s="6" t="s">
        <v>407</v>
      </c>
      <c r="C114" s="1" t="s">
        <v>21</v>
      </c>
      <c r="D114" s="1" t="s">
        <v>22</v>
      </c>
      <c r="E114" s="3">
        <v>353040117713858</v>
      </c>
      <c r="F114" s="1"/>
      <c r="G114" s="5">
        <v>45634</v>
      </c>
      <c r="H114" s="4">
        <v>235</v>
      </c>
      <c r="I114" s="4">
        <v>7</v>
      </c>
      <c r="J114" s="5">
        <v>45747</v>
      </c>
      <c r="K114" s="4">
        <v>249</v>
      </c>
      <c r="L114" s="4">
        <v>7</v>
      </c>
      <c r="M114" s="6" t="s">
        <v>262</v>
      </c>
    </row>
    <row r="115" spans="1:13" x14ac:dyDescent="0.3">
      <c r="A115" s="23"/>
      <c r="B115" s="6"/>
      <c r="C115" s="1"/>
      <c r="D115" s="1"/>
      <c r="E115" s="3"/>
      <c r="F115" s="1"/>
      <c r="G115" s="5"/>
      <c r="H115" s="4"/>
      <c r="I115" s="4"/>
      <c r="J115" s="5"/>
      <c r="K115" s="4"/>
      <c r="L115" s="4">
        <f>Таблица3758[[#This Row],[SOTILGAN NARXI]]-Таблица3758[[#This Row],[OLINGAN NARXI $]]-Таблица3758[[#This Row],[RASXOD]]</f>
        <v>0</v>
      </c>
      <c r="M115" s="6"/>
    </row>
    <row r="116" spans="1:13" x14ac:dyDescent="0.3">
      <c r="A116" s="23"/>
      <c r="B116" s="6"/>
      <c r="C116" s="1"/>
      <c r="D116" s="1"/>
      <c r="E116" s="3"/>
      <c r="F116" s="1"/>
      <c r="G116" s="5"/>
      <c r="H116" s="4"/>
      <c r="I116" s="4"/>
      <c r="J116" s="5"/>
      <c r="K116" s="4"/>
      <c r="L116" s="4">
        <f>Таблица3758[[#This Row],[SOTILGAN NARXI]]-Таблица3758[[#This Row],[OLINGAN NARXI $]]-Таблица3758[[#This Row],[RASXOD]]</f>
        <v>0</v>
      </c>
      <c r="M116" s="6"/>
    </row>
    <row r="117" spans="1:13" x14ac:dyDescent="0.3">
      <c r="A117" s="23"/>
      <c r="B117" s="6"/>
      <c r="C117" s="1"/>
      <c r="D117" s="1"/>
      <c r="E117" s="3"/>
      <c r="F117" s="1" t="s">
        <v>976</v>
      </c>
      <c r="G117" s="5"/>
      <c r="H117" s="4"/>
      <c r="I117" s="4"/>
      <c r="J117" s="5"/>
      <c r="K117" s="4"/>
      <c r="L117" s="4">
        <f>Таблица3758[[#This Row],[SOTILGAN NARXI]]-Таблица3758[[#This Row],[OLINGAN NARXI $]]-Таблица3758[[#This Row],[RASXOD]]</f>
        <v>0</v>
      </c>
      <c r="M117" s="6"/>
    </row>
    <row r="118" spans="1:13" x14ac:dyDescent="0.3">
      <c r="A118" s="23"/>
      <c r="B118" s="6"/>
      <c r="C118" s="1"/>
      <c r="D118" s="1"/>
      <c r="E118" s="3"/>
      <c r="F118" s="1"/>
      <c r="G118" s="5"/>
      <c r="H118" s="4"/>
      <c r="I118" s="4"/>
      <c r="J118" s="5"/>
      <c r="K118" s="4"/>
      <c r="L118" s="4">
        <f>Таблица3758[[#This Row],[SOTILGAN NARXI]]-Таблица3758[[#This Row],[OLINGAN NARXI $]]-Таблица3758[[#This Row],[RASXOD]]</f>
        <v>0</v>
      </c>
      <c r="M118" s="6"/>
    </row>
    <row r="119" spans="1:13" x14ac:dyDescent="0.3">
      <c r="A119" s="23"/>
      <c r="B119" s="6"/>
      <c r="C119" s="1"/>
      <c r="D119" s="1"/>
      <c r="E119" s="3"/>
      <c r="F119" s="1"/>
      <c r="G119" s="5"/>
      <c r="H119" s="4"/>
      <c r="I119" s="4"/>
      <c r="J119" s="5"/>
      <c r="K119" s="4"/>
      <c r="L119" s="4">
        <f>Таблица3758[[#This Row],[SOTILGAN NARXI]]-Таблица3758[[#This Row],[OLINGAN NARXI $]]-Таблица3758[[#This Row],[RASXOD]]</f>
        <v>0</v>
      </c>
      <c r="M119" s="6"/>
    </row>
    <row r="120" spans="1:13" x14ac:dyDescent="0.3">
      <c r="A120" s="23"/>
      <c r="B120" s="6"/>
      <c r="C120" s="1"/>
      <c r="D120" s="1"/>
      <c r="E120" s="3"/>
      <c r="F120" s="1"/>
      <c r="G120" s="5"/>
      <c r="H120" s="4"/>
      <c r="I120" s="4"/>
      <c r="J120" s="5"/>
      <c r="K120" s="4"/>
      <c r="L120" s="4">
        <f>Таблица3758[[#This Row],[SOTILGAN NARXI]]-Таблица3758[[#This Row],[OLINGAN NARXI $]]-Таблица3758[[#This Row],[RASXOD]]</f>
        <v>0</v>
      </c>
      <c r="M120" s="6"/>
    </row>
    <row r="121" spans="1:13" ht="15.75" customHeight="1" x14ac:dyDescent="0.3">
      <c r="A121" s="23"/>
      <c r="B121" s="6"/>
      <c r="C121" s="1"/>
      <c r="D121" s="1"/>
      <c r="E121" s="1"/>
      <c r="F121" s="5"/>
      <c r="G121" s="43"/>
      <c r="H121" s="1"/>
      <c r="I121" s="1"/>
      <c r="J121" s="5"/>
      <c r="K121" s="4"/>
      <c r="L121" s="4">
        <f>Таблица3758[[#This Row],[SOTILGAN NARXI]]-Таблица3758[[#This Row],[OLINGAN NARXI $]]-Таблица3758[[#This Row],[RASXOD]]</f>
        <v>0</v>
      </c>
      <c r="M121" s="6"/>
    </row>
    <row r="122" spans="1:13" x14ac:dyDescent="0.3">
      <c r="A122" s="23"/>
      <c r="B122" s="6"/>
      <c r="C122" s="1"/>
      <c r="D122" s="1"/>
      <c r="E122" s="3"/>
      <c r="F122" s="1"/>
      <c r="G122" s="43"/>
      <c r="H122" s="1"/>
      <c r="I122" s="4"/>
      <c r="J122" s="5"/>
      <c r="K122" s="1"/>
      <c r="L122" s="4">
        <f>Таблица3758[[#This Row],[SOTILGAN NARXI]]-Таблица3758[[#This Row],[OLINGAN NARXI $]]-Таблица3758[[#This Row],[RASXOD]]</f>
        <v>0</v>
      </c>
      <c r="M122" s="6"/>
    </row>
    <row r="123" spans="1:13" x14ac:dyDescent="0.3">
      <c r="A123" s="23"/>
      <c r="B123" s="6"/>
      <c r="C123" s="1"/>
      <c r="D123" s="1"/>
      <c r="E123" s="34" t="s">
        <v>237</v>
      </c>
      <c r="F123" s="35" t="s">
        <v>238</v>
      </c>
      <c r="G123" s="43"/>
      <c r="H123" s="1"/>
      <c r="I123" s="4"/>
      <c r="J123" s="28"/>
      <c r="K123" s="1"/>
      <c r="L123" s="4">
        <f>Таблица3758[[#This Row],[SOTILGAN NARXI]]-Таблица3758[[#This Row],[OLINGAN NARXI $]]-Таблица3758[[#This Row],[RASXOD]]</f>
        <v>0</v>
      </c>
      <c r="M123" s="6"/>
    </row>
    <row r="124" spans="1:13" x14ac:dyDescent="0.3">
      <c r="A124" s="23"/>
      <c r="B124" s="6"/>
      <c r="C124" s="1"/>
      <c r="D124" s="1"/>
      <c r="E124" s="19" t="s">
        <v>574</v>
      </c>
      <c r="F124" s="21">
        <v>8</v>
      </c>
      <c r="G124" s="2"/>
      <c r="H124" s="1"/>
      <c r="I124" s="4"/>
      <c r="J124" s="5"/>
      <c r="K124" s="1"/>
      <c r="L124" s="4">
        <f>Таблица3758[[#This Row],[SOTILGAN NARXI]]-Таблица3758[[#This Row],[OLINGAN NARXI $]]-Таблица3758[[#This Row],[RASXOD]]</f>
        <v>0</v>
      </c>
      <c r="M124" s="6"/>
    </row>
    <row r="125" spans="1:13" x14ac:dyDescent="0.3">
      <c r="A125" s="23"/>
      <c r="B125" s="6"/>
      <c r="C125" s="1"/>
      <c r="D125" s="1"/>
      <c r="E125" s="19" t="s">
        <v>905</v>
      </c>
      <c r="F125" s="21">
        <v>89</v>
      </c>
      <c r="G125" s="2"/>
      <c r="H125" s="1"/>
      <c r="I125" s="4"/>
      <c r="J125" s="5"/>
      <c r="K125" s="1"/>
      <c r="L125" s="4">
        <f>Таблица3758[[#This Row],[SOTILGAN NARXI]]-Таблица3758[[#This Row],[OLINGAN NARXI $]]-Таблица3758[[#This Row],[RASXOD]]</f>
        <v>0</v>
      </c>
      <c r="M125" s="6"/>
    </row>
    <row r="126" spans="1:13" x14ac:dyDescent="0.3">
      <c r="A126" s="23"/>
      <c r="B126" s="6"/>
      <c r="C126" s="1"/>
      <c r="D126" s="1"/>
      <c r="E126" s="33" t="s">
        <v>732</v>
      </c>
      <c r="F126" s="21">
        <v>23</v>
      </c>
      <c r="G126" s="2"/>
      <c r="H126" s="1"/>
      <c r="I126" s="4"/>
      <c r="J126" s="5"/>
      <c r="K126" s="1"/>
      <c r="L126" s="4">
        <f>Таблица3758[[#This Row],[SOTILGAN NARXI]]-Таблица3758[[#This Row],[OLINGAN NARXI $]]-Таблица3758[[#This Row],[RASXOD]]</f>
        <v>0</v>
      </c>
      <c r="M126" s="6"/>
    </row>
    <row r="127" spans="1:13" x14ac:dyDescent="0.3">
      <c r="A127" s="23"/>
      <c r="B127" s="6"/>
      <c r="C127" s="1"/>
      <c r="D127" s="1"/>
      <c r="E127" s="33" t="s">
        <v>963</v>
      </c>
      <c r="F127" s="21">
        <v>550</v>
      </c>
      <c r="G127" s="2"/>
      <c r="H127" s="1"/>
      <c r="I127" s="4"/>
      <c r="J127" s="5"/>
      <c r="K127" s="1"/>
      <c r="L127" s="4">
        <f>Таблица3758[[#This Row],[SOTILGAN NARXI]]-Таблица3758[[#This Row],[OLINGAN NARXI $]]-Таблица3758[[#This Row],[RASXOD]]</f>
        <v>0</v>
      </c>
      <c r="M127" s="6"/>
    </row>
    <row r="128" spans="1:13" x14ac:dyDescent="0.3">
      <c r="A128" s="23"/>
      <c r="B128" s="6"/>
      <c r="C128" s="1"/>
      <c r="D128" s="1"/>
      <c r="E128" s="33" t="s">
        <v>964</v>
      </c>
      <c r="F128" s="21">
        <v>602</v>
      </c>
      <c r="G128" s="2"/>
      <c r="H128" s="1"/>
      <c r="I128" s="4"/>
      <c r="J128" s="5"/>
      <c r="K128" s="1"/>
      <c r="L128" s="4">
        <f>Таблица3758[[#This Row],[SOTILGAN NARXI]]-Таблица3758[[#This Row],[OLINGAN NARXI $]]-Таблица3758[[#This Row],[RASXOD]]</f>
        <v>0</v>
      </c>
      <c r="M128" s="6"/>
    </row>
    <row r="129" spans="1:13" x14ac:dyDescent="0.3">
      <c r="A129" s="23"/>
      <c r="B129" s="6"/>
      <c r="C129" s="1"/>
      <c r="D129" s="1"/>
      <c r="E129" s="33" t="s">
        <v>710</v>
      </c>
      <c r="F129" s="21">
        <v>1000</v>
      </c>
      <c r="G129" s="2"/>
      <c r="H129" s="1"/>
      <c r="I129" s="4"/>
      <c r="J129" s="5"/>
      <c r="K129" s="1"/>
      <c r="L129" s="4">
        <f>Таблица3758[[#This Row],[SOTILGAN NARXI]]-Таблица3758[[#This Row],[OLINGAN NARXI $]]-Таблица3758[[#This Row],[RASXOD]]</f>
        <v>0</v>
      </c>
      <c r="M129" s="6"/>
    </row>
    <row r="130" spans="1:13" x14ac:dyDescent="0.3">
      <c r="A130" s="23"/>
      <c r="B130" s="6"/>
      <c r="C130" s="1"/>
      <c r="D130" s="1"/>
      <c r="E130" s="33" t="s">
        <v>965</v>
      </c>
      <c r="F130" s="21">
        <v>8</v>
      </c>
      <c r="G130" s="2"/>
      <c r="H130" s="1"/>
      <c r="I130" s="4"/>
      <c r="J130" s="5"/>
      <c r="K130" s="1"/>
      <c r="L130" s="4">
        <f>Таблица3758[[#This Row],[SOTILGAN NARXI]]-Таблица3758[[#This Row],[OLINGAN NARXI $]]-Таблица3758[[#This Row],[RASXOD]]</f>
        <v>0</v>
      </c>
      <c r="M130" s="6"/>
    </row>
    <row r="131" spans="1:13" x14ac:dyDescent="0.3">
      <c r="A131" s="23"/>
      <c r="B131" s="6"/>
      <c r="C131" s="1"/>
      <c r="D131" s="1"/>
      <c r="E131" s="33"/>
      <c r="F131" s="21"/>
      <c r="G131" s="2"/>
      <c r="H131" s="1"/>
      <c r="I131" s="4"/>
      <c r="J131" s="5"/>
      <c r="K131" s="1"/>
      <c r="L131" s="4">
        <f>Таблица3758[[#This Row],[SOTILGAN NARXI]]-Таблица3758[[#This Row],[OLINGAN NARXI $]]-Таблица3758[[#This Row],[RASXOD]]</f>
        <v>0</v>
      </c>
      <c r="M131" s="6"/>
    </row>
    <row r="132" spans="1:13" x14ac:dyDescent="0.3">
      <c r="A132" s="23"/>
      <c r="B132" s="6"/>
      <c r="C132" s="1"/>
      <c r="D132" s="1"/>
      <c r="E132" s="33"/>
      <c r="F132" s="21"/>
      <c r="G132" s="2"/>
      <c r="H132" s="1"/>
      <c r="I132" s="4"/>
      <c r="J132" s="28"/>
      <c r="K132" s="1"/>
      <c r="L132" s="4">
        <f>Таблица3758[[#This Row],[SOTILGAN NARXI]]-Таблица3758[[#This Row],[OLINGAN NARXI $]]-Таблица3758[[#This Row],[RASXOD]]</f>
        <v>0</v>
      </c>
      <c r="M132" s="6"/>
    </row>
    <row r="133" spans="1:13" x14ac:dyDescent="0.3">
      <c r="A133" s="23"/>
      <c r="B133" s="6"/>
      <c r="C133" s="1"/>
      <c r="D133" s="1"/>
      <c r="E133" s="19"/>
      <c r="F133" s="21"/>
      <c r="G133" s="2"/>
      <c r="H133" s="1"/>
      <c r="I133" s="4"/>
      <c r="J133" s="28"/>
      <c r="K133" s="1"/>
      <c r="L133" s="4">
        <f>Таблица3758[[#This Row],[SOTILGAN NARXI]]-Таблица3758[[#This Row],[OLINGAN NARXI $]]-Таблица3758[[#This Row],[RASXOD]]</f>
        <v>0</v>
      </c>
      <c r="M133" s="6"/>
    </row>
    <row r="134" spans="1:13" x14ac:dyDescent="0.3">
      <c r="A134" s="23"/>
      <c r="B134" s="6"/>
      <c r="C134" s="1"/>
      <c r="D134" s="1"/>
      <c r="E134" s="19"/>
      <c r="F134" s="21"/>
      <c r="G134" s="2"/>
      <c r="H134" s="1"/>
      <c r="I134" s="4"/>
      <c r="J134" s="28"/>
      <c r="K134" s="1"/>
      <c r="L134" s="4">
        <f>Таблица3758[[#This Row],[SOTILGAN NARXI]]-Таблица3758[[#This Row],[OLINGAN NARXI $]]-Таблица3758[[#This Row],[RASXOD]]</f>
        <v>0</v>
      </c>
      <c r="M134" s="6"/>
    </row>
    <row r="135" spans="1:13" x14ac:dyDescent="0.3">
      <c r="A135" s="23"/>
      <c r="B135" s="6"/>
      <c r="C135" s="1"/>
      <c r="D135" s="1"/>
      <c r="E135" s="33"/>
      <c r="F135" s="21"/>
      <c r="G135" s="2"/>
      <c r="H135" s="1"/>
      <c r="I135" s="4"/>
      <c r="J135" s="28"/>
      <c r="K135" s="1"/>
      <c r="L135" s="4">
        <f>Таблица3758[[#This Row],[SOTILGAN NARXI]]-Таблица3758[[#This Row],[OLINGAN NARXI $]]-Таблица3758[[#This Row],[RASXOD]]</f>
        <v>0</v>
      </c>
      <c r="M135" s="6"/>
    </row>
    <row r="136" spans="1:13" x14ac:dyDescent="0.3">
      <c r="A136" s="23"/>
      <c r="B136" s="6"/>
      <c r="C136" s="1"/>
      <c r="D136" s="1"/>
      <c r="E136" s="44"/>
      <c r="F136" s="45"/>
      <c r="G136" s="2"/>
      <c r="H136" s="1"/>
      <c r="I136" s="4"/>
      <c r="J136" s="28"/>
      <c r="K136" s="1"/>
      <c r="L136" s="4">
        <f>Таблица3758[[#This Row],[SOTILGAN NARXI]]-Таблица3758[[#This Row],[OLINGAN NARXI $]]-Таблица3758[[#This Row],[RASXOD]]</f>
        <v>0</v>
      </c>
      <c r="M136" s="6"/>
    </row>
    <row r="137" spans="1:13" x14ac:dyDescent="0.3">
      <c r="A137" s="27"/>
      <c r="B137" s="12"/>
      <c r="C137" s="11"/>
      <c r="D137" s="46"/>
      <c r="E137" s="47"/>
      <c r="F137" s="48"/>
      <c r="G137" s="49"/>
      <c r="H137" s="40"/>
      <c r="I137" s="40">
        <f>SUBTOTAL(109,I2:I123)</f>
        <v>547</v>
      </c>
      <c r="J137" s="41"/>
      <c r="K137" s="42">
        <f>SUM(K2:K136)</f>
        <v>49312</v>
      </c>
      <c r="L137" s="14">
        <f>SUBTOTAL(109,L2:L136)</f>
        <v>6335</v>
      </c>
      <c r="M137" s="6"/>
    </row>
    <row r="138" spans="1:13" x14ac:dyDescent="0.3">
      <c r="A138" s="23"/>
      <c r="B138" s="6"/>
      <c r="C138" s="1"/>
      <c r="D138" s="1"/>
      <c r="E138" s="23"/>
      <c r="F138" s="4"/>
      <c r="G138" s="5"/>
      <c r="H138" s="4"/>
      <c r="I138" s="4"/>
      <c r="J138" s="5"/>
      <c r="K138" s="4"/>
      <c r="L138" s="4">
        <f>Таблица3758[[#This Row],[SOTILGAN NARXI]]-Таблица3758[[#This Row],[OLINGAN NARXI $]]-Таблица3758[[#This Row],[RASXOD]]</f>
        <v>0</v>
      </c>
      <c r="M138" s="6"/>
    </row>
    <row r="139" spans="1:13" x14ac:dyDescent="0.3">
      <c r="A139" s="23"/>
      <c r="B139" s="6"/>
      <c r="C139" s="1"/>
      <c r="D139" s="1"/>
      <c r="E139" s="23"/>
      <c r="F139" s="4"/>
      <c r="G139" s="5"/>
      <c r="H139" s="4"/>
      <c r="I139" s="4"/>
      <c r="J139" s="5"/>
      <c r="K139" s="4"/>
      <c r="L139" s="4">
        <f>Таблица3758[[#This Row],[SOTILGAN NARXI]]-Таблица3758[[#This Row],[OLINGAN NARXI $]]-Таблица3758[[#This Row],[RASXOD]]</f>
        <v>0</v>
      </c>
      <c r="M139" s="6"/>
    </row>
    <row r="140" spans="1:13" x14ac:dyDescent="0.3">
      <c r="A140" s="23"/>
      <c r="B140" s="6"/>
      <c r="C140" s="1"/>
      <c r="D140" s="1"/>
      <c r="E140" s="23"/>
      <c r="F140" s="4"/>
      <c r="G140" s="5"/>
      <c r="H140" s="4"/>
      <c r="I140" s="4"/>
      <c r="J140" s="5"/>
      <c r="K140" s="4"/>
      <c r="L140" s="4">
        <f>Таблица3758[[#This Row],[SOTILGAN NARXI]]-Таблица3758[[#This Row],[OLINGAN NARXI $]]-Таблица3758[[#This Row],[RASXOD]]</f>
        <v>0</v>
      </c>
      <c r="M140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5411C-C086-4450-9CFE-39344C029B13}">
  <sheetPr codeName="Лист10"/>
  <dimension ref="A1:M123"/>
  <sheetViews>
    <sheetView topLeftCell="A91" zoomScale="70" zoomScaleNormal="70" workbookViewId="0">
      <selection activeCell="E14" sqref="E14"/>
    </sheetView>
  </sheetViews>
  <sheetFormatPr defaultRowHeight="14.4" x14ac:dyDescent="0.3"/>
  <cols>
    <col min="1" max="1" width="11.5546875" bestFit="1" customWidth="1"/>
    <col min="2" max="2" width="19" bestFit="1" customWidth="1"/>
    <col min="3" max="3" width="18.88671875" bestFit="1" customWidth="1"/>
    <col min="4" max="4" width="14.109375" bestFit="1" customWidth="1"/>
    <col min="5" max="5" width="17.33203125" bestFit="1" customWidth="1"/>
    <col min="6" max="6" width="36.6640625" bestFit="1" customWidth="1"/>
    <col min="7" max="7" width="34.5546875" bestFit="1" customWidth="1"/>
    <col min="8" max="8" width="21.6640625" bestFit="1" customWidth="1"/>
    <col min="9" max="9" width="15" bestFit="1" customWidth="1"/>
    <col min="10" max="10" width="21.88671875" bestFit="1" customWidth="1"/>
    <col min="11" max="11" width="22.6640625" bestFit="1" customWidth="1"/>
    <col min="12" max="12" width="13.5546875" bestFit="1" customWidth="1"/>
    <col min="13" max="13" width="31.5546875" customWidth="1"/>
  </cols>
  <sheetData>
    <row r="1" spans="1:13" x14ac:dyDescent="0.3">
      <c r="A1" s="1" t="s">
        <v>0</v>
      </c>
      <c r="B1" s="6" t="s">
        <v>2</v>
      </c>
      <c r="C1" s="1" t="s">
        <v>1</v>
      </c>
      <c r="D1" s="1" t="s">
        <v>3</v>
      </c>
      <c r="E1" s="3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10</v>
      </c>
      <c r="K1" s="1" t="s">
        <v>9</v>
      </c>
      <c r="L1" s="1" t="s">
        <v>11</v>
      </c>
      <c r="M1" s="1" t="s">
        <v>12</v>
      </c>
    </row>
    <row r="2" spans="1:13" x14ac:dyDescent="0.3">
      <c r="A2" s="23" t="s">
        <v>16</v>
      </c>
      <c r="B2" s="6" t="s">
        <v>541</v>
      </c>
      <c r="C2" s="1" t="s">
        <v>45</v>
      </c>
      <c r="D2" s="1" t="s">
        <v>15</v>
      </c>
      <c r="E2" s="3">
        <v>353891102341539</v>
      </c>
      <c r="F2" s="1"/>
      <c r="G2" s="5">
        <v>45625</v>
      </c>
      <c r="H2" s="4">
        <v>220</v>
      </c>
      <c r="I2" s="4"/>
      <c r="J2" s="5">
        <v>45689</v>
      </c>
      <c r="K2" s="4">
        <v>270</v>
      </c>
      <c r="L2" s="4">
        <v>50</v>
      </c>
      <c r="M2" s="6" t="s">
        <v>542</v>
      </c>
    </row>
    <row r="3" spans="1:13" x14ac:dyDescent="0.3">
      <c r="A3" s="23" t="s">
        <v>13</v>
      </c>
      <c r="B3" s="6" t="s">
        <v>121</v>
      </c>
      <c r="C3" s="1" t="s">
        <v>21</v>
      </c>
      <c r="D3" s="1" t="s">
        <v>15</v>
      </c>
      <c r="E3" s="3">
        <v>352412374755941</v>
      </c>
      <c r="F3" s="1"/>
      <c r="G3" s="5">
        <v>45687</v>
      </c>
      <c r="H3" s="4">
        <v>270</v>
      </c>
      <c r="I3" s="4">
        <v>24</v>
      </c>
      <c r="J3" s="5">
        <v>45689</v>
      </c>
      <c r="K3" s="4">
        <v>337</v>
      </c>
      <c r="L3" s="4">
        <v>43</v>
      </c>
      <c r="M3" s="6" t="s">
        <v>811</v>
      </c>
    </row>
    <row r="4" spans="1:13" x14ac:dyDescent="0.3">
      <c r="A4" s="23" t="s">
        <v>16</v>
      </c>
      <c r="B4" s="6" t="s">
        <v>452</v>
      </c>
      <c r="C4" s="1" t="s">
        <v>21</v>
      </c>
      <c r="D4" s="1" t="s">
        <v>15</v>
      </c>
      <c r="E4" s="3">
        <v>356566102465184</v>
      </c>
      <c r="F4" s="1"/>
      <c r="G4" s="5">
        <v>45596</v>
      </c>
      <c r="H4" s="4">
        <v>200</v>
      </c>
      <c r="I4" s="4"/>
      <c r="J4" s="5"/>
      <c r="K4" s="4">
        <v>240</v>
      </c>
      <c r="L4" s="4">
        <v>40</v>
      </c>
      <c r="M4" s="6" t="s">
        <v>146</v>
      </c>
    </row>
    <row r="5" spans="1:13" x14ac:dyDescent="0.3">
      <c r="A5" s="23" t="s">
        <v>16</v>
      </c>
      <c r="B5" s="6" t="s">
        <v>83</v>
      </c>
      <c r="C5" s="1" t="s">
        <v>65</v>
      </c>
      <c r="D5" s="1" t="s">
        <v>22</v>
      </c>
      <c r="E5" s="3">
        <v>353990993076681</v>
      </c>
      <c r="F5" s="1"/>
      <c r="G5" s="5">
        <v>45610</v>
      </c>
      <c r="H5" s="4">
        <v>450</v>
      </c>
      <c r="I5" s="4"/>
      <c r="J5" s="5"/>
      <c r="K5" s="4">
        <v>500</v>
      </c>
      <c r="L5" s="4">
        <v>50</v>
      </c>
      <c r="M5" s="6" t="s">
        <v>429</v>
      </c>
    </row>
    <row r="6" spans="1:13" x14ac:dyDescent="0.3">
      <c r="A6" s="23" t="s">
        <v>16</v>
      </c>
      <c r="B6" s="6" t="s">
        <v>149</v>
      </c>
      <c r="C6" s="1" t="s">
        <v>21</v>
      </c>
      <c r="D6" s="1" t="s">
        <v>22</v>
      </c>
      <c r="E6" s="3">
        <v>350293728507630</v>
      </c>
      <c r="F6" s="1" t="s">
        <v>343</v>
      </c>
      <c r="G6" s="5">
        <v>45622</v>
      </c>
      <c r="H6" s="4">
        <v>163</v>
      </c>
      <c r="I6" s="4"/>
      <c r="J6" s="5"/>
      <c r="K6" s="4">
        <v>190</v>
      </c>
      <c r="L6" s="4">
        <v>27</v>
      </c>
      <c r="M6" s="6" t="s">
        <v>524</v>
      </c>
    </row>
    <row r="7" spans="1:13" x14ac:dyDescent="0.3">
      <c r="A7" s="23" t="s">
        <v>16</v>
      </c>
      <c r="B7" s="6" t="s">
        <v>81</v>
      </c>
      <c r="C7" s="1" t="s">
        <v>65</v>
      </c>
      <c r="D7" s="1" t="s">
        <v>22</v>
      </c>
      <c r="E7" s="3">
        <v>358823348897987</v>
      </c>
      <c r="F7" s="1"/>
      <c r="G7" s="5">
        <v>45650</v>
      </c>
      <c r="H7" s="4">
        <v>400</v>
      </c>
      <c r="I7" s="4"/>
      <c r="J7" s="5"/>
      <c r="K7" s="4">
        <v>460</v>
      </c>
      <c r="L7" s="4">
        <v>60</v>
      </c>
      <c r="M7" s="6" t="s">
        <v>677</v>
      </c>
    </row>
    <row r="8" spans="1:13" x14ac:dyDescent="0.3">
      <c r="A8" s="23" t="s">
        <v>16</v>
      </c>
      <c r="B8" s="6" t="s">
        <v>117</v>
      </c>
      <c r="C8" s="1" t="s">
        <v>65</v>
      </c>
      <c r="D8" s="1" t="s">
        <v>15</v>
      </c>
      <c r="E8" s="3">
        <v>358506401126978</v>
      </c>
      <c r="F8" s="1"/>
      <c r="G8" s="5">
        <v>45655</v>
      </c>
      <c r="H8" s="4">
        <v>225</v>
      </c>
      <c r="I8" s="4"/>
      <c r="J8" s="5"/>
      <c r="K8" s="4">
        <v>290</v>
      </c>
      <c r="L8" s="4">
        <v>65</v>
      </c>
      <c r="M8" s="6" t="s">
        <v>700</v>
      </c>
    </row>
    <row r="9" spans="1:13" x14ac:dyDescent="0.3">
      <c r="A9" s="23" t="s">
        <v>16</v>
      </c>
      <c r="B9" s="6" t="s">
        <v>448</v>
      </c>
      <c r="C9" s="1" t="s">
        <v>21</v>
      </c>
      <c r="D9" s="1" t="s">
        <v>15</v>
      </c>
      <c r="E9" s="3">
        <v>351880154396527</v>
      </c>
      <c r="F9" s="1"/>
      <c r="G9" s="5">
        <v>45650</v>
      </c>
      <c r="H9" s="4">
        <v>290</v>
      </c>
      <c r="I9" s="4">
        <v>18</v>
      </c>
      <c r="J9" s="5">
        <v>45689</v>
      </c>
      <c r="K9" s="4">
        <v>400</v>
      </c>
      <c r="L9" s="4">
        <v>92</v>
      </c>
      <c r="M9" s="6" t="s">
        <v>147</v>
      </c>
    </row>
    <row r="10" spans="1:13" x14ac:dyDescent="0.3">
      <c r="A10" s="23" t="s">
        <v>16</v>
      </c>
      <c r="B10" s="6" t="s">
        <v>129</v>
      </c>
      <c r="C10" s="1" t="s">
        <v>21</v>
      </c>
      <c r="D10" s="1" t="s">
        <v>22</v>
      </c>
      <c r="E10" s="3">
        <v>359836510829132</v>
      </c>
      <c r="F10" s="1"/>
      <c r="G10" s="5">
        <v>45676</v>
      </c>
      <c r="H10" s="4">
        <v>550</v>
      </c>
      <c r="I10" s="4"/>
      <c r="J10" s="5">
        <v>45689</v>
      </c>
      <c r="K10" s="4">
        <v>620</v>
      </c>
      <c r="L10" s="4">
        <v>70</v>
      </c>
      <c r="M10" s="6" t="s">
        <v>770</v>
      </c>
    </row>
    <row r="11" spans="1:13" x14ac:dyDescent="0.3">
      <c r="A11" s="23" t="s">
        <v>16</v>
      </c>
      <c r="B11" s="6" t="s">
        <v>77</v>
      </c>
      <c r="C11" s="1" t="s">
        <v>45</v>
      </c>
      <c r="D11" s="1" t="s">
        <v>15</v>
      </c>
      <c r="E11" s="3">
        <v>350666975143136</v>
      </c>
      <c r="F11" s="1"/>
      <c r="G11" s="5">
        <v>45642</v>
      </c>
      <c r="H11" s="4">
        <v>600</v>
      </c>
      <c r="I11" s="4"/>
      <c r="J11" s="5">
        <v>45689</v>
      </c>
      <c r="K11" s="4">
        <v>550</v>
      </c>
      <c r="L11" s="4">
        <v>-50</v>
      </c>
      <c r="M11" s="6" t="s">
        <v>262</v>
      </c>
    </row>
    <row r="12" spans="1:13" x14ac:dyDescent="0.3">
      <c r="A12" s="23" t="s">
        <v>16</v>
      </c>
      <c r="B12" s="6" t="s">
        <v>34</v>
      </c>
      <c r="C12" s="1" t="s">
        <v>35</v>
      </c>
      <c r="D12" s="1" t="s">
        <v>22</v>
      </c>
      <c r="E12" s="3">
        <v>358165604913235</v>
      </c>
      <c r="F12" s="1"/>
      <c r="G12" s="5">
        <v>45687</v>
      </c>
      <c r="H12" s="4">
        <v>605</v>
      </c>
      <c r="I12" s="4"/>
      <c r="J12" s="5">
        <v>45690</v>
      </c>
      <c r="K12" s="4">
        <v>680</v>
      </c>
      <c r="L12" s="4">
        <v>75</v>
      </c>
      <c r="M12" s="6" t="s">
        <v>683</v>
      </c>
    </row>
    <row r="13" spans="1:13" x14ac:dyDescent="0.3">
      <c r="A13" s="23" t="s">
        <v>16</v>
      </c>
      <c r="B13" s="6" t="s">
        <v>149</v>
      </c>
      <c r="C13" s="1" t="s">
        <v>21</v>
      </c>
      <c r="D13" s="1" t="s">
        <v>15</v>
      </c>
      <c r="E13" s="3">
        <v>353836104587357</v>
      </c>
      <c r="F13" s="1"/>
      <c r="G13" s="5">
        <v>45685</v>
      </c>
      <c r="H13" s="4">
        <v>170</v>
      </c>
      <c r="I13" s="4"/>
      <c r="J13" s="5">
        <v>45690</v>
      </c>
      <c r="K13" s="4">
        <v>240</v>
      </c>
      <c r="L13" s="4">
        <v>70</v>
      </c>
      <c r="M13" s="6"/>
    </row>
    <row r="14" spans="1:13" x14ac:dyDescent="0.3">
      <c r="A14" s="23" t="s">
        <v>16</v>
      </c>
      <c r="B14" s="6" t="s">
        <v>452</v>
      </c>
      <c r="C14" s="1" t="s">
        <v>18</v>
      </c>
      <c r="D14" s="1" t="s">
        <v>22</v>
      </c>
      <c r="E14" s="3">
        <v>356817110348296</v>
      </c>
      <c r="F14" s="1"/>
      <c r="G14" s="5">
        <v>45650</v>
      </c>
      <c r="H14" s="4">
        <v>200</v>
      </c>
      <c r="I14" s="4">
        <v>18</v>
      </c>
      <c r="J14" s="5">
        <v>45690</v>
      </c>
      <c r="K14" s="4">
        <v>246</v>
      </c>
      <c r="L14" s="4">
        <v>28</v>
      </c>
      <c r="M14" s="6" t="s">
        <v>147</v>
      </c>
    </row>
    <row r="15" spans="1:13" x14ac:dyDescent="0.3">
      <c r="A15" s="23" t="s">
        <v>16</v>
      </c>
      <c r="B15" s="6" t="s">
        <v>92</v>
      </c>
      <c r="C15" s="1" t="s">
        <v>65</v>
      </c>
      <c r="D15" s="1" t="s">
        <v>15</v>
      </c>
      <c r="E15" s="3">
        <v>352704134884072</v>
      </c>
      <c r="F15" s="1" t="s">
        <v>813</v>
      </c>
      <c r="G15" s="5">
        <v>45687</v>
      </c>
      <c r="H15" s="4">
        <v>150</v>
      </c>
      <c r="I15" s="4"/>
      <c r="J15" s="5">
        <v>45690</v>
      </c>
      <c r="K15" s="4">
        <v>190</v>
      </c>
      <c r="L15" s="4">
        <v>40</v>
      </c>
      <c r="M15" s="6" t="s">
        <v>262</v>
      </c>
    </row>
    <row r="16" spans="1:13" x14ac:dyDescent="0.3">
      <c r="A16" s="23" t="s">
        <v>13</v>
      </c>
      <c r="B16" s="6" t="s">
        <v>800</v>
      </c>
      <c r="C16" s="1" t="s">
        <v>21</v>
      </c>
      <c r="D16" s="1" t="s">
        <v>15</v>
      </c>
      <c r="E16" s="3">
        <v>353182213300584</v>
      </c>
      <c r="F16" s="1"/>
      <c r="G16" s="5">
        <v>45683</v>
      </c>
      <c r="H16" s="4">
        <v>300</v>
      </c>
      <c r="I16" s="4">
        <v>18</v>
      </c>
      <c r="J16" s="5">
        <v>45690</v>
      </c>
      <c r="K16" s="4">
        <v>420</v>
      </c>
      <c r="L16" s="4">
        <v>102</v>
      </c>
      <c r="M16" s="6" t="s">
        <v>801</v>
      </c>
    </row>
    <row r="17" spans="1:13" x14ac:dyDescent="0.3">
      <c r="A17" s="23" t="s">
        <v>16</v>
      </c>
      <c r="B17" s="6" t="s">
        <v>129</v>
      </c>
      <c r="C17" s="1" t="s">
        <v>45</v>
      </c>
      <c r="D17" s="1" t="s">
        <v>22</v>
      </c>
      <c r="E17" s="3">
        <v>355475795775381</v>
      </c>
      <c r="F17" s="1"/>
      <c r="G17" s="5">
        <v>45649</v>
      </c>
      <c r="H17" s="4">
        <v>500</v>
      </c>
      <c r="I17" s="4"/>
      <c r="J17" s="5">
        <v>45690</v>
      </c>
      <c r="K17" s="4">
        <v>560</v>
      </c>
      <c r="L17" s="4">
        <v>60</v>
      </c>
      <c r="M17" s="6" t="s">
        <v>670</v>
      </c>
    </row>
    <row r="18" spans="1:13" x14ac:dyDescent="0.3">
      <c r="A18" s="23" t="s">
        <v>207</v>
      </c>
      <c r="B18" s="6" t="s">
        <v>752</v>
      </c>
      <c r="C18" s="1" t="s">
        <v>21</v>
      </c>
      <c r="D18" s="1" t="s">
        <v>22</v>
      </c>
      <c r="E18" s="3"/>
      <c r="F18" s="1"/>
      <c r="G18" s="5">
        <v>45682</v>
      </c>
      <c r="H18" s="4">
        <v>350</v>
      </c>
      <c r="I18" s="4"/>
      <c r="J18" s="5">
        <v>45690</v>
      </c>
      <c r="K18" s="4">
        <v>430</v>
      </c>
      <c r="L18" s="4">
        <v>80</v>
      </c>
      <c r="M18" s="6" t="s">
        <v>787</v>
      </c>
    </row>
    <row r="19" spans="1:13" x14ac:dyDescent="0.3">
      <c r="A19" s="23" t="s">
        <v>323</v>
      </c>
      <c r="B19" s="6"/>
      <c r="C19" s="1"/>
      <c r="D19" s="1"/>
      <c r="E19" s="3"/>
      <c r="F19" s="1"/>
      <c r="G19" s="5"/>
      <c r="H19" s="4"/>
      <c r="I19" s="4"/>
      <c r="J19" s="5">
        <v>45690</v>
      </c>
      <c r="K19" s="4">
        <v>12</v>
      </c>
      <c r="L19" s="4">
        <f>Таблица375[[#This Row],[SOTILGAN NARXI]]-Таблица375[[#This Row],[OLINGAN NARXI $]]-Таблица375[[#This Row],[RASXOD]]</f>
        <v>12</v>
      </c>
      <c r="M19" s="6"/>
    </row>
    <row r="20" spans="1:13" x14ac:dyDescent="0.3">
      <c r="A20" s="23" t="s">
        <v>16</v>
      </c>
      <c r="B20" s="6" t="s">
        <v>692</v>
      </c>
      <c r="C20" s="1" t="s">
        <v>26</v>
      </c>
      <c r="D20" s="1" t="s">
        <v>22</v>
      </c>
      <c r="E20" s="3">
        <v>353134984080408</v>
      </c>
      <c r="F20" s="1"/>
      <c r="G20" s="5">
        <v>45681</v>
      </c>
      <c r="H20" s="4">
        <v>780</v>
      </c>
      <c r="I20" s="4"/>
      <c r="J20" s="5">
        <v>45690</v>
      </c>
      <c r="K20" s="4">
        <v>810</v>
      </c>
      <c r="L20" s="4">
        <v>30</v>
      </c>
      <c r="M20" s="6" t="s">
        <v>787</v>
      </c>
    </row>
    <row r="21" spans="1:13" x14ac:dyDescent="0.3">
      <c r="A21" s="23" t="s">
        <v>16</v>
      </c>
      <c r="B21" s="6" t="s">
        <v>621</v>
      </c>
      <c r="C21" s="1" t="s">
        <v>257</v>
      </c>
      <c r="D21" s="1" t="s">
        <v>22</v>
      </c>
      <c r="E21" s="3">
        <v>355018539133341</v>
      </c>
      <c r="F21" s="1"/>
      <c r="G21" s="5">
        <v>45679</v>
      </c>
      <c r="H21" s="4">
        <v>684</v>
      </c>
      <c r="I21" s="4"/>
      <c r="J21" s="5">
        <v>45690</v>
      </c>
      <c r="K21" s="4">
        <v>790</v>
      </c>
      <c r="L21" s="4">
        <v>106</v>
      </c>
      <c r="M21" s="6" t="s">
        <v>780</v>
      </c>
    </row>
    <row r="22" spans="1:13" x14ac:dyDescent="0.3">
      <c r="A22" s="23" t="s">
        <v>820</v>
      </c>
      <c r="B22" s="25" t="s">
        <v>821</v>
      </c>
      <c r="C22" s="1"/>
      <c r="D22" s="1"/>
      <c r="E22" s="3"/>
      <c r="F22" s="1"/>
      <c r="G22" s="5"/>
      <c r="H22" s="4"/>
      <c r="I22" s="4"/>
      <c r="J22" s="5">
        <v>45690</v>
      </c>
      <c r="K22" s="4">
        <v>8</v>
      </c>
      <c r="L22" s="4">
        <f>Таблица375[[#This Row],[SOTILGAN NARXI]]-Таблица375[[#This Row],[OLINGAN NARXI $]]-Таблица375[[#This Row],[RASXOD]]</f>
        <v>8</v>
      </c>
      <c r="M22" s="6"/>
    </row>
    <row r="23" spans="1:13" x14ac:dyDescent="0.3">
      <c r="A23" s="23" t="s">
        <v>16</v>
      </c>
      <c r="B23" s="6" t="s">
        <v>32</v>
      </c>
      <c r="C23" s="1" t="s">
        <v>26</v>
      </c>
      <c r="D23" s="1" t="s">
        <v>22</v>
      </c>
      <c r="E23" s="3">
        <v>356761829779055</v>
      </c>
      <c r="F23" s="1"/>
      <c r="G23" s="5">
        <v>45672</v>
      </c>
      <c r="H23" s="4">
        <v>670</v>
      </c>
      <c r="I23" s="4"/>
      <c r="J23" s="5"/>
      <c r="K23" s="4">
        <v>720</v>
      </c>
      <c r="L23" s="4">
        <v>50</v>
      </c>
      <c r="M23" s="6" t="s">
        <v>751</v>
      </c>
    </row>
    <row r="24" spans="1:13" x14ac:dyDescent="0.3">
      <c r="A24" s="23" t="s">
        <v>13</v>
      </c>
      <c r="B24" s="6" t="s">
        <v>823</v>
      </c>
      <c r="C24" s="1" t="s">
        <v>21</v>
      </c>
      <c r="D24" s="1" t="s">
        <v>22</v>
      </c>
      <c r="E24" s="3">
        <v>352334702221083</v>
      </c>
      <c r="F24" s="1"/>
      <c r="G24" s="5">
        <v>45689</v>
      </c>
      <c r="H24" s="4">
        <v>200</v>
      </c>
      <c r="I24" s="4"/>
      <c r="J24" s="5">
        <v>45691</v>
      </c>
      <c r="K24" s="4">
        <v>300</v>
      </c>
      <c r="L24" s="4">
        <v>100</v>
      </c>
      <c r="M24" s="6" t="s">
        <v>824</v>
      </c>
    </row>
    <row r="25" spans="1:13" x14ac:dyDescent="0.3">
      <c r="A25" s="23" t="s">
        <v>13</v>
      </c>
      <c r="B25" s="6" t="s">
        <v>370</v>
      </c>
      <c r="C25" s="1" t="s">
        <v>21</v>
      </c>
      <c r="D25" s="1" t="s">
        <v>15</v>
      </c>
      <c r="E25" s="3">
        <v>351357515258332</v>
      </c>
      <c r="F25" s="1"/>
      <c r="G25" s="5">
        <v>45628</v>
      </c>
      <c r="H25" s="4">
        <v>345</v>
      </c>
      <c r="I25" s="4">
        <v>9</v>
      </c>
      <c r="J25" s="5">
        <v>45691</v>
      </c>
      <c r="K25" s="4">
        <v>400</v>
      </c>
      <c r="L25" s="4">
        <v>46</v>
      </c>
      <c r="M25" s="6" t="s">
        <v>147</v>
      </c>
    </row>
    <row r="26" spans="1:13" x14ac:dyDescent="0.3">
      <c r="A26" s="23" t="s">
        <v>16</v>
      </c>
      <c r="B26" s="6" t="s">
        <v>452</v>
      </c>
      <c r="C26" s="1" t="s">
        <v>533</v>
      </c>
      <c r="D26" s="1" t="s">
        <v>22</v>
      </c>
      <c r="E26" s="3">
        <v>354396702356308</v>
      </c>
      <c r="F26" s="1"/>
      <c r="G26" s="5">
        <v>45682</v>
      </c>
      <c r="H26" s="4">
        <v>170</v>
      </c>
      <c r="I26" s="4"/>
      <c r="J26" s="5">
        <v>45691</v>
      </c>
      <c r="K26" s="4">
        <v>230</v>
      </c>
      <c r="L26" s="4">
        <v>60</v>
      </c>
      <c r="M26" s="6" t="s">
        <v>797</v>
      </c>
    </row>
    <row r="27" spans="1:13" x14ac:dyDescent="0.3">
      <c r="A27" s="23" t="s">
        <v>16</v>
      </c>
      <c r="B27" s="6" t="s">
        <v>77</v>
      </c>
      <c r="C27" s="1" t="s">
        <v>35</v>
      </c>
      <c r="D27" s="1" t="s">
        <v>15</v>
      </c>
      <c r="E27" s="3">
        <v>351083739387562</v>
      </c>
      <c r="F27" s="1"/>
      <c r="G27" s="5">
        <v>45629</v>
      </c>
      <c r="H27" s="4">
        <v>510</v>
      </c>
      <c r="I27" s="4"/>
      <c r="J27" s="5">
        <v>45691</v>
      </c>
      <c r="K27" s="4">
        <v>580</v>
      </c>
      <c r="L27" s="4">
        <v>70</v>
      </c>
      <c r="M27" s="6" t="s">
        <v>576</v>
      </c>
    </row>
    <row r="28" spans="1:13" x14ac:dyDescent="0.3">
      <c r="A28" s="23" t="s">
        <v>16</v>
      </c>
      <c r="B28" s="6" t="s">
        <v>696</v>
      </c>
      <c r="C28" s="1" t="s">
        <v>89</v>
      </c>
      <c r="D28" s="1" t="s">
        <v>15</v>
      </c>
      <c r="E28" s="3">
        <v>351893603594253</v>
      </c>
      <c r="F28" s="1"/>
      <c r="G28" s="5">
        <v>45654</v>
      </c>
      <c r="H28" s="4">
        <v>210</v>
      </c>
      <c r="I28" s="4"/>
      <c r="J28" s="5">
        <v>45692</v>
      </c>
      <c r="K28" s="4">
        <v>269</v>
      </c>
      <c r="L28" s="4">
        <v>59</v>
      </c>
      <c r="M28" s="6" t="s">
        <v>697</v>
      </c>
    </row>
    <row r="29" spans="1:13" x14ac:dyDescent="0.3">
      <c r="A29" s="23" t="s">
        <v>16</v>
      </c>
      <c r="B29" s="6" t="s">
        <v>621</v>
      </c>
      <c r="C29" s="1" t="s">
        <v>21</v>
      </c>
      <c r="D29" s="1" t="s">
        <v>22</v>
      </c>
      <c r="E29" s="3">
        <v>352113441514259</v>
      </c>
      <c r="F29" s="1"/>
      <c r="G29" s="5">
        <v>45685</v>
      </c>
      <c r="H29" s="4">
        <v>900</v>
      </c>
      <c r="I29" s="4"/>
      <c r="J29" s="5">
        <v>45692</v>
      </c>
      <c r="K29" s="4">
        <v>960</v>
      </c>
      <c r="L29" s="4">
        <v>60</v>
      </c>
      <c r="M29" s="6" t="s">
        <v>810</v>
      </c>
    </row>
    <row r="30" spans="1:13" x14ac:dyDescent="0.3">
      <c r="A30" s="23" t="s">
        <v>16</v>
      </c>
      <c r="B30" s="6" t="s">
        <v>552</v>
      </c>
      <c r="C30" s="1" t="s">
        <v>18</v>
      </c>
      <c r="D30" s="1" t="s">
        <v>15</v>
      </c>
      <c r="E30" s="3">
        <v>352833111054175</v>
      </c>
      <c r="F30" s="1"/>
      <c r="G30" s="5">
        <v>45626</v>
      </c>
      <c r="H30" s="4">
        <v>200</v>
      </c>
      <c r="I30" s="4"/>
      <c r="J30" s="5">
        <v>45693</v>
      </c>
      <c r="K30" s="4">
        <v>223</v>
      </c>
      <c r="L30" s="4">
        <v>23</v>
      </c>
      <c r="M30" s="6" t="s">
        <v>553</v>
      </c>
    </row>
    <row r="31" spans="1:13" x14ac:dyDescent="0.3">
      <c r="A31" s="23" t="s">
        <v>16</v>
      </c>
      <c r="B31" s="6" t="s">
        <v>77</v>
      </c>
      <c r="C31" s="1" t="s">
        <v>21</v>
      </c>
      <c r="D31" s="1" t="s">
        <v>22</v>
      </c>
      <c r="E31" s="3">
        <v>354256832668925</v>
      </c>
      <c r="F31" s="1"/>
      <c r="G31" s="5">
        <v>45650</v>
      </c>
      <c r="H31" s="4">
        <v>550</v>
      </c>
      <c r="I31" s="4">
        <v>18</v>
      </c>
      <c r="J31" s="5">
        <v>45693</v>
      </c>
      <c r="K31" s="4">
        <v>600</v>
      </c>
      <c r="L31" s="4">
        <v>32</v>
      </c>
      <c r="M31" s="6" t="s">
        <v>147</v>
      </c>
    </row>
    <row r="32" spans="1:13" x14ac:dyDescent="0.3">
      <c r="A32" s="23" t="s">
        <v>16</v>
      </c>
      <c r="B32" s="6" t="s">
        <v>831</v>
      </c>
      <c r="C32" s="1" t="s">
        <v>18</v>
      </c>
      <c r="D32" s="1" t="s">
        <v>15</v>
      </c>
      <c r="E32" s="3">
        <v>353078100302552</v>
      </c>
      <c r="F32" s="1" t="s">
        <v>832</v>
      </c>
      <c r="G32" s="5">
        <v>45690</v>
      </c>
      <c r="H32" s="4">
        <v>77</v>
      </c>
      <c r="I32" s="4"/>
      <c r="J32" s="5">
        <v>45693</v>
      </c>
      <c r="K32" s="4">
        <v>109</v>
      </c>
      <c r="L32" s="4">
        <v>32</v>
      </c>
      <c r="M32" s="6" t="s">
        <v>833</v>
      </c>
    </row>
    <row r="33" spans="1:13" x14ac:dyDescent="0.3">
      <c r="A33" s="23" t="s">
        <v>16</v>
      </c>
      <c r="B33" s="6" t="s">
        <v>552</v>
      </c>
      <c r="C33" s="1" t="s">
        <v>97</v>
      </c>
      <c r="D33" s="1" t="s">
        <v>15</v>
      </c>
      <c r="E33" s="3">
        <v>353243108909440</v>
      </c>
      <c r="F33" s="1"/>
      <c r="G33" s="5">
        <v>45692</v>
      </c>
      <c r="H33" s="4">
        <v>160</v>
      </c>
      <c r="I33" s="4"/>
      <c r="J33" s="5">
        <v>45693</v>
      </c>
      <c r="K33" s="4">
        <v>200</v>
      </c>
      <c r="L33" s="4">
        <v>40</v>
      </c>
      <c r="M33" s="6" t="s">
        <v>838</v>
      </c>
    </row>
    <row r="34" spans="1:13" x14ac:dyDescent="0.3">
      <c r="A34" s="23" t="s">
        <v>16</v>
      </c>
      <c r="B34" s="6" t="s">
        <v>128</v>
      </c>
      <c r="C34" s="1" t="s">
        <v>26</v>
      </c>
      <c r="D34" s="1" t="s">
        <v>22</v>
      </c>
      <c r="E34" s="3">
        <v>353233953166782</v>
      </c>
      <c r="F34" s="1"/>
      <c r="G34" s="5">
        <v>45693</v>
      </c>
      <c r="H34" s="4">
        <v>680</v>
      </c>
      <c r="I34" s="4"/>
      <c r="J34" s="5">
        <v>45693</v>
      </c>
      <c r="K34" s="4">
        <v>760</v>
      </c>
      <c r="L34" s="4">
        <v>80</v>
      </c>
      <c r="M34" s="6" t="s">
        <v>841</v>
      </c>
    </row>
    <row r="35" spans="1:13" x14ac:dyDescent="0.3">
      <c r="A35" s="23" t="s">
        <v>16</v>
      </c>
      <c r="B35" s="6" t="s">
        <v>104</v>
      </c>
      <c r="C35" s="1" t="s">
        <v>65</v>
      </c>
      <c r="D35" s="1" t="s">
        <v>22</v>
      </c>
      <c r="E35" s="3">
        <v>359173734976584</v>
      </c>
      <c r="F35" s="1"/>
      <c r="G35" s="5">
        <v>45683</v>
      </c>
      <c r="H35" s="4">
        <v>320</v>
      </c>
      <c r="I35" s="4"/>
      <c r="J35" s="5">
        <v>45694</v>
      </c>
      <c r="K35" s="4">
        <v>390</v>
      </c>
      <c r="L35" s="4">
        <v>70</v>
      </c>
      <c r="M35" s="6" t="s">
        <v>802</v>
      </c>
    </row>
    <row r="36" spans="1:13" x14ac:dyDescent="0.3">
      <c r="A36" s="23" t="s">
        <v>16</v>
      </c>
      <c r="B36" s="6" t="s">
        <v>34</v>
      </c>
      <c r="C36" s="1" t="s">
        <v>35</v>
      </c>
      <c r="D36" s="1" t="s">
        <v>22</v>
      </c>
      <c r="E36" s="3">
        <v>352632922988138</v>
      </c>
      <c r="F36" s="1"/>
      <c r="G36" s="5">
        <v>45684</v>
      </c>
      <c r="H36" s="4">
        <v>570</v>
      </c>
      <c r="I36" s="4"/>
      <c r="J36" s="5">
        <v>45694</v>
      </c>
      <c r="K36" s="4">
        <v>650</v>
      </c>
      <c r="L36" s="4">
        <v>80</v>
      </c>
      <c r="M36" s="6" t="s">
        <v>808</v>
      </c>
    </row>
    <row r="37" spans="1:13" x14ac:dyDescent="0.3">
      <c r="A37" s="23" t="s">
        <v>13</v>
      </c>
      <c r="B37" s="6" t="s">
        <v>370</v>
      </c>
      <c r="C37" s="1" t="s">
        <v>18</v>
      </c>
      <c r="D37" s="1" t="s">
        <v>15</v>
      </c>
      <c r="E37" s="3">
        <v>351357512792192</v>
      </c>
      <c r="F37" s="1"/>
      <c r="G37" s="5">
        <v>45628</v>
      </c>
      <c r="H37" s="4">
        <v>345</v>
      </c>
      <c r="I37" s="4">
        <v>9</v>
      </c>
      <c r="J37" s="5">
        <v>45694</v>
      </c>
      <c r="K37" s="4">
        <v>395</v>
      </c>
      <c r="L37" s="4">
        <v>41</v>
      </c>
      <c r="M37" s="6" t="s">
        <v>147</v>
      </c>
    </row>
    <row r="38" spans="1:13" x14ac:dyDescent="0.3">
      <c r="A38" s="23" t="s">
        <v>16</v>
      </c>
      <c r="B38" s="6" t="s">
        <v>552</v>
      </c>
      <c r="C38" s="1" t="s">
        <v>21</v>
      </c>
      <c r="D38" s="1" t="s">
        <v>15</v>
      </c>
      <c r="E38" s="3">
        <v>353235103473281</v>
      </c>
      <c r="F38" s="1" t="s">
        <v>609</v>
      </c>
      <c r="G38" s="5">
        <v>45634</v>
      </c>
      <c r="H38" s="4">
        <v>163</v>
      </c>
      <c r="I38" s="4"/>
      <c r="J38" s="5">
        <v>45694</v>
      </c>
      <c r="K38" s="4">
        <v>230</v>
      </c>
      <c r="L38" s="4">
        <v>67</v>
      </c>
      <c r="M38" s="6" t="s">
        <v>610</v>
      </c>
    </row>
    <row r="39" spans="1:13" x14ac:dyDescent="0.3">
      <c r="A39" s="23" t="s">
        <v>13</v>
      </c>
      <c r="B39" s="6" t="s">
        <v>455</v>
      </c>
      <c r="C39" s="1" t="s">
        <v>217</v>
      </c>
      <c r="D39" s="1" t="s">
        <v>15</v>
      </c>
      <c r="E39" s="3">
        <v>352412370707169</v>
      </c>
      <c r="F39" s="1"/>
      <c r="G39" s="5">
        <v>45683</v>
      </c>
      <c r="H39" s="4">
        <v>280</v>
      </c>
      <c r="I39" s="4"/>
      <c r="J39" s="5">
        <v>45695</v>
      </c>
      <c r="K39" s="4">
        <v>340</v>
      </c>
      <c r="L39" s="4">
        <v>60</v>
      </c>
      <c r="M39" s="6" t="s">
        <v>799</v>
      </c>
    </row>
    <row r="40" spans="1:13" x14ac:dyDescent="0.3">
      <c r="A40" s="23" t="s">
        <v>16</v>
      </c>
      <c r="B40" s="6" t="s">
        <v>496</v>
      </c>
      <c r="C40" s="1" t="s">
        <v>21</v>
      </c>
      <c r="D40" s="1" t="s">
        <v>22</v>
      </c>
      <c r="E40" s="3">
        <v>350980298466953</v>
      </c>
      <c r="F40" s="1"/>
      <c r="G40" s="5">
        <v>45690</v>
      </c>
      <c r="H40" s="4">
        <v>280</v>
      </c>
      <c r="I40" s="4"/>
      <c r="J40" s="5">
        <v>45695</v>
      </c>
      <c r="K40" s="4">
        <v>350</v>
      </c>
      <c r="L40" s="4">
        <v>70</v>
      </c>
      <c r="M40" s="6" t="s">
        <v>829</v>
      </c>
    </row>
    <row r="41" spans="1:13" x14ac:dyDescent="0.3">
      <c r="A41" s="23" t="s">
        <v>13</v>
      </c>
      <c r="B41" s="6" t="s">
        <v>694</v>
      </c>
      <c r="C41" s="1" t="s">
        <v>21</v>
      </c>
      <c r="D41" s="1" t="s">
        <v>22</v>
      </c>
      <c r="E41" s="3">
        <v>355622366894063</v>
      </c>
      <c r="F41" s="1"/>
      <c r="G41" s="5">
        <v>45654</v>
      </c>
      <c r="H41" s="4">
        <v>440</v>
      </c>
      <c r="I41" s="4"/>
      <c r="J41" s="5">
        <v>45695</v>
      </c>
      <c r="K41" s="4">
        <v>550</v>
      </c>
      <c r="L41" s="4">
        <v>110</v>
      </c>
      <c r="M41" s="6" t="s">
        <v>695</v>
      </c>
    </row>
    <row r="42" spans="1:13" x14ac:dyDescent="0.3">
      <c r="A42" s="23" t="s">
        <v>16</v>
      </c>
      <c r="B42" s="6" t="s">
        <v>692</v>
      </c>
      <c r="C42" s="1" t="s">
        <v>26</v>
      </c>
      <c r="D42" s="1" t="s">
        <v>15</v>
      </c>
      <c r="E42" s="3">
        <v>351059894669804</v>
      </c>
      <c r="F42" s="1"/>
      <c r="G42" s="5">
        <v>45694</v>
      </c>
      <c r="H42" s="4">
        <v>720</v>
      </c>
      <c r="I42" s="4"/>
      <c r="J42" s="5">
        <v>45696</v>
      </c>
      <c r="K42" s="4">
        <v>790</v>
      </c>
      <c r="L42" s="4">
        <v>70</v>
      </c>
      <c r="M42" s="6" t="s">
        <v>844</v>
      </c>
    </row>
    <row r="43" spans="1:13" x14ac:dyDescent="0.3">
      <c r="A43" s="23" t="s">
        <v>13</v>
      </c>
      <c r="B43" s="6" t="s">
        <v>817</v>
      </c>
      <c r="C43" s="1" t="s">
        <v>65</v>
      </c>
      <c r="D43" s="1" t="s">
        <v>22</v>
      </c>
      <c r="E43" s="3">
        <v>356990910939133</v>
      </c>
      <c r="F43" s="1"/>
      <c r="G43" s="5">
        <v>45688</v>
      </c>
      <c r="H43" s="4">
        <v>39</v>
      </c>
      <c r="I43" s="4"/>
      <c r="J43" s="5">
        <v>45696</v>
      </c>
      <c r="K43" s="4">
        <v>69</v>
      </c>
      <c r="L43" s="4">
        <v>30</v>
      </c>
      <c r="M43" s="6" t="s">
        <v>816</v>
      </c>
    </row>
    <row r="44" spans="1:13" x14ac:dyDescent="0.3">
      <c r="A44" s="23" t="s">
        <v>16</v>
      </c>
      <c r="B44" s="6" t="s">
        <v>443</v>
      </c>
      <c r="C44" s="1" t="s">
        <v>18</v>
      </c>
      <c r="D44" s="1" t="s">
        <v>22</v>
      </c>
      <c r="E44" s="3">
        <v>355109189628241</v>
      </c>
      <c r="F44" s="1"/>
      <c r="G44" s="5">
        <v>45692</v>
      </c>
      <c r="H44" s="4">
        <v>970</v>
      </c>
      <c r="I44" s="4"/>
      <c r="J44" s="5">
        <v>45697</v>
      </c>
      <c r="K44" s="4">
        <v>1040</v>
      </c>
      <c r="L44" s="4">
        <v>70</v>
      </c>
      <c r="M44" s="6" t="s">
        <v>147</v>
      </c>
    </row>
    <row r="45" spans="1:13" x14ac:dyDescent="0.3">
      <c r="A45" s="23" t="s">
        <v>13</v>
      </c>
      <c r="B45" s="6" t="s">
        <v>115</v>
      </c>
      <c r="C45" s="1" t="s">
        <v>18</v>
      </c>
      <c r="D45" s="1" t="s">
        <v>15</v>
      </c>
      <c r="E45" s="3">
        <v>351376415412401</v>
      </c>
      <c r="F45" s="1"/>
      <c r="G45" s="5">
        <v>45691</v>
      </c>
      <c r="H45" s="4">
        <v>170</v>
      </c>
      <c r="I45" s="4"/>
      <c r="J45" s="5">
        <v>45697</v>
      </c>
      <c r="K45" s="4">
        <v>230</v>
      </c>
      <c r="L45" s="4">
        <v>60</v>
      </c>
      <c r="M45" s="6" t="s">
        <v>835</v>
      </c>
    </row>
    <row r="46" spans="1:13" x14ac:dyDescent="0.3">
      <c r="A46" s="23" t="s">
        <v>13</v>
      </c>
      <c r="B46" s="6" t="s">
        <v>502</v>
      </c>
      <c r="C46" s="1" t="s">
        <v>21</v>
      </c>
      <c r="D46" s="1" t="s">
        <v>22</v>
      </c>
      <c r="E46" s="3">
        <v>356663768332418</v>
      </c>
      <c r="F46" s="1" t="s">
        <v>805</v>
      </c>
      <c r="G46" s="5">
        <v>45688</v>
      </c>
      <c r="H46" s="4">
        <v>400</v>
      </c>
      <c r="I46" s="4">
        <v>38</v>
      </c>
      <c r="J46" s="5">
        <v>45697</v>
      </c>
      <c r="K46" s="4">
        <v>500</v>
      </c>
      <c r="L46" s="4">
        <v>62</v>
      </c>
      <c r="M46" s="6" t="s">
        <v>822</v>
      </c>
    </row>
    <row r="47" spans="1:13" x14ac:dyDescent="0.3">
      <c r="A47" s="23" t="s">
        <v>13</v>
      </c>
      <c r="B47" s="6" t="s">
        <v>502</v>
      </c>
      <c r="C47" s="1" t="s">
        <v>21</v>
      </c>
      <c r="D47" s="1" t="s">
        <v>15</v>
      </c>
      <c r="E47" s="3">
        <v>356663768435013</v>
      </c>
      <c r="F47" s="1"/>
      <c r="G47" s="5">
        <v>45620</v>
      </c>
      <c r="H47" s="4">
        <v>453</v>
      </c>
      <c r="I47" s="4"/>
      <c r="J47" s="5">
        <v>45697</v>
      </c>
      <c r="K47" s="4">
        <v>533</v>
      </c>
      <c r="L47" s="4">
        <v>80</v>
      </c>
      <c r="M47" s="6" t="s">
        <v>503</v>
      </c>
    </row>
    <row r="48" spans="1:13" x14ac:dyDescent="0.3">
      <c r="A48" s="23" t="s">
        <v>13</v>
      </c>
      <c r="B48" s="6" t="s">
        <v>325</v>
      </c>
      <c r="C48" s="1" t="s">
        <v>26</v>
      </c>
      <c r="D48" s="1" t="s">
        <v>22</v>
      </c>
      <c r="E48" s="3">
        <v>352208772330893</v>
      </c>
      <c r="F48" s="1"/>
      <c r="G48" s="5">
        <v>45695</v>
      </c>
      <c r="H48" s="4">
        <v>673</v>
      </c>
      <c r="I48" s="4"/>
      <c r="J48" s="5">
        <v>45697</v>
      </c>
      <c r="K48" s="4">
        <v>760</v>
      </c>
      <c r="L48" s="4">
        <v>87</v>
      </c>
      <c r="M48" s="6" t="s">
        <v>700</v>
      </c>
    </row>
    <row r="49" spans="1:13" x14ac:dyDescent="0.3">
      <c r="A49" s="23" t="s">
        <v>13</v>
      </c>
      <c r="B49" s="6" t="s">
        <v>738</v>
      </c>
      <c r="C49" s="1" t="s">
        <v>65</v>
      </c>
      <c r="D49" s="1" t="s">
        <v>15</v>
      </c>
      <c r="E49" s="3">
        <v>353346111093928</v>
      </c>
      <c r="F49" s="1"/>
      <c r="G49" s="5">
        <v>45669</v>
      </c>
      <c r="H49" s="4">
        <v>140</v>
      </c>
      <c r="I49" s="4">
        <v>17</v>
      </c>
      <c r="J49" s="5">
        <v>45697</v>
      </c>
      <c r="K49" s="4">
        <v>193</v>
      </c>
      <c r="L49" s="4">
        <v>36</v>
      </c>
      <c r="M49" s="6" t="s">
        <v>147</v>
      </c>
    </row>
    <row r="50" spans="1:13" x14ac:dyDescent="0.3">
      <c r="A50" s="23" t="s">
        <v>16</v>
      </c>
      <c r="B50" s="6" t="s">
        <v>128</v>
      </c>
      <c r="C50" s="1" t="s">
        <v>18</v>
      </c>
      <c r="D50" s="1" t="s">
        <v>15</v>
      </c>
      <c r="E50" s="3">
        <v>359368230443150</v>
      </c>
      <c r="F50" s="1"/>
      <c r="G50" s="5">
        <v>45586</v>
      </c>
      <c r="H50" s="4">
        <v>650</v>
      </c>
      <c r="I50" s="4">
        <v>12</v>
      </c>
      <c r="J50" s="5">
        <v>45697</v>
      </c>
      <c r="K50" s="4">
        <v>730</v>
      </c>
      <c r="L50" s="4">
        <v>68</v>
      </c>
      <c r="M50" s="6" t="s">
        <v>147</v>
      </c>
    </row>
    <row r="51" spans="1:13" x14ac:dyDescent="0.3">
      <c r="A51" s="23" t="s">
        <v>16</v>
      </c>
      <c r="B51" s="6" t="s">
        <v>847</v>
      </c>
      <c r="C51" s="1" t="s">
        <v>45</v>
      </c>
      <c r="D51" s="1" t="s">
        <v>15</v>
      </c>
      <c r="E51" s="3">
        <v>357296093397894</v>
      </c>
      <c r="F51" s="1"/>
      <c r="G51" s="5">
        <v>45697</v>
      </c>
      <c r="H51" s="4">
        <v>150</v>
      </c>
      <c r="I51" s="4"/>
      <c r="J51" s="5">
        <v>45699</v>
      </c>
      <c r="K51" s="4">
        <v>200</v>
      </c>
      <c r="L51" s="4">
        <v>50</v>
      </c>
      <c r="M51" s="6" t="s">
        <v>147</v>
      </c>
    </row>
    <row r="52" spans="1:13" x14ac:dyDescent="0.3">
      <c r="A52" s="23" t="s">
        <v>16</v>
      </c>
      <c r="B52" s="6" t="s">
        <v>692</v>
      </c>
      <c r="C52" s="1" t="s">
        <v>26</v>
      </c>
      <c r="D52" s="1" t="s">
        <v>22</v>
      </c>
      <c r="E52" s="3">
        <v>350069705188697</v>
      </c>
      <c r="F52" s="1"/>
      <c r="G52" s="5">
        <v>45680</v>
      </c>
      <c r="H52" s="4">
        <v>765</v>
      </c>
      <c r="I52" s="4"/>
      <c r="J52" s="5">
        <v>45700</v>
      </c>
      <c r="K52" s="4">
        <v>820</v>
      </c>
      <c r="L52" s="4">
        <v>55</v>
      </c>
      <c r="M52" s="6" t="s">
        <v>785</v>
      </c>
    </row>
    <row r="53" spans="1:13" x14ac:dyDescent="0.3">
      <c r="A53" s="23" t="s">
        <v>16</v>
      </c>
      <c r="B53" s="6" t="s">
        <v>148</v>
      </c>
      <c r="C53" s="1" t="s">
        <v>45</v>
      </c>
      <c r="D53" s="1" t="s">
        <v>15</v>
      </c>
      <c r="E53" s="3">
        <v>350320093585022</v>
      </c>
      <c r="F53" s="1"/>
      <c r="G53" s="5">
        <v>45650</v>
      </c>
      <c r="H53" s="4">
        <v>290</v>
      </c>
      <c r="I53" s="4">
        <v>18</v>
      </c>
      <c r="J53" s="5">
        <v>45701</v>
      </c>
      <c r="K53" s="4">
        <v>350</v>
      </c>
      <c r="L53" s="4">
        <v>42</v>
      </c>
      <c r="M53" s="6" t="s">
        <v>147</v>
      </c>
    </row>
    <row r="54" spans="1:13" x14ac:dyDescent="0.3">
      <c r="A54" s="23" t="s">
        <v>16</v>
      </c>
      <c r="B54" s="6" t="s">
        <v>692</v>
      </c>
      <c r="C54" s="1" t="s">
        <v>26</v>
      </c>
      <c r="D54" s="1" t="s">
        <v>22</v>
      </c>
      <c r="E54" s="3">
        <v>353134987306602</v>
      </c>
      <c r="F54" s="1"/>
      <c r="G54" s="5">
        <v>45695</v>
      </c>
      <c r="H54" s="4">
        <v>680</v>
      </c>
      <c r="I54" s="4"/>
      <c r="J54" s="5">
        <v>45701</v>
      </c>
      <c r="K54" s="4">
        <v>740</v>
      </c>
      <c r="L54" s="4">
        <v>60</v>
      </c>
      <c r="M54" s="6" t="s">
        <v>846</v>
      </c>
    </row>
    <row r="55" spans="1:13" x14ac:dyDescent="0.3">
      <c r="A55" s="23" t="s">
        <v>13</v>
      </c>
      <c r="B55" s="6" t="s">
        <v>117</v>
      </c>
      <c r="C55" s="1" t="s">
        <v>21</v>
      </c>
      <c r="D55" s="1" t="s">
        <v>15</v>
      </c>
      <c r="E55" s="3">
        <v>351424777030120</v>
      </c>
      <c r="F55" s="1"/>
      <c r="G55" s="5">
        <v>45707</v>
      </c>
      <c r="H55" s="4">
        <v>205</v>
      </c>
      <c r="I55" s="4">
        <v>23</v>
      </c>
      <c r="J55" s="5">
        <v>45702</v>
      </c>
      <c r="K55" s="4">
        <v>280</v>
      </c>
      <c r="L55" s="4">
        <v>52</v>
      </c>
      <c r="M55" s="6" t="s">
        <v>147</v>
      </c>
    </row>
    <row r="56" spans="1:13" x14ac:dyDescent="0.3">
      <c r="A56" s="23" t="s">
        <v>13</v>
      </c>
      <c r="B56" s="6" t="s">
        <v>859</v>
      </c>
      <c r="C56" s="1" t="s">
        <v>21</v>
      </c>
      <c r="D56" s="1" t="s">
        <v>15</v>
      </c>
      <c r="E56" s="3">
        <v>355006100999992</v>
      </c>
      <c r="F56" s="1"/>
      <c r="G56" s="5">
        <v>45707</v>
      </c>
      <c r="H56" s="4">
        <v>150</v>
      </c>
      <c r="I56" s="4">
        <v>23</v>
      </c>
      <c r="J56" s="5">
        <v>45702</v>
      </c>
      <c r="K56" s="4">
        <v>220</v>
      </c>
      <c r="L56" s="4">
        <v>47</v>
      </c>
      <c r="M56" s="6" t="s">
        <v>147</v>
      </c>
    </row>
    <row r="57" spans="1:13" x14ac:dyDescent="0.3">
      <c r="A57" s="23" t="s">
        <v>16</v>
      </c>
      <c r="B57" s="6" t="s">
        <v>782</v>
      </c>
      <c r="C57" s="1" t="s">
        <v>89</v>
      </c>
      <c r="D57" s="1" t="s">
        <v>22</v>
      </c>
      <c r="E57" s="3">
        <v>352073501055934</v>
      </c>
      <c r="F57" s="1"/>
      <c r="G57" s="5">
        <v>45679</v>
      </c>
      <c r="H57" s="4">
        <v>380</v>
      </c>
      <c r="I57" s="4"/>
      <c r="J57" s="5">
        <v>45702</v>
      </c>
      <c r="K57" s="4">
        <v>434</v>
      </c>
      <c r="L57" s="4">
        <v>54</v>
      </c>
      <c r="M57" s="6" t="s">
        <v>783</v>
      </c>
    </row>
    <row r="58" spans="1:13" x14ac:dyDescent="0.3">
      <c r="A58" s="23" t="s">
        <v>16</v>
      </c>
      <c r="B58" s="6" t="s">
        <v>496</v>
      </c>
      <c r="C58" s="1" t="s">
        <v>21</v>
      </c>
      <c r="D58" s="1" t="s">
        <v>15</v>
      </c>
      <c r="E58" s="3">
        <v>356010301921390</v>
      </c>
      <c r="F58" s="1" t="s">
        <v>531</v>
      </c>
      <c r="G58" s="5">
        <v>45676</v>
      </c>
      <c r="H58" s="4">
        <v>250</v>
      </c>
      <c r="I58" s="4"/>
      <c r="J58" s="5">
        <v>45703</v>
      </c>
      <c r="K58" s="4">
        <v>275</v>
      </c>
      <c r="L58" s="4">
        <v>25</v>
      </c>
      <c r="M58" s="6" t="s">
        <v>771</v>
      </c>
    </row>
    <row r="59" spans="1:13" x14ac:dyDescent="0.3">
      <c r="A59" s="23" t="s">
        <v>13</v>
      </c>
      <c r="B59" s="6" t="s">
        <v>566</v>
      </c>
      <c r="C59" s="1" t="s">
        <v>18</v>
      </c>
      <c r="D59" s="1" t="s">
        <v>15</v>
      </c>
      <c r="E59" s="3">
        <v>857850460392134</v>
      </c>
      <c r="F59" s="1"/>
      <c r="G59" s="5">
        <v>45628</v>
      </c>
      <c r="H59" s="4">
        <v>530</v>
      </c>
      <c r="I59" s="4">
        <v>11</v>
      </c>
      <c r="J59" s="5">
        <v>45705</v>
      </c>
      <c r="K59" s="4">
        <v>595</v>
      </c>
      <c r="L59" s="4">
        <v>54</v>
      </c>
      <c r="M59" s="6" t="s">
        <v>147</v>
      </c>
    </row>
    <row r="60" spans="1:13" x14ac:dyDescent="0.3">
      <c r="A60" s="23" t="s">
        <v>13</v>
      </c>
      <c r="B60" s="6" t="s">
        <v>384</v>
      </c>
      <c r="C60" s="1" t="s">
        <v>217</v>
      </c>
      <c r="D60" s="1" t="s">
        <v>15</v>
      </c>
      <c r="E60" s="3">
        <v>353561332490931</v>
      </c>
      <c r="F60" s="1" t="s">
        <v>556</v>
      </c>
      <c r="G60" s="5">
        <v>45690</v>
      </c>
      <c r="H60" s="4">
        <v>200</v>
      </c>
      <c r="I60" s="4">
        <v>23</v>
      </c>
      <c r="J60" s="5">
        <v>45701</v>
      </c>
      <c r="K60" s="4">
        <v>263</v>
      </c>
      <c r="L60" s="4">
        <v>40</v>
      </c>
      <c r="M60" s="6" t="s">
        <v>147</v>
      </c>
    </row>
    <row r="61" spans="1:13" x14ac:dyDescent="0.3">
      <c r="A61" s="23" t="s">
        <v>16</v>
      </c>
      <c r="B61" s="6" t="s">
        <v>74</v>
      </c>
      <c r="C61" s="1" t="s">
        <v>35</v>
      </c>
      <c r="D61" s="1" t="s">
        <v>22</v>
      </c>
      <c r="E61" s="3">
        <v>353584659252387</v>
      </c>
      <c r="F61" s="1"/>
      <c r="G61" s="5">
        <v>45691</v>
      </c>
      <c r="H61" s="4">
        <v>500</v>
      </c>
      <c r="I61" s="4"/>
      <c r="J61" s="5">
        <v>45706</v>
      </c>
      <c r="K61" s="4">
        <v>550</v>
      </c>
      <c r="L61" s="4">
        <v>50</v>
      </c>
      <c r="M61" s="6" t="s">
        <v>689</v>
      </c>
    </row>
    <row r="62" spans="1:13" x14ac:dyDescent="0.3">
      <c r="A62" s="23" t="s">
        <v>13</v>
      </c>
      <c r="B62" s="6" t="s">
        <v>851</v>
      </c>
      <c r="C62" s="1" t="s">
        <v>21</v>
      </c>
      <c r="D62" s="1" t="s">
        <v>22</v>
      </c>
      <c r="E62" s="3">
        <v>351062770553589</v>
      </c>
      <c r="F62" s="1"/>
      <c r="G62" s="5">
        <v>45701</v>
      </c>
      <c r="H62" s="4">
        <v>105</v>
      </c>
      <c r="I62" s="4"/>
      <c r="J62" s="5">
        <v>45706</v>
      </c>
      <c r="K62" s="4">
        <v>130</v>
      </c>
      <c r="L62" s="4">
        <v>25</v>
      </c>
      <c r="M62" s="6" t="s">
        <v>852</v>
      </c>
    </row>
    <row r="63" spans="1:13" x14ac:dyDescent="0.3">
      <c r="A63" s="23" t="s">
        <v>16</v>
      </c>
      <c r="B63" s="6" t="s">
        <v>448</v>
      </c>
      <c r="C63" s="1" t="s">
        <v>21</v>
      </c>
      <c r="D63" s="1" t="s">
        <v>15</v>
      </c>
      <c r="E63" s="3">
        <v>355103312332326</v>
      </c>
      <c r="F63" s="1"/>
      <c r="G63" s="5">
        <v>45693</v>
      </c>
      <c r="H63" s="4">
        <v>250</v>
      </c>
      <c r="I63" s="4"/>
      <c r="J63" s="5">
        <v>45707</v>
      </c>
      <c r="K63" s="4">
        <v>315</v>
      </c>
      <c r="L63" s="4">
        <v>65</v>
      </c>
      <c r="M63" s="6" t="s">
        <v>842</v>
      </c>
    </row>
    <row r="64" spans="1:13" x14ac:dyDescent="0.3">
      <c r="A64" s="23" t="s">
        <v>16</v>
      </c>
      <c r="B64" s="6" t="s">
        <v>452</v>
      </c>
      <c r="C64" s="1" t="s">
        <v>107</v>
      </c>
      <c r="D64" s="1" t="s">
        <v>15</v>
      </c>
      <c r="E64" s="3">
        <v>353568251093422</v>
      </c>
      <c r="F64" s="1" t="s">
        <v>757</v>
      </c>
      <c r="G64" s="5">
        <v>45673</v>
      </c>
      <c r="H64" s="4">
        <v>170</v>
      </c>
      <c r="I64" s="4"/>
      <c r="J64" s="5">
        <v>45707</v>
      </c>
      <c r="K64" s="4">
        <v>220</v>
      </c>
      <c r="L64" s="4">
        <v>50</v>
      </c>
      <c r="M64" s="6" t="s">
        <v>262</v>
      </c>
    </row>
    <row r="65" spans="1:13" x14ac:dyDescent="0.3">
      <c r="A65" s="23" t="s">
        <v>16</v>
      </c>
      <c r="B65" s="6" t="s">
        <v>443</v>
      </c>
      <c r="C65" s="1" t="s">
        <v>18</v>
      </c>
      <c r="D65" s="1" t="s">
        <v>22</v>
      </c>
      <c r="E65" s="3">
        <v>355018532246322</v>
      </c>
      <c r="F65" s="1"/>
      <c r="G65" s="5">
        <v>45692</v>
      </c>
      <c r="H65" s="4">
        <v>950</v>
      </c>
      <c r="I65" s="4"/>
      <c r="J65" s="5">
        <v>45708</v>
      </c>
      <c r="K65" s="4">
        <v>1050</v>
      </c>
      <c r="L65" s="4">
        <v>100</v>
      </c>
      <c r="M65" s="6" t="s">
        <v>147</v>
      </c>
    </row>
    <row r="66" spans="1:13" x14ac:dyDescent="0.3">
      <c r="A66" s="23" t="s">
        <v>16</v>
      </c>
      <c r="B66" s="6" t="s">
        <v>34</v>
      </c>
      <c r="C66" s="1" t="s">
        <v>35</v>
      </c>
      <c r="D66" s="1" t="s">
        <v>15</v>
      </c>
      <c r="E66" s="3">
        <v>355281437066365</v>
      </c>
      <c r="F66" s="1"/>
      <c r="G66" s="5">
        <v>45661</v>
      </c>
      <c r="H66" s="4">
        <v>600</v>
      </c>
      <c r="I66" s="4"/>
      <c r="J66" s="5">
        <v>45708</v>
      </c>
      <c r="K66" s="4">
        <v>660</v>
      </c>
      <c r="L66" s="4">
        <v>60</v>
      </c>
      <c r="M66" s="6" t="s">
        <v>711</v>
      </c>
    </row>
    <row r="67" spans="1:13" x14ac:dyDescent="0.3">
      <c r="A67" s="23" t="s">
        <v>16</v>
      </c>
      <c r="B67" s="6" t="s">
        <v>128</v>
      </c>
      <c r="C67" s="1" t="s">
        <v>21</v>
      </c>
      <c r="D67" s="1" t="s">
        <v>22</v>
      </c>
      <c r="E67" s="3">
        <v>354408273574365</v>
      </c>
      <c r="F67" s="1"/>
      <c r="G67" s="5">
        <v>45669</v>
      </c>
      <c r="H67" s="4">
        <v>760</v>
      </c>
      <c r="I67" s="4"/>
      <c r="J67" s="5">
        <v>45709</v>
      </c>
      <c r="K67" s="4">
        <v>807</v>
      </c>
      <c r="L67" s="4">
        <v>47</v>
      </c>
      <c r="M67" s="6" t="s">
        <v>262</v>
      </c>
    </row>
    <row r="68" spans="1:13" x14ac:dyDescent="0.3">
      <c r="A68" s="23" t="s">
        <v>16</v>
      </c>
      <c r="B68" s="6" t="s">
        <v>128</v>
      </c>
      <c r="C68" s="1" t="s">
        <v>26</v>
      </c>
      <c r="D68" s="1" t="s">
        <v>22</v>
      </c>
      <c r="E68" s="3">
        <v>353281479236266</v>
      </c>
      <c r="F68" s="1"/>
      <c r="G68" s="5">
        <v>45700</v>
      </c>
      <c r="H68" s="4">
        <v>680</v>
      </c>
      <c r="I68" s="4"/>
      <c r="J68" s="5">
        <v>45709</v>
      </c>
      <c r="K68" s="4">
        <v>720</v>
      </c>
      <c r="L68" s="4">
        <v>40</v>
      </c>
      <c r="M68" s="6" t="s">
        <v>849</v>
      </c>
    </row>
    <row r="69" spans="1:13" x14ac:dyDescent="0.3">
      <c r="A69" s="23" t="s">
        <v>16</v>
      </c>
      <c r="B69" s="6" t="s">
        <v>518</v>
      </c>
      <c r="C69" s="1" t="s">
        <v>26</v>
      </c>
      <c r="D69" s="1" t="s">
        <v>22</v>
      </c>
      <c r="E69" s="3">
        <v>359824379041197</v>
      </c>
      <c r="F69" s="1"/>
      <c r="G69" s="5">
        <v>45681</v>
      </c>
      <c r="H69" s="4">
        <v>840</v>
      </c>
      <c r="I69" s="4"/>
      <c r="J69" s="5">
        <v>45709</v>
      </c>
      <c r="K69" s="4">
        <v>900</v>
      </c>
      <c r="L69" s="4">
        <v>60</v>
      </c>
      <c r="M69" s="6" t="s">
        <v>792</v>
      </c>
    </row>
    <row r="70" spans="1:13" x14ac:dyDescent="0.3">
      <c r="A70" s="23" t="s">
        <v>16</v>
      </c>
      <c r="B70" s="6" t="s">
        <v>692</v>
      </c>
      <c r="C70" s="1" t="s">
        <v>26</v>
      </c>
      <c r="D70" s="1" t="s">
        <v>22</v>
      </c>
      <c r="E70" s="3">
        <v>357511595580627</v>
      </c>
      <c r="F70" s="1"/>
      <c r="G70" s="5">
        <v>45701</v>
      </c>
      <c r="H70" s="4">
        <v>750</v>
      </c>
      <c r="I70" s="4"/>
      <c r="J70" s="5">
        <v>45709</v>
      </c>
      <c r="K70" s="4">
        <v>830</v>
      </c>
      <c r="L70" s="4">
        <v>80</v>
      </c>
      <c r="M70" s="6" t="s">
        <v>855</v>
      </c>
    </row>
    <row r="71" spans="1:13" x14ac:dyDescent="0.3">
      <c r="A71" s="23" t="s">
        <v>13</v>
      </c>
      <c r="B71" s="6" t="s">
        <v>166</v>
      </c>
      <c r="C71" s="1" t="s">
        <v>217</v>
      </c>
      <c r="D71" s="1" t="s">
        <v>15</v>
      </c>
      <c r="E71" s="3">
        <v>358777106918171</v>
      </c>
      <c r="F71" s="1"/>
      <c r="G71" s="5">
        <v>45597</v>
      </c>
      <c r="H71" s="4">
        <v>150</v>
      </c>
      <c r="I71" s="4"/>
      <c r="J71" s="5">
        <v>45709</v>
      </c>
      <c r="K71" s="4">
        <v>180</v>
      </c>
      <c r="L71" s="4">
        <v>30</v>
      </c>
      <c r="M71" s="6" t="s">
        <v>232</v>
      </c>
    </row>
    <row r="72" spans="1:13" x14ac:dyDescent="0.3">
      <c r="A72" s="23" t="s">
        <v>16</v>
      </c>
      <c r="B72" s="6" t="s">
        <v>129</v>
      </c>
      <c r="C72" s="1" t="s">
        <v>65</v>
      </c>
      <c r="D72" s="1" t="s">
        <v>22</v>
      </c>
      <c r="E72" s="3">
        <v>353210487725119</v>
      </c>
      <c r="F72" s="1"/>
      <c r="G72" s="5">
        <v>45703</v>
      </c>
      <c r="H72" s="4">
        <v>500</v>
      </c>
      <c r="I72" s="4"/>
      <c r="J72" s="5">
        <v>45710</v>
      </c>
      <c r="K72" s="4">
        <v>560</v>
      </c>
      <c r="L72" s="4">
        <v>60</v>
      </c>
      <c r="M72" s="6" t="s">
        <v>858</v>
      </c>
    </row>
    <row r="73" spans="1:13" x14ac:dyDescent="0.3">
      <c r="A73" s="23" t="s">
        <v>16</v>
      </c>
      <c r="B73" s="6" t="s">
        <v>836</v>
      </c>
      <c r="C73" s="1" t="s">
        <v>65</v>
      </c>
      <c r="D73" s="1" t="s">
        <v>22</v>
      </c>
      <c r="E73" s="3">
        <v>356015901042760</v>
      </c>
      <c r="F73" s="1"/>
      <c r="G73" s="5">
        <v>45691</v>
      </c>
      <c r="H73" s="4">
        <v>160</v>
      </c>
      <c r="I73" s="4"/>
      <c r="J73" s="5">
        <v>45710</v>
      </c>
      <c r="K73" s="4">
        <v>200</v>
      </c>
      <c r="L73" s="4">
        <v>40</v>
      </c>
      <c r="M73" s="6" t="s">
        <v>689</v>
      </c>
    </row>
    <row r="74" spans="1:13" x14ac:dyDescent="0.3">
      <c r="A74" s="23" t="s">
        <v>13</v>
      </c>
      <c r="B74" s="6" t="s">
        <v>698</v>
      </c>
      <c r="C74" s="1" t="s">
        <v>21</v>
      </c>
      <c r="D74" s="1" t="s">
        <v>22</v>
      </c>
      <c r="E74" s="3">
        <v>350290890955134</v>
      </c>
      <c r="F74" s="1"/>
      <c r="G74" s="5">
        <v>45655</v>
      </c>
      <c r="H74" s="4">
        <v>300</v>
      </c>
      <c r="I74" s="4"/>
      <c r="J74" s="5">
        <v>45710</v>
      </c>
      <c r="K74" s="4">
        <v>390</v>
      </c>
      <c r="L74" s="4">
        <v>90</v>
      </c>
      <c r="M74" s="6"/>
    </row>
    <row r="75" spans="1:13" x14ac:dyDescent="0.3">
      <c r="A75" s="23" t="s">
        <v>16</v>
      </c>
      <c r="B75" s="6" t="s">
        <v>83</v>
      </c>
      <c r="C75" s="1" t="s">
        <v>97</v>
      </c>
      <c r="D75" s="1" t="s">
        <v>22</v>
      </c>
      <c r="E75" s="3">
        <v>351855181213952</v>
      </c>
      <c r="F75" s="1"/>
      <c r="G75" s="5">
        <v>45708</v>
      </c>
      <c r="H75" s="4">
        <v>400</v>
      </c>
      <c r="I75" s="4"/>
      <c r="J75" s="5">
        <v>45711</v>
      </c>
      <c r="K75" s="4">
        <v>480</v>
      </c>
      <c r="L75" s="4">
        <v>80</v>
      </c>
      <c r="M75" s="6" t="s">
        <v>860</v>
      </c>
    </row>
    <row r="76" spans="1:13" x14ac:dyDescent="0.3">
      <c r="A76" s="23" t="s">
        <v>13</v>
      </c>
      <c r="B76" s="6" t="s">
        <v>815</v>
      </c>
      <c r="C76" s="1" t="s">
        <v>107</v>
      </c>
      <c r="D76" s="1" t="s">
        <v>22</v>
      </c>
      <c r="E76" s="3">
        <v>355221178467741</v>
      </c>
      <c r="F76" s="1"/>
      <c r="G76" s="5">
        <v>45688</v>
      </c>
      <c r="H76" s="4">
        <v>39</v>
      </c>
      <c r="I76" s="4"/>
      <c r="J76" s="5">
        <v>45711</v>
      </c>
      <c r="K76" s="4">
        <v>69</v>
      </c>
      <c r="L76" s="4">
        <v>30</v>
      </c>
      <c r="M76" s="6" t="s">
        <v>816</v>
      </c>
    </row>
    <row r="77" spans="1:13" x14ac:dyDescent="0.3">
      <c r="A77" s="23" t="s">
        <v>13</v>
      </c>
      <c r="B77" s="6" t="s">
        <v>370</v>
      </c>
      <c r="C77" s="1" t="s">
        <v>18</v>
      </c>
      <c r="D77" s="1" t="s">
        <v>15</v>
      </c>
      <c r="E77" s="3">
        <v>354619980947583</v>
      </c>
      <c r="F77" s="1"/>
      <c r="G77" s="5">
        <v>45683</v>
      </c>
      <c r="H77" s="4">
        <v>300</v>
      </c>
      <c r="I77" s="4">
        <v>18</v>
      </c>
      <c r="J77" s="5">
        <v>45711</v>
      </c>
      <c r="K77" s="4">
        <v>400</v>
      </c>
      <c r="L77" s="4">
        <v>82</v>
      </c>
      <c r="M77" s="6" t="s">
        <v>801</v>
      </c>
    </row>
    <row r="78" spans="1:13" x14ac:dyDescent="0.3">
      <c r="A78" s="23" t="s">
        <v>16</v>
      </c>
      <c r="B78" s="6" t="s">
        <v>129</v>
      </c>
      <c r="C78" s="1" t="s">
        <v>45</v>
      </c>
      <c r="D78" s="1" t="s">
        <v>22</v>
      </c>
      <c r="E78" s="3">
        <v>357680887989265</v>
      </c>
      <c r="F78" s="1"/>
      <c r="G78" s="5">
        <v>45710</v>
      </c>
      <c r="H78" s="4">
        <v>525</v>
      </c>
      <c r="I78" s="4"/>
      <c r="J78" s="5">
        <v>45711</v>
      </c>
      <c r="K78" s="4">
        <v>592</v>
      </c>
      <c r="L78" s="4">
        <v>67</v>
      </c>
      <c r="M78" s="6" t="s">
        <v>803</v>
      </c>
    </row>
    <row r="79" spans="1:13" x14ac:dyDescent="0.3">
      <c r="A79" s="23" t="s">
        <v>16</v>
      </c>
      <c r="B79" s="6" t="s">
        <v>772</v>
      </c>
      <c r="C79" s="1" t="s">
        <v>26</v>
      </c>
      <c r="D79" s="1" t="s">
        <v>22</v>
      </c>
      <c r="E79" s="3">
        <v>358819905749157</v>
      </c>
      <c r="F79" s="1"/>
      <c r="G79" s="5">
        <v>45712</v>
      </c>
      <c r="H79" s="4">
        <v>600</v>
      </c>
      <c r="I79" s="4"/>
      <c r="J79" s="5">
        <v>45713</v>
      </c>
      <c r="K79" s="4">
        <v>700</v>
      </c>
      <c r="L79" s="4">
        <v>100</v>
      </c>
      <c r="M79" s="6" t="s">
        <v>262</v>
      </c>
    </row>
    <row r="80" spans="1:13" x14ac:dyDescent="0.3">
      <c r="A80" s="23" t="s">
        <v>13</v>
      </c>
      <c r="B80" s="6" t="s">
        <v>563</v>
      </c>
      <c r="C80" s="1" t="s">
        <v>65</v>
      </c>
      <c r="D80" s="1" t="s">
        <v>15</v>
      </c>
      <c r="E80" s="3">
        <v>352019420083879</v>
      </c>
      <c r="F80" s="1"/>
      <c r="G80" s="5">
        <v>45713</v>
      </c>
      <c r="H80" s="4">
        <v>355</v>
      </c>
      <c r="I80" s="4">
        <v>22</v>
      </c>
      <c r="J80" s="5">
        <v>45714</v>
      </c>
      <c r="K80" s="4">
        <v>440</v>
      </c>
      <c r="L80" s="4">
        <v>63</v>
      </c>
      <c r="M80" s="6" t="s">
        <v>147</v>
      </c>
    </row>
    <row r="81" spans="1:13" x14ac:dyDescent="0.3">
      <c r="A81" s="23" t="s">
        <v>16</v>
      </c>
      <c r="B81" s="6" t="s">
        <v>81</v>
      </c>
      <c r="C81" s="1" t="s">
        <v>18</v>
      </c>
      <c r="D81" s="1" t="s">
        <v>22</v>
      </c>
      <c r="E81" s="3">
        <v>351228764687549</v>
      </c>
      <c r="F81" s="1"/>
      <c r="G81" s="5">
        <v>45626</v>
      </c>
      <c r="H81" s="4">
        <v>480</v>
      </c>
      <c r="I81" s="4"/>
      <c r="J81" s="5">
        <v>45714</v>
      </c>
      <c r="K81" s="4">
        <v>500</v>
      </c>
      <c r="L81" s="4">
        <v>20</v>
      </c>
      <c r="M81" s="6" t="s">
        <v>554</v>
      </c>
    </row>
    <row r="82" spans="1:13" x14ac:dyDescent="0.3">
      <c r="A82" s="23" t="s">
        <v>16</v>
      </c>
      <c r="B82" s="6" t="s">
        <v>34</v>
      </c>
      <c r="C82" s="1" t="s">
        <v>35</v>
      </c>
      <c r="D82" s="1" t="s">
        <v>22</v>
      </c>
      <c r="E82" s="3">
        <v>350089110506218</v>
      </c>
      <c r="F82" s="1" t="s">
        <v>354</v>
      </c>
      <c r="G82" s="5">
        <v>45601</v>
      </c>
      <c r="H82" s="4">
        <v>550</v>
      </c>
      <c r="I82" s="4"/>
      <c r="J82" s="5">
        <v>45714</v>
      </c>
      <c r="K82" s="4">
        <v>600</v>
      </c>
      <c r="L82" s="4">
        <v>50</v>
      </c>
      <c r="M82" s="6" t="s">
        <v>355</v>
      </c>
    </row>
    <row r="83" spans="1:13" x14ac:dyDescent="0.3">
      <c r="A83" s="23" t="s">
        <v>16</v>
      </c>
      <c r="B83" s="6" t="s">
        <v>772</v>
      </c>
      <c r="C83" s="1" t="s">
        <v>18</v>
      </c>
      <c r="D83" s="1" t="s">
        <v>22</v>
      </c>
      <c r="E83" s="3">
        <v>356064800762052</v>
      </c>
      <c r="F83" s="1"/>
      <c r="G83" s="5">
        <v>45713</v>
      </c>
      <c r="H83" s="4">
        <v>630</v>
      </c>
      <c r="I83" s="4"/>
      <c r="J83" s="5">
        <v>45714</v>
      </c>
      <c r="K83" s="4">
        <v>657</v>
      </c>
      <c r="L83" s="4">
        <v>27</v>
      </c>
      <c r="M83" s="6" t="s">
        <v>866</v>
      </c>
    </row>
    <row r="84" spans="1:13" x14ac:dyDescent="0.3">
      <c r="A84" s="23" t="s">
        <v>13</v>
      </c>
      <c r="B84" s="6" t="s">
        <v>455</v>
      </c>
      <c r="C84" s="1" t="s">
        <v>21</v>
      </c>
      <c r="D84" s="1" t="s">
        <v>15</v>
      </c>
      <c r="E84" s="3">
        <v>352412374881457</v>
      </c>
      <c r="F84" s="1"/>
      <c r="G84" s="5">
        <v>45713</v>
      </c>
      <c r="H84" s="4">
        <v>275</v>
      </c>
      <c r="I84" s="4">
        <v>23</v>
      </c>
      <c r="J84" s="5">
        <v>45715</v>
      </c>
      <c r="K84" s="4">
        <v>350</v>
      </c>
      <c r="L84" s="4">
        <v>52</v>
      </c>
      <c r="M84" s="6" t="s">
        <v>147</v>
      </c>
    </row>
    <row r="85" spans="1:13" x14ac:dyDescent="0.3">
      <c r="A85" s="23" t="s">
        <v>16</v>
      </c>
      <c r="B85" s="6" t="s">
        <v>128</v>
      </c>
      <c r="C85" s="1" t="s">
        <v>26</v>
      </c>
      <c r="D85" s="1" t="s">
        <v>22</v>
      </c>
      <c r="E85" s="3">
        <v>356116240115299</v>
      </c>
      <c r="F85" s="1"/>
      <c r="G85" s="5">
        <v>45714</v>
      </c>
      <c r="H85" s="4">
        <v>602</v>
      </c>
      <c r="I85" s="4"/>
      <c r="J85" s="5">
        <v>45715</v>
      </c>
      <c r="K85" s="4">
        <v>720</v>
      </c>
      <c r="L85" s="4">
        <v>118</v>
      </c>
      <c r="M85" s="6" t="s">
        <v>871</v>
      </c>
    </row>
    <row r="86" spans="1:13" x14ac:dyDescent="0.3">
      <c r="A86" s="23" t="s">
        <v>16</v>
      </c>
      <c r="B86" s="6" t="s">
        <v>643</v>
      </c>
      <c r="C86" s="1" t="s">
        <v>21</v>
      </c>
      <c r="D86" s="1" t="s">
        <v>22</v>
      </c>
      <c r="E86" s="3">
        <v>353899100404266</v>
      </c>
      <c r="F86" s="1"/>
      <c r="G86" s="5">
        <v>45714</v>
      </c>
      <c r="H86" s="4">
        <v>230</v>
      </c>
      <c r="I86" s="4"/>
      <c r="J86" s="5">
        <v>45715</v>
      </c>
      <c r="K86" s="4">
        <v>290</v>
      </c>
      <c r="L86" s="4">
        <v>60</v>
      </c>
      <c r="M86" s="6" t="s">
        <v>869</v>
      </c>
    </row>
    <row r="87" spans="1:13" x14ac:dyDescent="0.3">
      <c r="A87" s="23" t="s">
        <v>16</v>
      </c>
      <c r="B87" s="6" t="s">
        <v>312</v>
      </c>
      <c r="C87" s="1" t="s">
        <v>65</v>
      </c>
      <c r="D87" s="1" t="s">
        <v>22</v>
      </c>
      <c r="E87" s="3">
        <v>356850782070872</v>
      </c>
      <c r="F87" s="1"/>
      <c r="G87" s="5">
        <v>45715</v>
      </c>
      <c r="H87" s="4">
        <v>210</v>
      </c>
      <c r="I87" s="4"/>
      <c r="J87" s="5">
        <v>45715</v>
      </c>
      <c r="K87" s="4">
        <v>270</v>
      </c>
      <c r="L87" s="4">
        <v>60</v>
      </c>
      <c r="M87" s="6" t="s">
        <v>874</v>
      </c>
    </row>
    <row r="88" spans="1:13" x14ac:dyDescent="0.3">
      <c r="A88" s="23" t="s">
        <v>314</v>
      </c>
      <c r="B88" s="6">
        <v>2</v>
      </c>
      <c r="C88" s="1"/>
      <c r="D88" s="1"/>
      <c r="E88" s="3"/>
      <c r="F88" s="1"/>
      <c r="G88" s="5"/>
      <c r="H88" s="4">
        <v>50</v>
      </c>
      <c r="I88" s="4"/>
      <c r="J88" s="5">
        <v>45715</v>
      </c>
      <c r="K88" s="4">
        <v>60</v>
      </c>
      <c r="L88" s="4">
        <v>10</v>
      </c>
      <c r="M88" s="6"/>
    </row>
    <row r="89" spans="1:13" x14ac:dyDescent="0.3">
      <c r="A89" s="23" t="s">
        <v>16</v>
      </c>
      <c r="B89" s="6" t="s">
        <v>448</v>
      </c>
      <c r="C89" s="1" t="s">
        <v>21</v>
      </c>
      <c r="D89" s="1" t="s">
        <v>22</v>
      </c>
      <c r="E89" s="3">
        <v>358438440410983</v>
      </c>
      <c r="F89" s="1"/>
      <c r="G89" s="5">
        <v>45694</v>
      </c>
      <c r="H89" s="4">
        <v>290</v>
      </c>
      <c r="I89" s="4"/>
      <c r="J89" s="5">
        <v>45715</v>
      </c>
      <c r="K89" s="4">
        <v>370</v>
      </c>
      <c r="L89" s="4">
        <v>80</v>
      </c>
      <c r="M89" s="6" t="s">
        <v>843</v>
      </c>
    </row>
    <row r="90" spans="1:13" x14ac:dyDescent="0.3">
      <c r="A90" s="23" t="s">
        <v>16</v>
      </c>
      <c r="B90" s="6" t="s">
        <v>149</v>
      </c>
      <c r="C90" s="1" t="s">
        <v>35</v>
      </c>
      <c r="D90" s="1" t="s">
        <v>15</v>
      </c>
      <c r="E90" s="3">
        <v>356576105743206</v>
      </c>
      <c r="F90" s="1" t="s">
        <v>66</v>
      </c>
      <c r="G90" s="5">
        <v>45669</v>
      </c>
      <c r="H90" s="4">
        <v>150</v>
      </c>
      <c r="I90" s="4"/>
      <c r="J90" s="5">
        <v>45715</v>
      </c>
      <c r="K90" s="4">
        <v>185</v>
      </c>
      <c r="L90" s="4">
        <v>35</v>
      </c>
      <c r="M90" s="6" t="s">
        <v>740</v>
      </c>
    </row>
    <row r="91" spans="1:13" x14ac:dyDescent="0.3">
      <c r="A91" s="23" t="s">
        <v>16</v>
      </c>
      <c r="B91" s="6" t="s">
        <v>878</v>
      </c>
      <c r="C91" s="1" t="s">
        <v>21</v>
      </c>
      <c r="D91" s="1" t="s">
        <v>22</v>
      </c>
      <c r="E91" s="3">
        <v>356709085868921</v>
      </c>
      <c r="F91" s="1"/>
      <c r="G91" s="5">
        <v>45715</v>
      </c>
      <c r="H91" s="4">
        <v>80</v>
      </c>
      <c r="I91" s="4"/>
      <c r="J91" s="5">
        <v>45715</v>
      </c>
      <c r="K91" s="4">
        <v>110</v>
      </c>
      <c r="L91" s="4">
        <v>30</v>
      </c>
      <c r="M91" s="6" t="s">
        <v>879</v>
      </c>
    </row>
    <row r="92" spans="1:13" x14ac:dyDescent="0.3">
      <c r="A92" s="23" t="s">
        <v>16</v>
      </c>
      <c r="B92" s="6" t="s">
        <v>77</v>
      </c>
      <c r="C92" s="1" t="s">
        <v>45</v>
      </c>
      <c r="D92" s="1" t="s">
        <v>22</v>
      </c>
      <c r="E92" s="3">
        <v>358047324021681</v>
      </c>
      <c r="F92" s="1"/>
      <c r="G92" s="5">
        <v>45715</v>
      </c>
      <c r="H92" s="4">
        <v>535</v>
      </c>
      <c r="I92" s="4"/>
      <c r="J92" s="5">
        <v>45715</v>
      </c>
      <c r="K92" s="4">
        <v>590</v>
      </c>
      <c r="L92" s="4">
        <v>55</v>
      </c>
      <c r="M92" s="6" t="s">
        <v>876</v>
      </c>
    </row>
    <row r="93" spans="1:13" x14ac:dyDescent="0.3">
      <c r="A93" s="23" t="s">
        <v>13</v>
      </c>
      <c r="B93" s="6" t="s">
        <v>872</v>
      </c>
      <c r="C93" s="1" t="s">
        <v>21</v>
      </c>
      <c r="D93" s="1" t="s">
        <v>22</v>
      </c>
      <c r="E93" s="3">
        <v>358899541314954</v>
      </c>
      <c r="F93" s="1"/>
      <c r="G93" s="5">
        <v>45715</v>
      </c>
      <c r="H93" s="4">
        <v>540</v>
      </c>
      <c r="I93" s="4"/>
      <c r="J93" s="5">
        <v>45715</v>
      </c>
      <c r="K93" s="4">
        <v>600</v>
      </c>
      <c r="L93" s="4">
        <v>60</v>
      </c>
      <c r="M93" s="6" t="s">
        <v>873</v>
      </c>
    </row>
    <row r="94" spans="1:13" x14ac:dyDescent="0.3">
      <c r="A94" s="23" t="s">
        <v>16</v>
      </c>
      <c r="B94" s="6" t="s">
        <v>81</v>
      </c>
      <c r="C94" s="1" t="s">
        <v>97</v>
      </c>
      <c r="D94" s="1" t="s">
        <v>15</v>
      </c>
      <c r="E94" s="3">
        <v>355677815341843</v>
      </c>
      <c r="F94" s="1"/>
      <c r="G94" s="5">
        <v>45713</v>
      </c>
      <c r="H94" s="4">
        <v>400</v>
      </c>
      <c r="I94" s="4"/>
      <c r="J94" s="5">
        <v>45716</v>
      </c>
      <c r="K94" s="4">
        <v>450</v>
      </c>
      <c r="L94" s="4">
        <v>50</v>
      </c>
      <c r="M94" s="6" t="s">
        <v>865</v>
      </c>
    </row>
    <row r="95" spans="1:13" x14ac:dyDescent="0.3">
      <c r="A95" s="23" t="s">
        <v>16</v>
      </c>
      <c r="B95" s="6" t="s">
        <v>34</v>
      </c>
      <c r="C95" s="1" t="s">
        <v>35</v>
      </c>
      <c r="D95" s="1" t="s">
        <v>22</v>
      </c>
      <c r="E95" s="3">
        <v>357006621545009</v>
      </c>
      <c r="F95" s="1"/>
      <c r="G95" s="5">
        <v>45701</v>
      </c>
      <c r="H95" s="4">
        <v>550</v>
      </c>
      <c r="I95" s="4"/>
      <c r="J95" s="5">
        <v>45716</v>
      </c>
      <c r="K95" s="4">
        <v>600</v>
      </c>
      <c r="L95" s="4">
        <v>50</v>
      </c>
      <c r="M95" s="6" t="s">
        <v>850</v>
      </c>
    </row>
    <row r="96" spans="1:13" x14ac:dyDescent="0.3">
      <c r="A96" s="23" t="s">
        <v>13</v>
      </c>
      <c r="B96" s="6" t="s">
        <v>825</v>
      </c>
      <c r="C96" s="1" t="s">
        <v>826</v>
      </c>
      <c r="D96" s="1" t="s">
        <v>15</v>
      </c>
      <c r="E96" s="3">
        <v>353346113104632</v>
      </c>
      <c r="F96" s="1"/>
      <c r="G96" s="5">
        <v>45707</v>
      </c>
      <c r="H96" s="4">
        <v>120</v>
      </c>
      <c r="I96" s="4">
        <v>23</v>
      </c>
      <c r="J96" s="5">
        <v>45716</v>
      </c>
      <c r="K96" s="4">
        <v>180</v>
      </c>
      <c r="L96" s="4">
        <v>37</v>
      </c>
      <c r="M96" s="6" t="s">
        <v>147</v>
      </c>
    </row>
    <row r="97" spans="1:13" x14ac:dyDescent="0.3">
      <c r="A97" s="23" t="s">
        <v>13</v>
      </c>
      <c r="B97" s="6" t="s">
        <v>117</v>
      </c>
      <c r="C97" s="1" t="s">
        <v>21</v>
      </c>
      <c r="D97" s="1" t="s">
        <v>15</v>
      </c>
      <c r="E97" s="3">
        <v>35854661965297</v>
      </c>
      <c r="F97" s="1"/>
      <c r="G97" s="5">
        <v>45582</v>
      </c>
      <c r="H97" s="4">
        <v>270</v>
      </c>
      <c r="I97" s="4"/>
      <c r="J97" s="5">
        <v>45716</v>
      </c>
      <c r="K97" s="4">
        <v>300</v>
      </c>
      <c r="L97" s="4">
        <v>30</v>
      </c>
      <c r="M97" s="6"/>
    </row>
    <row r="98" spans="1:13" x14ac:dyDescent="0.3">
      <c r="A98" s="23" t="s">
        <v>16</v>
      </c>
      <c r="B98" s="6" t="s">
        <v>81</v>
      </c>
      <c r="C98" s="1" t="s">
        <v>65</v>
      </c>
      <c r="D98" s="1" t="s">
        <v>15</v>
      </c>
      <c r="E98" s="3">
        <v>350165056311498</v>
      </c>
      <c r="F98" s="1" t="s">
        <v>221</v>
      </c>
      <c r="G98" s="5">
        <v>45584</v>
      </c>
      <c r="H98" s="4">
        <v>400</v>
      </c>
      <c r="I98" s="4"/>
      <c r="J98" s="5">
        <v>45716</v>
      </c>
      <c r="K98" s="4">
        <v>450</v>
      </c>
      <c r="L98" s="4">
        <v>50</v>
      </c>
      <c r="M98" s="6" t="s">
        <v>222</v>
      </c>
    </row>
    <row r="99" spans="1:13" x14ac:dyDescent="0.3">
      <c r="A99" s="23"/>
      <c r="B99" s="6"/>
      <c r="C99" s="1"/>
      <c r="D99" s="1"/>
      <c r="E99" s="3"/>
      <c r="F99" s="1"/>
      <c r="G99" s="5"/>
      <c r="H99" s="4"/>
      <c r="I99" s="4"/>
      <c r="J99" s="5"/>
      <c r="K99" s="4"/>
      <c r="L99" s="4">
        <f>Таблица375[[#This Row],[SOTILGAN NARXI]]-Таблица375[[#This Row],[OLINGAN NARXI $]]-Таблица375[[#This Row],[RASXOD]]</f>
        <v>0</v>
      </c>
      <c r="M99" s="6"/>
    </row>
    <row r="100" spans="1:13" x14ac:dyDescent="0.3">
      <c r="A100" s="23"/>
      <c r="B100" s="6"/>
      <c r="C100" s="1"/>
      <c r="D100" s="1"/>
      <c r="E100" s="3"/>
      <c r="F100" s="1"/>
      <c r="G100" s="5"/>
      <c r="H100" s="4"/>
      <c r="I100" s="4"/>
      <c r="J100" s="5"/>
      <c r="K100" s="4"/>
      <c r="L100" s="4">
        <f>Таблица375[[#This Row],[SOTILGAN NARXI]]-Таблица375[[#This Row],[OLINGAN NARXI $]]-Таблица375[[#This Row],[RASXOD]]</f>
        <v>0</v>
      </c>
      <c r="M100" s="6"/>
    </row>
    <row r="101" spans="1:13" x14ac:dyDescent="0.3">
      <c r="A101" s="23"/>
      <c r="B101" s="6"/>
      <c r="C101" s="1"/>
      <c r="D101" s="1"/>
      <c r="E101" s="3"/>
      <c r="F101" s="1"/>
      <c r="G101" s="5"/>
      <c r="H101" s="4"/>
      <c r="I101" s="4"/>
      <c r="J101" s="5"/>
      <c r="K101" s="4"/>
      <c r="L101" s="4">
        <f>Таблица375[[#This Row],[SOTILGAN NARXI]]-Таблица375[[#This Row],[OLINGAN NARXI $]]-Таблица375[[#This Row],[RASXOD]]</f>
        <v>0</v>
      </c>
      <c r="M101" s="6"/>
    </row>
    <row r="102" spans="1:13" ht="15.75" customHeight="1" x14ac:dyDescent="0.3">
      <c r="A102" s="23"/>
      <c r="B102" s="6"/>
      <c r="C102" s="1"/>
      <c r="D102" s="1"/>
      <c r="E102" s="1"/>
      <c r="F102" s="5"/>
      <c r="G102" s="43"/>
      <c r="H102" s="1"/>
      <c r="I102" s="1"/>
      <c r="J102" s="5"/>
      <c r="K102" s="4"/>
      <c r="L102" s="4">
        <f>Таблица375[[#This Row],[SOTILGAN NARXI]]-Таблица375[[#This Row],[OLINGAN NARXI $]]-Таблица375[[#This Row],[RASXOD]]</f>
        <v>0</v>
      </c>
      <c r="M102" s="6"/>
    </row>
    <row r="103" spans="1:13" x14ac:dyDescent="0.3">
      <c r="A103" s="23"/>
      <c r="B103" s="6"/>
      <c r="C103" s="1"/>
      <c r="D103" s="1"/>
      <c r="E103" s="3"/>
      <c r="F103" s="1"/>
      <c r="G103" s="43"/>
      <c r="H103" s="1"/>
      <c r="I103" s="4"/>
      <c r="J103" s="5"/>
      <c r="K103" s="1"/>
      <c r="L103" s="4">
        <f>Таблица375[[#This Row],[SOTILGAN NARXI]]-Таблица375[[#This Row],[OLINGAN NARXI $]]-Таблица375[[#This Row],[RASXOD]]</f>
        <v>0</v>
      </c>
      <c r="M103" s="6"/>
    </row>
    <row r="104" spans="1:13" x14ac:dyDescent="0.3">
      <c r="A104" s="23"/>
      <c r="B104" s="6"/>
      <c r="C104" s="1"/>
      <c r="D104" s="1"/>
      <c r="E104" s="34" t="s">
        <v>237</v>
      </c>
      <c r="F104" s="35" t="s">
        <v>238</v>
      </c>
      <c r="G104" s="43"/>
      <c r="H104" s="1"/>
      <c r="I104" s="4"/>
      <c r="J104" s="28"/>
      <c r="K104" s="1"/>
      <c r="L104" s="4">
        <f>Таблица375[[#This Row],[SOTILGAN NARXI]]-Таблица375[[#This Row],[OLINGAN NARXI $]]-Таблица375[[#This Row],[RASXOD]]</f>
        <v>0</v>
      </c>
      <c r="M104" s="6"/>
    </row>
    <row r="105" spans="1:13" x14ac:dyDescent="0.3">
      <c r="A105" s="23"/>
      <c r="B105" s="6"/>
      <c r="C105" s="1"/>
      <c r="D105" s="1"/>
      <c r="E105" s="17" t="s">
        <v>226</v>
      </c>
      <c r="F105" s="18">
        <v>1090</v>
      </c>
      <c r="G105" s="2"/>
      <c r="H105" s="1"/>
      <c r="I105" s="4"/>
      <c r="J105" s="28"/>
      <c r="K105" s="1"/>
      <c r="L105" s="4">
        <f>Таблица375[[#This Row],[SOTILGAN NARXI]]-Таблица375[[#This Row],[OLINGAN NARXI $]]-Таблица375[[#This Row],[RASXOD]]</f>
        <v>0</v>
      </c>
      <c r="M105" s="6"/>
    </row>
    <row r="106" spans="1:13" x14ac:dyDescent="0.3">
      <c r="A106" s="23"/>
      <c r="B106" s="6"/>
      <c r="C106" s="1"/>
      <c r="D106" s="1"/>
      <c r="E106" s="17" t="s">
        <v>888</v>
      </c>
      <c r="F106" s="18">
        <v>300</v>
      </c>
      <c r="G106" s="2"/>
      <c r="H106" s="1"/>
      <c r="I106" s="4"/>
      <c r="J106" s="5"/>
      <c r="K106" s="1"/>
      <c r="L106" s="4">
        <f>Таблица375[[#This Row],[SOTILGAN NARXI]]-Таблица375[[#This Row],[OLINGAN NARXI $]]-Таблица375[[#This Row],[RASXOD]]</f>
        <v>0</v>
      </c>
      <c r="M106" s="6"/>
    </row>
    <row r="107" spans="1:13" x14ac:dyDescent="0.3">
      <c r="A107" s="23"/>
      <c r="B107" s="6"/>
      <c r="C107" s="1"/>
      <c r="D107" s="1"/>
      <c r="E107" s="19" t="s">
        <v>710</v>
      </c>
      <c r="F107" s="21">
        <v>1000</v>
      </c>
      <c r="G107" s="2"/>
      <c r="H107" s="1"/>
      <c r="I107" s="4"/>
      <c r="J107" s="5"/>
      <c r="K107" s="1"/>
      <c r="L107" s="4">
        <f>Таблица375[[#This Row],[SOTILGAN NARXI]]-Таблица375[[#This Row],[OLINGAN NARXI $]]-Таблица375[[#This Row],[RASXOD]]</f>
        <v>0</v>
      </c>
      <c r="M107" s="6"/>
    </row>
    <row r="108" spans="1:13" x14ac:dyDescent="0.3">
      <c r="A108" s="23"/>
      <c r="B108" s="6"/>
      <c r="C108" s="1"/>
      <c r="D108" s="1"/>
      <c r="E108" s="19"/>
      <c r="F108" s="21"/>
      <c r="G108" s="2"/>
      <c r="H108" s="1"/>
      <c r="I108" s="4"/>
      <c r="J108" s="5"/>
      <c r="K108" s="1"/>
      <c r="L108" s="4">
        <f>Таблица375[[#This Row],[SOTILGAN NARXI]]-Таблица375[[#This Row],[OLINGAN NARXI $]]-Таблица375[[#This Row],[RASXOD]]</f>
        <v>0</v>
      </c>
      <c r="M108" s="6"/>
    </row>
    <row r="109" spans="1:13" x14ac:dyDescent="0.3">
      <c r="A109" s="23"/>
      <c r="B109" s="6"/>
      <c r="C109" s="1"/>
      <c r="D109" s="1"/>
      <c r="E109" s="33"/>
      <c r="F109" s="21"/>
      <c r="G109" s="2"/>
      <c r="H109" s="1"/>
      <c r="I109" s="4"/>
      <c r="J109" s="5"/>
      <c r="K109" s="1"/>
      <c r="L109" s="4">
        <f>Таблица375[[#This Row],[SOTILGAN NARXI]]-Таблица375[[#This Row],[OLINGAN NARXI $]]-Таблица375[[#This Row],[RASXOD]]</f>
        <v>0</v>
      </c>
      <c r="M109" s="6"/>
    </row>
    <row r="110" spans="1:13" x14ac:dyDescent="0.3">
      <c r="A110" s="23"/>
      <c r="B110" s="6"/>
      <c r="C110" s="1"/>
      <c r="D110" s="1"/>
      <c r="E110" s="33"/>
      <c r="F110" s="21"/>
      <c r="G110" s="2"/>
      <c r="H110" s="1"/>
      <c r="I110" s="4"/>
      <c r="J110" s="5"/>
      <c r="K110" s="1"/>
      <c r="L110" s="4">
        <f>Таблица375[[#This Row],[SOTILGAN NARXI]]-Таблица375[[#This Row],[OLINGAN NARXI $]]-Таблица375[[#This Row],[RASXOD]]</f>
        <v>0</v>
      </c>
      <c r="M110" s="6"/>
    </row>
    <row r="111" spans="1:13" x14ac:dyDescent="0.3">
      <c r="A111" s="23"/>
      <c r="B111" s="6"/>
      <c r="C111" s="1"/>
      <c r="D111" s="1"/>
      <c r="E111" s="33"/>
      <c r="F111" s="21"/>
      <c r="G111" s="2"/>
      <c r="H111" s="1"/>
      <c r="I111" s="4"/>
      <c r="J111" s="5"/>
      <c r="K111" s="1"/>
      <c r="L111" s="4">
        <f>Таблица375[[#This Row],[SOTILGAN NARXI]]-Таблица375[[#This Row],[OLINGAN NARXI $]]-Таблица375[[#This Row],[RASXOD]]</f>
        <v>0</v>
      </c>
      <c r="M111" s="6"/>
    </row>
    <row r="112" spans="1:13" x14ac:dyDescent="0.3">
      <c r="A112" s="23"/>
      <c r="B112" s="6"/>
      <c r="C112" s="1"/>
      <c r="D112" s="1"/>
      <c r="E112" s="33"/>
      <c r="F112" s="21"/>
      <c r="G112" s="2"/>
      <c r="H112" s="1"/>
      <c r="I112" s="4"/>
      <c r="J112" s="5"/>
      <c r="K112" s="1"/>
      <c r="L112" s="4">
        <f>Таблица375[[#This Row],[SOTILGAN NARXI]]-Таблица375[[#This Row],[OLINGAN NARXI $]]-Таблица375[[#This Row],[RASXOD]]</f>
        <v>0</v>
      </c>
      <c r="M112" s="6"/>
    </row>
    <row r="113" spans="1:13" x14ac:dyDescent="0.3">
      <c r="A113" s="23"/>
      <c r="B113" s="6"/>
      <c r="C113" s="1"/>
      <c r="D113" s="1"/>
      <c r="E113" s="33"/>
      <c r="F113" s="21"/>
      <c r="G113" s="2"/>
      <c r="H113" s="1"/>
      <c r="I113" s="4"/>
      <c r="J113" s="5"/>
      <c r="K113" s="1"/>
      <c r="L113" s="4">
        <f>Таблица375[[#This Row],[SOTILGAN NARXI]]-Таблица375[[#This Row],[OLINGAN NARXI $]]-Таблица375[[#This Row],[RASXOD]]</f>
        <v>0</v>
      </c>
      <c r="M113" s="6"/>
    </row>
    <row r="114" spans="1:13" x14ac:dyDescent="0.3">
      <c r="A114" s="23"/>
      <c r="B114" s="6"/>
      <c r="C114" s="1"/>
      <c r="D114" s="1"/>
      <c r="E114" s="33"/>
      <c r="F114" s="21"/>
      <c r="G114" s="2"/>
      <c r="H114" s="1"/>
      <c r="I114" s="4"/>
      <c r="J114" s="5"/>
      <c r="K114" s="1"/>
      <c r="L114" s="4">
        <f>Таблица375[[#This Row],[SOTILGAN NARXI]]-Таблица375[[#This Row],[OLINGAN NARXI $]]-Таблица375[[#This Row],[RASXOD]]</f>
        <v>0</v>
      </c>
      <c r="M114" s="6"/>
    </row>
    <row r="115" spans="1:13" x14ac:dyDescent="0.3">
      <c r="A115" s="23"/>
      <c r="B115" s="6"/>
      <c r="C115" s="1"/>
      <c r="D115" s="1"/>
      <c r="E115" s="33"/>
      <c r="F115" s="21"/>
      <c r="G115" s="2"/>
      <c r="H115" s="1"/>
      <c r="I115" s="4"/>
      <c r="J115" s="28"/>
      <c r="K115" s="1"/>
      <c r="L115" s="4">
        <f>Таблица375[[#This Row],[SOTILGAN NARXI]]-Таблица375[[#This Row],[OLINGAN NARXI $]]-Таблица375[[#This Row],[RASXOD]]</f>
        <v>0</v>
      </c>
      <c r="M115" s="6"/>
    </row>
    <row r="116" spans="1:13" x14ac:dyDescent="0.3">
      <c r="A116" s="23"/>
      <c r="B116" s="6"/>
      <c r="C116" s="1"/>
      <c r="D116" s="1"/>
      <c r="E116" s="19"/>
      <c r="F116" s="21"/>
      <c r="G116" s="2"/>
      <c r="H116" s="1"/>
      <c r="I116" s="4"/>
      <c r="J116" s="28"/>
      <c r="K116" s="1"/>
      <c r="L116" s="4">
        <f>Таблица375[[#This Row],[SOTILGAN NARXI]]-Таблица375[[#This Row],[OLINGAN NARXI $]]-Таблица375[[#This Row],[RASXOD]]</f>
        <v>0</v>
      </c>
      <c r="M116" s="6"/>
    </row>
    <row r="117" spans="1:13" x14ac:dyDescent="0.3">
      <c r="A117" s="23"/>
      <c r="B117" s="6"/>
      <c r="C117" s="1"/>
      <c r="D117" s="1"/>
      <c r="E117" s="19"/>
      <c r="F117" s="21"/>
      <c r="G117" s="2"/>
      <c r="H117" s="1"/>
      <c r="I117" s="4"/>
      <c r="J117" s="28"/>
      <c r="K117" s="1"/>
      <c r="L117" s="4">
        <f>Таблица375[[#This Row],[SOTILGAN NARXI]]-Таблица375[[#This Row],[OLINGAN NARXI $]]-Таблица375[[#This Row],[RASXOD]]</f>
        <v>0</v>
      </c>
      <c r="M117" s="6"/>
    </row>
    <row r="118" spans="1:13" x14ac:dyDescent="0.3">
      <c r="A118" s="23"/>
      <c r="B118" s="6"/>
      <c r="C118" s="1"/>
      <c r="D118" s="1"/>
      <c r="E118" s="33"/>
      <c r="F118" s="21"/>
      <c r="G118" s="2"/>
      <c r="H118" s="1"/>
      <c r="I118" s="4"/>
      <c r="J118" s="28"/>
      <c r="K118" s="1"/>
      <c r="L118" s="4">
        <f>Таблица375[[#This Row],[SOTILGAN NARXI]]-Таблица375[[#This Row],[OLINGAN NARXI $]]-Таблица375[[#This Row],[RASXOD]]</f>
        <v>0</v>
      </c>
      <c r="M118" s="6"/>
    </row>
    <row r="119" spans="1:13" x14ac:dyDescent="0.3">
      <c r="A119" s="23"/>
      <c r="B119" s="6"/>
      <c r="C119" s="1"/>
      <c r="D119" s="1"/>
      <c r="E119" s="44"/>
      <c r="F119" s="45"/>
      <c r="G119" s="2"/>
      <c r="H119" s="1"/>
      <c r="I119" s="4"/>
      <c r="J119" s="28"/>
      <c r="K119" s="1"/>
      <c r="L119" s="4">
        <f>Таблица375[[#This Row],[SOTILGAN NARXI]]-Таблица375[[#This Row],[OLINGAN NARXI $]]-Таблица375[[#This Row],[RASXOD]]</f>
        <v>0</v>
      </c>
      <c r="M119" s="6"/>
    </row>
    <row r="120" spans="1:13" x14ac:dyDescent="0.3">
      <c r="A120" s="27"/>
      <c r="B120" s="12"/>
      <c r="C120" s="11"/>
      <c r="D120" s="46"/>
      <c r="E120" s="47"/>
      <c r="F120" s="48"/>
      <c r="G120" s="49"/>
      <c r="H120" s="40"/>
      <c r="I120" s="40">
        <f>SUBTOTAL(109,I2:I104)</f>
        <v>365</v>
      </c>
      <c r="J120" s="41"/>
      <c r="K120" s="42">
        <f>SUM(K2:K119)</f>
        <v>42996</v>
      </c>
      <c r="L120" s="14">
        <f>SUBTOTAL(109,L2:L119)</f>
        <v>5343</v>
      </c>
      <c r="M120" s="6"/>
    </row>
    <row r="121" spans="1:13" x14ac:dyDescent="0.3">
      <c r="A121" s="23"/>
      <c r="B121" s="6"/>
      <c r="C121" s="1"/>
      <c r="D121" s="1"/>
      <c r="E121" s="23"/>
      <c r="F121" s="4"/>
      <c r="G121" s="5"/>
      <c r="H121" s="4"/>
      <c r="I121" s="4"/>
      <c r="J121" s="5"/>
      <c r="K121" s="4"/>
      <c r="L121" s="4">
        <f>Таблица375[[#This Row],[SOTILGAN NARXI]]-Таблица375[[#This Row],[OLINGAN NARXI $]]-Таблица375[[#This Row],[RASXOD]]</f>
        <v>0</v>
      </c>
      <c r="M121" s="6"/>
    </row>
    <row r="122" spans="1:13" x14ac:dyDescent="0.3">
      <c r="A122" s="23"/>
      <c r="B122" s="6"/>
      <c r="C122" s="1"/>
      <c r="D122" s="1"/>
      <c r="E122" s="23"/>
      <c r="F122" s="4"/>
      <c r="G122" s="5"/>
      <c r="H122" s="4"/>
      <c r="I122" s="4"/>
      <c r="J122" s="5"/>
      <c r="K122" s="4"/>
      <c r="L122" s="4">
        <f>Таблица375[[#This Row],[SOTILGAN NARXI]]-Таблица375[[#This Row],[OLINGAN NARXI $]]-Таблица375[[#This Row],[RASXOD]]</f>
        <v>0</v>
      </c>
      <c r="M122" s="6"/>
    </row>
    <row r="123" spans="1:13" x14ac:dyDescent="0.3">
      <c r="A123" s="23"/>
      <c r="B123" s="6"/>
      <c r="C123" s="1"/>
      <c r="D123" s="1"/>
      <c r="E123" s="23"/>
      <c r="F123" s="4"/>
      <c r="G123" s="5"/>
      <c r="H123" s="4"/>
      <c r="I123" s="4"/>
      <c r="J123" s="5"/>
      <c r="K123" s="4"/>
      <c r="L123" s="4">
        <f>Таблица375[[#This Row],[SOTILGAN NARXI]]-Таблица375[[#This Row],[OLINGAN NARXI $]]-Таблица375[[#This Row],[RASXOD]]</f>
        <v>0</v>
      </c>
      <c r="M123" s="6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7DC0C-3647-4A23-AC78-0BC909C42A9C}">
  <sheetPr codeName="Лист11"/>
  <dimension ref="A1:M142"/>
  <sheetViews>
    <sheetView topLeftCell="A99" zoomScale="70" zoomScaleNormal="70" workbookViewId="0">
      <selection activeCell="H122" sqref="H122"/>
    </sheetView>
  </sheetViews>
  <sheetFormatPr defaultRowHeight="14.4" x14ac:dyDescent="0.3"/>
  <cols>
    <col min="1" max="1" width="11.5546875" bestFit="1" customWidth="1"/>
    <col min="2" max="2" width="19" bestFit="1" customWidth="1"/>
    <col min="3" max="3" width="18.88671875" bestFit="1" customWidth="1"/>
    <col min="4" max="4" width="14.109375" bestFit="1" customWidth="1"/>
    <col min="5" max="5" width="17.33203125" bestFit="1" customWidth="1"/>
    <col min="6" max="6" width="36.6640625" bestFit="1" customWidth="1"/>
    <col min="7" max="7" width="34.5546875" bestFit="1" customWidth="1"/>
    <col min="8" max="8" width="21.6640625" bestFit="1" customWidth="1"/>
    <col min="9" max="9" width="15" bestFit="1" customWidth="1"/>
    <col min="10" max="10" width="21.88671875" bestFit="1" customWidth="1"/>
    <col min="11" max="11" width="22.6640625" bestFit="1" customWidth="1"/>
    <col min="12" max="12" width="13.5546875" bestFit="1" customWidth="1"/>
    <col min="13" max="13" width="31.5546875" customWidth="1"/>
  </cols>
  <sheetData>
    <row r="1" spans="1:13" x14ac:dyDescent="0.3">
      <c r="A1" s="1" t="s">
        <v>0</v>
      </c>
      <c r="B1" s="6" t="s">
        <v>2</v>
      </c>
      <c r="C1" s="1" t="s">
        <v>1</v>
      </c>
      <c r="D1" s="1" t="s">
        <v>3</v>
      </c>
      <c r="E1" s="3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10</v>
      </c>
      <c r="K1" s="1" t="s">
        <v>9</v>
      </c>
      <c r="L1" s="1" t="s">
        <v>11</v>
      </c>
      <c r="M1" s="1" t="s">
        <v>12</v>
      </c>
    </row>
    <row r="2" spans="1:13" x14ac:dyDescent="0.3">
      <c r="A2" s="23" t="s">
        <v>16</v>
      </c>
      <c r="B2" s="6" t="s">
        <v>104</v>
      </c>
      <c r="C2" s="1" t="s">
        <v>65</v>
      </c>
      <c r="D2" s="1" t="s">
        <v>22</v>
      </c>
      <c r="E2" s="3">
        <v>352048886892580</v>
      </c>
      <c r="F2" s="1"/>
      <c r="G2" s="5">
        <v>45647</v>
      </c>
      <c r="H2" s="4">
        <v>330</v>
      </c>
      <c r="I2" s="4"/>
      <c r="J2" s="5">
        <v>45663</v>
      </c>
      <c r="K2" s="4">
        <v>380</v>
      </c>
      <c r="L2" s="39">
        <v>50</v>
      </c>
      <c r="M2" s="6" t="s">
        <v>274</v>
      </c>
    </row>
    <row r="3" spans="1:13" x14ac:dyDescent="0.3">
      <c r="A3" s="23" t="s">
        <v>16</v>
      </c>
      <c r="B3" s="6" t="s">
        <v>149</v>
      </c>
      <c r="C3" s="1" t="s">
        <v>21</v>
      </c>
      <c r="D3" s="1" t="s">
        <v>22</v>
      </c>
      <c r="E3" s="3">
        <v>356341103343198</v>
      </c>
      <c r="F3" s="1"/>
      <c r="G3" s="5">
        <v>45612</v>
      </c>
      <c r="H3" s="4">
        <v>200</v>
      </c>
      <c r="I3" s="4"/>
      <c r="J3" s="5">
        <v>45659</v>
      </c>
      <c r="K3" s="4">
        <v>250</v>
      </c>
      <c r="L3" s="39">
        <v>50</v>
      </c>
      <c r="M3" s="6" t="s">
        <v>262</v>
      </c>
    </row>
    <row r="4" spans="1:13" x14ac:dyDescent="0.3">
      <c r="A4" s="23" t="s">
        <v>207</v>
      </c>
      <c r="B4" s="6" t="s">
        <v>399</v>
      </c>
      <c r="C4" s="1" t="s">
        <v>21</v>
      </c>
      <c r="D4" s="1" t="s">
        <v>22</v>
      </c>
      <c r="E4" s="3"/>
      <c r="F4" s="1"/>
      <c r="G4" s="5">
        <v>45615</v>
      </c>
      <c r="H4" s="4">
        <v>180</v>
      </c>
      <c r="I4" s="4"/>
      <c r="J4" s="5">
        <v>45659</v>
      </c>
      <c r="K4" s="4">
        <v>210</v>
      </c>
      <c r="L4" s="39">
        <v>30</v>
      </c>
      <c r="M4" s="6" t="s">
        <v>470</v>
      </c>
    </row>
    <row r="5" spans="1:13" x14ac:dyDescent="0.3">
      <c r="A5" s="23" t="s">
        <v>13</v>
      </c>
      <c r="B5" s="6" t="s">
        <v>358</v>
      </c>
      <c r="C5" s="1" t="s">
        <v>187</v>
      </c>
      <c r="D5" s="1" t="s">
        <v>15</v>
      </c>
      <c r="E5" s="3">
        <v>355680110264546</v>
      </c>
      <c r="F5" s="1"/>
      <c r="G5" s="5">
        <v>45602</v>
      </c>
      <c r="H5" s="4">
        <v>155</v>
      </c>
      <c r="I5" s="4">
        <v>10</v>
      </c>
      <c r="J5" s="5">
        <v>45659</v>
      </c>
      <c r="K5" s="4">
        <v>200</v>
      </c>
      <c r="L5" s="39">
        <v>35</v>
      </c>
      <c r="M5" s="6" t="s">
        <v>359</v>
      </c>
    </row>
    <row r="6" spans="1:13" x14ac:dyDescent="0.3">
      <c r="A6" s="23" t="s">
        <v>16</v>
      </c>
      <c r="B6" s="6" t="s">
        <v>32</v>
      </c>
      <c r="C6" s="1" t="s">
        <v>26</v>
      </c>
      <c r="D6" s="1" t="s">
        <v>22</v>
      </c>
      <c r="E6" s="3">
        <v>358301850655176</v>
      </c>
      <c r="F6" s="1"/>
      <c r="G6" s="5">
        <v>45613</v>
      </c>
      <c r="H6" s="4">
        <v>700</v>
      </c>
      <c r="I6" s="4"/>
      <c r="J6" s="5">
        <v>45659</v>
      </c>
      <c r="K6" s="4">
        <v>772</v>
      </c>
      <c r="L6" s="39">
        <v>72</v>
      </c>
      <c r="M6" s="6" t="s">
        <v>451</v>
      </c>
    </row>
    <row r="7" spans="1:13" x14ac:dyDescent="0.3">
      <c r="A7" s="23" t="s">
        <v>16</v>
      </c>
      <c r="B7" s="6" t="s">
        <v>518</v>
      </c>
      <c r="C7" s="1" t="s">
        <v>26</v>
      </c>
      <c r="D7" s="1" t="s">
        <v>22</v>
      </c>
      <c r="E7" s="3">
        <v>354449445140800</v>
      </c>
      <c r="F7" s="1"/>
      <c r="G7" s="5">
        <v>45650</v>
      </c>
      <c r="H7" s="4">
        <v>800</v>
      </c>
      <c r="I7" s="4"/>
      <c r="J7" s="5">
        <v>45659</v>
      </c>
      <c r="K7" s="4">
        <v>900</v>
      </c>
      <c r="L7" s="39">
        <v>100</v>
      </c>
      <c r="M7" s="6" t="s">
        <v>678</v>
      </c>
    </row>
    <row r="8" spans="1:13" x14ac:dyDescent="0.3">
      <c r="A8" s="23" t="s">
        <v>16</v>
      </c>
      <c r="B8" s="6" t="s">
        <v>39</v>
      </c>
      <c r="C8" s="1" t="s">
        <v>18</v>
      </c>
      <c r="D8" s="1" t="s">
        <v>22</v>
      </c>
      <c r="E8" s="3">
        <v>350054541196633</v>
      </c>
      <c r="F8" s="1"/>
      <c r="G8" s="5">
        <v>45601</v>
      </c>
      <c r="H8" s="4">
        <v>650</v>
      </c>
      <c r="I8" s="4"/>
      <c r="J8" s="5">
        <v>45660</v>
      </c>
      <c r="K8" s="4">
        <v>720</v>
      </c>
      <c r="L8" s="39">
        <v>70</v>
      </c>
      <c r="M8" s="6" t="s">
        <v>352</v>
      </c>
    </row>
    <row r="9" spans="1:13" x14ac:dyDescent="0.3">
      <c r="A9" s="23" t="s">
        <v>16</v>
      </c>
      <c r="B9" s="6" t="s">
        <v>443</v>
      </c>
      <c r="C9" s="1" t="s">
        <v>583</v>
      </c>
      <c r="D9" s="1" t="s">
        <v>22</v>
      </c>
      <c r="E9" s="3">
        <v>358244950470650</v>
      </c>
      <c r="F9" s="1"/>
      <c r="G9" s="5">
        <v>45630</v>
      </c>
      <c r="H9" s="4">
        <v>950</v>
      </c>
      <c r="I9" s="4"/>
      <c r="J9" s="5">
        <v>45660</v>
      </c>
      <c r="K9" s="4">
        <v>1050</v>
      </c>
      <c r="L9" s="39">
        <v>100</v>
      </c>
      <c r="M9" s="6" t="s">
        <v>262</v>
      </c>
    </row>
    <row r="10" spans="1:13" x14ac:dyDescent="0.3">
      <c r="A10" s="23" t="s">
        <v>13</v>
      </c>
      <c r="B10" s="6" t="s">
        <v>115</v>
      </c>
      <c r="C10" s="1" t="s">
        <v>21</v>
      </c>
      <c r="D10" s="1" t="s">
        <v>22</v>
      </c>
      <c r="E10" s="3">
        <v>353499866683151</v>
      </c>
      <c r="F10" s="1"/>
      <c r="G10" s="5">
        <v>45656</v>
      </c>
      <c r="H10" s="4">
        <v>200</v>
      </c>
      <c r="I10" s="4"/>
      <c r="J10" s="5">
        <v>45660</v>
      </c>
      <c r="K10" s="4">
        <v>247</v>
      </c>
      <c r="L10" s="39">
        <v>47</v>
      </c>
      <c r="M10" s="6" t="s">
        <v>701</v>
      </c>
    </row>
    <row r="11" spans="1:13" x14ac:dyDescent="0.3">
      <c r="A11" s="23" t="s">
        <v>13</v>
      </c>
      <c r="B11" s="6" t="s">
        <v>684</v>
      </c>
      <c r="C11" s="1" t="s">
        <v>21</v>
      </c>
      <c r="D11" s="1" t="s">
        <v>15</v>
      </c>
      <c r="E11" s="3">
        <v>352307137472133</v>
      </c>
      <c r="F11" s="1"/>
      <c r="G11" s="5">
        <v>45651</v>
      </c>
      <c r="H11" s="4">
        <v>39</v>
      </c>
      <c r="I11" s="4"/>
      <c r="J11" s="5">
        <v>45661</v>
      </c>
      <c r="K11" s="4">
        <v>69</v>
      </c>
      <c r="L11" s="39">
        <v>30</v>
      </c>
      <c r="M11" s="6" t="s">
        <v>262</v>
      </c>
    </row>
    <row r="12" spans="1:13" x14ac:dyDescent="0.3">
      <c r="A12" s="23" t="s">
        <v>16</v>
      </c>
      <c r="B12" s="6" t="s">
        <v>619</v>
      </c>
      <c r="C12" s="1" t="s">
        <v>45</v>
      </c>
      <c r="D12" s="1" t="s">
        <v>15</v>
      </c>
      <c r="E12" s="3">
        <v>359495084122471</v>
      </c>
      <c r="F12" s="1" t="s">
        <v>61</v>
      </c>
      <c r="G12" s="5">
        <v>45646</v>
      </c>
      <c r="H12" s="4">
        <v>65</v>
      </c>
      <c r="I12" s="4"/>
      <c r="J12" s="5">
        <v>45661</v>
      </c>
      <c r="K12" s="4">
        <v>95</v>
      </c>
      <c r="L12" s="39">
        <v>30</v>
      </c>
      <c r="M12" s="6" t="s">
        <v>262</v>
      </c>
    </row>
    <row r="13" spans="1:13" x14ac:dyDescent="0.3">
      <c r="A13" s="23" t="s">
        <v>16</v>
      </c>
      <c r="B13" s="6" t="s">
        <v>83</v>
      </c>
      <c r="C13" s="1" t="s">
        <v>21</v>
      </c>
      <c r="D13" s="1" t="s">
        <v>22</v>
      </c>
      <c r="E13" s="3">
        <v>358750484407778</v>
      </c>
      <c r="F13" s="1"/>
      <c r="G13" s="5">
        <v>45652</v>
      </c>
      <c r="H13" s="4">
        <v>450</v>
      </c>
      <c r="I13" s="4"/>
      <c r="J13" s="5">
        <v>45661</v>
      </c>
      <c r="K13" s="4">
        <v>520</v>
      </c>
      <c r="L13" s="39">
        <v>70</v>
      </c>
      <c r="M13" s="6" t="s">
        <v>690</v>
      </c>
    </row>
    <row r="14" spans="1:13" x14ac:dyDescent="0.3">
      <c r="A14" s="23" t="s">
        <v>142</v>
      </c>
      <c r="B14" s="6" t="s">
        <v>527</v>
      </c>
      <c r="C14" s="1" t="s">
        <v>21</v>
      </c>
      <c r="D14" s="1" t="s">
        <v>22</v>
      </c>
      <c r="E14" s="3">
        <v>868329055865038</v>
      </c>
      <c r="F14" s="1"/>
      <c r="G14" s="5">
        <v>45655</v>
      </c>
      <c r="H14" s="4">
        <v>70</v>
      </c>
      <c r="I14" s="4"/>
      <c r="J14" s="5">
        <v>45661</v>
      </c>
      <c r="K14" s="4">
        <v>108</v>
      </c>
      <c r="L14" s="39">
        <v>38</v>
      </c>
      <c r="M14" s="6"/>
    </row>
    <row r="15" spans="1:13" x14ac:dyDescent="0.3">
      <c r="A15" s="23" t="s">
        <v>142</v>
      </c>
      <c r="B15" s="6" t="s">
        <v>687</v>
      </c>
      <c r="C15" s="1" t="s">
        <v>21</v>
      </c>
      <c r="D15" s="1" t="s">
        <v>22</v>
      </c>
      <c r="E15" s="3">
        <v>868202059725609</v>
      </c>
      <c r="F15" s="1"/>
      <c r="G15" s="5">
        <v>45652</v>
      </c>
      <c r="H15" s="4">
        <v>93</v>
      </c>
      <c r="I15" s="4"/>
      <c r="J15" s="5">
        <v>45661</v>
      </c>
      <c r="K15" s="4">
        <v>116</v>
      </c>
      <c r="L15" s="39">
        <v>23</v>
      </c>
      <c r="M15" s="6" t="s">
        <v>688</v>
      </c>
    </row>
    <row r="16" spans="1:13" x14ac:dyDescent="0.3">
      <c r="A16" s="23" t="s">
        <v>16</v>
      </c>
      <c r="B16" s="6" t="s">
        <v>692</v>
      </c>
      <c r="C16" s="1" t="s">
        <v>26</v>
      </c>
      <c r="D16" s="1" t="s">
        <v>22</v>
      </c>
      <c r="E16" s="3">
        <v>354550160436321</v>
      </c>
      <c r="F16" s="1" t="s">
        <v>556</v>
      </c>
      <c r="G16" s="5">
        <v>45661</v>
      </c>
      <c r="H16" s="4">
        <v>630</v>
      </c>
      <c r="I16" s="4"/>
      <c r="J16" s="5">
        <v>45662</v>
      </c>
      <c r="K16" s="4">
        <v>720</v>
      </c>
      <c r="L16" s="39">
        <v>90</v>
      </c>
      <c r="M16" s="6" t="s">
        <v>493</v>
      </c>
    </row>
    <row r="17" spans="1:13" x14ac:dyDescent="0.3">
      <c r="A17" s="23" t="s">
        <v>13</v>
      </c>
      <c r="B17" s="6" t="s">
        <v>301</v>
      </c>
      <c r="C17" s="1" t="s">
        <v>123</v>
      </c>
      <c r="D17" s="1" t="s">
        <v>22</v>
      </c>
      <c r="E17" s="3">
        <v>350635585627812</v>
      </c>
      <c r="F17" s="1" t="s">
        <v>550</v>
      </c>
      <c r="G17" s="5">
        <v>45601</v>
      </c>
      <c r="H17" s="4">
        <v>251</v>
      </c>
      <c r="I17" s="4">
        <v>35</v>
      </c>
      <c r="J17" s="5">
        <v>45662</v>
      </c>
      <c r="K17" s="4">
        <v>340</v>
      </c>
      <c r="L17" s="39">
        <v>54</v>
      </c>
      <c r="M17" s="6" t="s">
        <v>345</v>
      </c>
    </row>
    <row r="18" spans="1:13" x14ac:dyDescent="0.3">
      <c r="A18" s="23" t="s">
        <v>16</v>
      </c>
      <c r="B18" s="6" t="s">
        <v>148</v>
      </c>
      <c r="C18" s="1" t="s">
        <v>18</v>
      </c>
      <c r="D18" s="1" t="s">
        <v>15</v>
      </c>
      <c r="E18" s="3">
        <v>351880156040230</v>
      </c>
      <c r="F18" s="1"/>
      <c r="G18" s="5">
        <v>45660</v>
      </c>
      <c r="H18" s="4">
        <v>250</v>
      </c>
      <c r="I18" s="4"/>
      <c r="J18" s="5">
        <v>45996</v>
      </c>
      <c r="K18" s="4">
        <v>320</v>
      </c>
      <c r="L18" s="39">
        <v>70</v>
      </c>
      <c r="M18" s="6" t="s">
        <v>708</v>
      </c>
    </row>
    <row r="19" spans="1:13" x14ac:dyDescent="0.3">
      <c r="A19" s="23" t="s">
        <v>16</v>
      </c>
      <c r="B19" s="6" t="s">
        <v>128</v>
      </c>
      <c r="C19" s="1" t="s">
        <v>26</v>
      </c>
      <c r="D19" s="1" t="s">
        <v>22</v>
      </c>
      <c r="E19" s="3">
        <v>355675801042912</v>
      </c>
      <c r="F19" s="1"/>
      <c r="G19" s="5">
        <v>45657</v>
      </c>
      <c r="H19" s="4">
        <v>690</v>
      </c>
      <c r="I19" s="4"/>
      <c r="J19" s="5">
        <v>45662</v>
      </c>
      <c r="K19" s="4">
        <v>750</v>
      </c>
      <c r="L19" s="39">
        <v>60</v>
      </c>
      <c r="M19" s="6" t="s">
        <v>705</v>
      </c>
    </row>
    <row r="20" spans="1:13" x14ac:dyDescent="0.3">
      <c r="A20" s="23" t="s">
        <v>16</v>
      </c>
      <c r="B20" s="6" t="s">
        <v>703</v>
      </c>
      <c r="C20" s="1" t="s">
        <v>65</v>
      </c>
      <c r="D20" s="1" t="s">
        <v>15</v>
      </c>
      <c r="E20" s="3">
        <v>356796483575588</v>
      </c>
      <c r="F20" s="1"/>
      <c r="G20" s="5">
        <v>45657</v>
      </c>
      <c r="H20" s="4">
        <v>550</v>
      </c>
      <c r="I20" s="4"/>
      <c r="J20" s="5">
        <v>45662</v>
      </c>
      <c r="K20" s="4">
        <v>630</v>
      </c>
      <c r="L20" s="39">
        <v>80</v>
      </c>
      <c r="M20" s="6" t="s">
        <v>704</v>
      </c>
    </row>
    <row r="21" spans="1:13" x14ac:dyDescent="0.3">
      <c r="A21" s="23" t="s">
        <v>13</v>
      </c>
      <c r="B21" s="6" t="s">
        <v>565</v>
      </c>
      <c r="C21" s="1" t="s">
        <v>21</v>
      </c>
      <c r="D21" s="1" t="s">
        <v>22</v>
      </c>
      <c r="E21" s="3">
        <v>353424470571923</v>
      </c>
      <c r="F21" s="1"/>
      <c r="G21" s="5">
        <v>45663</v>
      </c>
      <c r="H21" s="4">
        <v>300</v>
      </c>
      <c r="I21" s="4"/>
      <c r="J21" s="5">
        <v>45664</v>
      </c>
      <c r="K21" s="4">
        <v>400</v>
      </c>
      <c r="L21" s="39">
        <v>100</v>
      </c>
      <c r="M21" s="6" t="s">
        <v>718</v>
      </c>
    </row>
    <row r="22" spans="1:13" x14ac:dyDescent="0.3">
      <c r="A22" s="23" t="s">
        <v>16</v>
      </c>
      <c r="B22" s="6" t="s">
        <v>32</v>
      </c>
      <c r="C22" s="1" t="s">
        <v>26</v>
      </c>
      <c r="D22" s="1" t="s">
        <v>15</v>
      </c>
      <c r="E22" s="3">
        <v>351080474826085</v>
      </c>
      <c r="F22" s="1"/>
      <c r="G22" s="5">
        <v>45650</v>
      </c>
      <c r="H22" s="4">
        <v>650</v>
      </c>
      <c r="I22" s="4">
        <v>30</v>
      </c>
      <c r="J22" s="5">
        <v>45664</v>
      </c>
      <c r="K22" s="4">
        <v>716</v>
      </c>
      <c r="L22" s="39">
        <v>66</v>
      </c>
      <c r="M22" s="6" t="s">
        <v>147</v>
      </c>
    </row>
    <row r="23" spans="1:13" x14ac:dyDescent="0.3">
      <c r="A23" s="23" t="s">
        <v>16</v>
      </c>
      <c r="B23" s="6" t="s">
        <v>83</v>
      </c>
      <c r="C23" s="1" t="s">
        <v>21</v>
      </c>
      <c r="D23" s="1" t="s">
        <v>22</v>
      </c>
      <c r="E23" s="3">
        <v>354916450116933</v>
      </c>
      <c r="F23" s="1" t="s">
        <v>61</v>
      </c>
      <c r="G23" s="5">
        <v>45615</v>
      </c>
      <c r="H23" s="4">
        <v>375</v>
      </c>
      <c r="I23" s="4">
        <v>23</v>
      </c>
      <c r="J23" s="5">
        <v>45664</v>
      </c>
      <c r="K23" s="4">
        <v>460</v>
      </c>
      <c r="L23" s="39">
        <v>62</v>
      </c>
      <c r="M23" s="6" t="s">
        <v>473</v>
      </c>
    </row>
    <row r="24" spans="1:13" x14ac:dyDescent="0.3">
      <c r="A24" s="23" t="s">
        <v>16</v>
      </c>
      <c r="B24" s="6" t="s">
        <v>407</v>
      </c>
      <c r="C24" s="1" t="s">
        <v>18</v>
      </c>
      <c r="D24" s="1" t="s">
        <v>15</v>
      </c>
      <c r="E24" s="3">
        <v>350725915634495</v>
      </c>
      <c r="F24" s="1"/>
      <c r="G24" s="5">
        <v>45660</v>
      </c>
      <c r="H24" s="4">
        <v>240</v>
      </c>
      <c r="I24" s="4"/>
      <c r="J24" s="5">
        <v>45665</v>
      </c>
      <c r="K24" s="4">
        <v>280</v>
      </c>
      <c r="L24" s="39">
        <v>40</v>
      </c>
      <c r="M24" s="6" t="s">
        <v>262</v>
      </c>
    </row>
    <row r="25" spans="1:13" x14ac:dyDescent="0.3">
      <c r="A25" s="23" t="s">
        <v>13</v>
      </c>
      <c r="B25" s="6" t="s">
        <v>455</v>
      </c>
      <c r="C25" s="1" t="s">
        <v>612</v>
      </c>
      <c r="D25" s="1" t="s">
        <v>15</v>
      </c>
      <c r="E25" s="3">
        <v>352412370478852</v>
      </c>
      <c r="F25" s="1"/>
      <c r="G25" s="5">
        <v>45635</v>
      </c>
      <c r="H25" s="4">
        <v>280</v>
      </c>
      <c r="I25" s="4"/>
      <c r="J25" s="5">
        <v>45665</v>
      </c>
      <c r="K25" s="4">
        <v>349</v>
      </c>
      <c r="L25" s="39">
        <v>69</v>
      </c>
      <c r="M25" s="6" t="s">
        <v>613</v>
      </c>
    </row>
    <row r="26" spans="1:13" x14ac:dyDescent="0.3">
      <c r="A26" s="23" t="s">
        <v>16</v>
      </c>
      <c r="B26" s="6" t="s">
        <v>104</v>
      </c>
      <c r="C26" s="1" t="s">
        <v>21</v>
      </c>
      <c r="D26" s="1" t="s">
        <v>22</v>
      </c>
      <c r="E26" s="3">
        <v>350022961354875</v>
      </c>
      <c r="F26" s="1"/>
      <c r="G26" s="5">
        <v>45650</v>
      </c>
      <c r="H26" s="4">
        <v>330</v>
      </c>
      <c r="I26" s="4">
        <v>18</v>
      </c>
      <c r="J26" s="5">
        <v>45665</v>
      </c>
      <c r="K26" s="4">
        <v>400</v>
      </c>
      <c r="L26" s="39">
        <v>52</v>
      </c>
      <c r="M26" s="6" t="s">
        <v>147</v>
      </c>
    </row>
    <row r="27" spans="1:13" x14ac:dyDescent="0.3">
      <c r="A27" s="23" t="s">
        <v>16</v>
      </c>
      <c r="B27" s="6" t="s">
        <v>39</v>
      </c>
      <c r="C27" s="1" t="s">
        <v>21</v>
      </c>
      <c r="D27" s="1" t="s">
        <v>22</v>
      </c>
      <c r="E27" s="3">
        <v>354316419159340</v>
      </c>
      <c r="F27" s="1"/>
      <c r="G27" s="5">
        <v>45665</v>
      </c>
      <c r="H27" s="4">
        <v>550</v>
      </c>
      <c r="I27" s="4"/>
      <c r="J27" s="5">
        <v>45665</v>
      </c>
      <c r="K27" s="4">
        <v>650</v>
      </c>
      <c r="L27" s="39">
        <v>100</v>
      </c>
      <c r="M27" s="6" t="s">
        <v>730</v>
      </c>
    </row>
    <row r="28" spans="1:13" x14ac:dyDescent="0.3">
      <c r="A28" s="23" t="s">
        <v>16</v>
      </c>
      <c r="B28" s="6" t="s">
        <v>83</v>
      </c>
      <c r="C28" s="1" t="s">
        <v>97</v>
      </c>
      <c r="D28" s="1" t="s">
        <v>15</v>
      </c>
      <c r="E28" s="3">
        <v>350738140272288</v>
      </c>
      <c r="F28" s="1"/>
      <c r="G28" s="5">
        <v>45652</v>
      </c>
      <c r="H28" s="4">
        <v>400</v>
      </c>
      <c r="I28" s="4"/>
      <c r="J28" s="5">
        <v>45665</v>
      </c>
      <c r="K28" s="4">
        <v>490</v>
      </c>
      <c r="L28" s="39">
        <v>90</v>
      </c>
      <c r="M28" s="6" t="s">
        <v>689</v>
      </c>
    </row>
    <row r="29" spans="1:13" x14ac:dyDescent="0.3">
      <c r="A29" s="23" t="s">
        <v>16</v>
      </c>
      <c r="B29" s="6" t="s">
        <v>643</v>
      </c>
      <c r="C29" s="1" t="s">
        <v>45</v>
      </c>
      <c r="D29" s="1" t="s">
        <v>22</v>
      </c>
      <c r="E29" s="3">
        <v>353966101259617</v>
      </c>
      <c r="F29" s="1"/>
      <c r="G29" s="5">
        <v>45665</v>
      </c>
      <c r="H29" s="4">
        <v>300</v>
      </c>
      <c r="I29" s="4"/>
      <c r="J29" s="5">
        <v>45666</v>
      </c>
      <c r="K29" s="4">
        <v>350</v>
      </c>
      <c r="L29" s="39">
        <v>50</v>
      </c>
      <c r="M29" s="6" t="s">
        <v>731</v>
      </c>
    </row>
    <row r="30" spans="1:13" x14ac:dyDescent="0.3">
      <c r="A30" s="23" t="s">
        <v>16</v>
      </c>
      <c r="B30" s="6" t="s">
        <v>468</v>
      </c>
      <c r="C30" s="1" t="s">
        <v>614</v>
      </c>
      <c r="D30" s="1" t="s">
        <v>15</v>
      </c>
      <c r="E30" s="3">
        <v>352016947406062</v>
      </c>
      <c r="F30" s="1"/>
      <c r="G30" s="5">
        <v>45635</v>
      </c>
      <c r="H30" s="4">
        <v>480</v>
      </c>
      <c r="I30" s="4"/>
      <c r="J30" s="5">
        <v>45666</v>
      </c>
      <c r="K30" s="4">
        <v>560</v>
      </c>
      <c r="L30" s="39">
        <v>80</v>
      </c>
      <c r="M30" s="6" t="s">
        <v>615</v>
      </c>
    </row>
    <row r="31" spans="1:13" x14ac:dyDescent="0.3">
      <c r="A31" s="23" t="s">
        <v>16</v>
      </c>
      <c r="B31" s="6" t="s">
        <v>395</v>
      </c>
      <c r="C31" s="1" t="s">
        <v>21</v>
      </c>
      <c r="D31" s="1" t="s">
        <v>15</v>
      </c>
      <c r="E31" s="3">
        <v>354851094027685</v>
      </c>
      <c r="F31" s="1"/>
      <c r="G31" s="5">
        <v>45664</v>
      </c>
      <c r="H31" s="4">
        <v>100</v>
      </c>
      <c r="I31" s="4"/>
      <c r="J31" s="5">
        <v>45666</v>
      </c>
      <c r="K31" s="4">
        <v>155</v>
      </c>
      <c r="L31" s="39">
        <v>55</v>
      </c>
      <c r="M31" s="6" t="s">
        <v>722</v>
      </c>
    </row>
    <row r="32" spans="1:13" x14ac:dyDescent="0.3">
      <c r="A32" s="23" t="s">
        <v>16</v>
      </c>
      <c r="B32" s="6" t="s">
        <v>81</v>
      </c>
      <c r="C32" s="1" t="s">
        <v>18</v>
      </c>
      <c r="D32" s="1" t="s">
        <v>15</v>
      </c>
      <c r="E32" s="3">
        <v>357866896016204</v>
      </c>
      <c r="F32" s="1" t="s">
        <v>556</v>
      </c>
      <c r="G32" s="5">
        <v>45665</v>
      </c>
      <c r="H32" s="4">
        <v>300</v>
      </c>
      <c r="I32" s="4"/>
      <c r="J32" s="5">
        <v>45667</v>
      </c>
      <c r="K32" s="4">
        <v>407</v>
      </c>
      <c r="L32" s="39">
        <v>107</v>
      </c>
      <c r="M32" s="6" t="s">
        <v>723</v>
      </c>
    </row>
    <row r="33" spans="1:13" x14ac:dyDescent="0.3">
      <c r="A33" s="23" t="s">
        <v>16</v>
      </c>
      <c r="B33" s="6" t="s">
        <v>129</v>
      </c>
      <c r="C33" s="1" t="s">
        <v>65</v>
      </c>
      <c r="D33" s="1" t="s">
        <v>22</v>
      </c>
      <c r="E33" s="3">
        <v>356796484682359</v>
      </c>
      <c r="F33" s="1"/>
      <c r="G33" s="5">
        <v>45663</v>
      </c>
      <c r="H33" s="4">
        <v>520</v>
      </c>
      <c r="I33" s="4"/>
      <c r="J33" s="5">
        <v>45667</v>
      </c>
      <c r="K33" s="4">
        <v>630</v>
      </c>
      <c r="L33" s="39">
        <v>110</v>
      </c>
      <c r="M33" s="6" t="s">
        <v>717</v>
      </c>
    </row>
    <row r="34" spans="1:13" x14ac:dyDescent="0.3">
      <c r="A34" s="23" t="s">
        <v>16</v>
      </c>
      <c r="B34" s="6" t="s">
        <v>32</v>
      </c>
      <c r="C34" s="1" t="s">
        <v>26</v>
      </c>
      <c r="D34" s="1" t="s">
        <v>22</v>
      </c>
      <c r="E34" s="3">
        <v>353135880096166</v>
      </c>
      <c r="F34" s="1"/>
      <c r="G34" s="5">
        <v>45662</v>
      </c>
      <c r="H34" s="4">
        <v>680</v>
      </c>
      <c r="I34" s="4"/>
      <c r="J34" s="5">
        <v>45667</v>
      </c>
      <c r="K34" s="4">
        <v>745</v>
      </c>
      <c r="L34" s="39">
        <v>65</v>
      </c>
      <c r="M34" s="6" t="s">
        <v>714</v>
      </c>
    </row>
    <row r="35" spans="1:13" x14ac:dyDescent="0.3">
      <c r="A35" s="23" t="s">
        <v>13</v>
      </c>
      <c r="B35" s="6" t="s">
        <v>117</v>
      </c>
      <c r="C35" s="1" t="s">
        <v>97</v>
      </c>
      <c r="D35" s="1" t="s">
        <v>15</v>
      </c>
      <c r="E35" s="3">
        <v>352854660277975</v>
      </c>
      <c r="F35" s="1"/>
      <c r="G35" s="5">
        <v>45660</v>
      </c>
      <c r="H35" s="4">
        <v>250</v>
      </c>
      <c r="I35" s="4"/>
      <c r="J35" s="5">
        <v>45667</v>
      </c>
      <c r="K35" s="4">
        <v>300</v>
      </c>
      <c r="L35" s="39">
        <v>50</v>
      </c>
      <c r="M35" s="6" t="s">
        <v>707</v>
      </c>
    </row>
    <row r="36" spans="1:13" x14ac:dyDescent="0.3">
      <c r="A36" s="23" t="s">
        <v>746</v>
      </c>
      <c r="B36" s="6"/>
      <c r="C36" s="1"/>
      <c r="D36" s="1"/>
      <c r="E36" s="3"/>
      <c r="F36" s="1"/>
      <c r="G36" s="5"/>
      <c r="H36" s="4"/>
      <c r="I36" s="4"/>
      <c r="J36" s="5">
        <v>45667</v>
      </c>
      <c r="K36" s="4">
        <v>50</v>
      </c>
      <c r="L36" s="39">
        <f>Таблица37[[#This Row],[SOTILGAN NARXI]]-Таблица37[[#This Row],[OLINGAN NARXI $]]-Таблица37[[#This Row],[RASXOD]]</f>
        <v>50</v>
      </c>
      <c r="M36" s="6"/>
    </row>
    <row r="37" spans="1:13" x14ac:dyDescent="0.3">
      <c r="A37" s="23" t="s">
        <v>13</v>
      </c>
      <c r="B37" s="6" t="s">
        <v>715</v>
      </c>
      <c r="C37" s="1" t="s">
        <v>21</v>
      </c>
      <c r="D37" s="1" t="s">
        <v>22</v>
      </c>
      <c r="E37" s="3">
        <v>358434270695124</v>
      </c>
      <c r="F37" s="1"/>
      <c r="G37" s="5">
        <v>45662</v>
      </c>
      <c r="H37" s="4">
        <v>150</v>
      </c>
      <c r="I37" s="4"/>
      <c r="J37" s="5">
        <v>45667</v>
      </c>
      <c r="K37" s="4">
        <v>220</v>
      </c>
      <c r="L37" s="39">
        <v>70</v>
      </c>
      <c r="M37" s="6" t="s">
        <v>147</v>
      </c>
    </row>
    <row r="38" spans="1:13" x14ac:dyDescent="0.3">
      <c r="A38" s="23" t="s">
        <v>13</v>
      </c>
      <c r="B38" s="6" t="s">
        <v>748</v>
      </c>
      <c r="C38" s="1"/>
      <c r="D38" s="1"/>
      <c r="E38" s="3"/>
      <c r="F38" s="1"/>
      <c r="G38" s="5"/>
      <c r="H38" s="4"/>
      <c r="I38" s="4"/>
      <c r="J38" s="5">
        <v>45667</v>
      </c>
      <c r="K38" s="4">
        <v>27</v>
      </c>
      <c r="L38" s="39">
        <f>Таблица37[[#This Row],[SOTILGAN NARXI]]-Таблица37[[#This Row],[OLINGAN NARXI $]]-Таблица37[[#This Row],[RASXOD]]</f>
        <v>27</v>
      </c>
      <c r="M38" s="6"/>
    </row>
    <row r="39" spans="1:13" x14ac:dyDescent="0.3">
      <c r="A39" s="23" t="s">
        <v>13</v>
      </c>
      <c r="B39" s="6" t="s">
        <v>734</v>
      </c>
      <c r="C39" s="1" t="s">
        <v>18</v>
      </c>
      <c r="D39" s="1" t="s">
        <v>22</v>
      </c>
      <c r="E39" s="3">
        <v>357042142448225</v>
      </c>
      <c r="F39" s="1"/>
      <c r="G39" s="5">
        <v>45666</v>
      </c>
      <c r="H39" s="4">
        <v>150</v>
      </c>
      <c r="I39" s="4"/>
      <c r="J39" s="5">
        <v>45667</v>
      </c>
      <c r="K39" s="4">
        <v>170</v>
      </c>
      <c r="L39" s="39">
        <v>20</v>
      </c>
      <c r="M39" s="6" t="s">
        <v>735</v>
      </c>
    </row>
    <row r="40" spans="1:13" x14ac:dyDescent="0.3">
      <c r="A40" s="23" t="s">
        <v>16</v>
      </c>
      <c r="B40" s="6" t="s">
        <v>74</v>
      </c>
      <c r="C40" s="1" t="s">
        <v>35</v>
      </c>
      <c r="D40" s="1" t="s">
        <v>22</v>
      </c>
      <c r="E40" s="3">
        <v>353584659987859</v>
      </c>
      <c r="F40" s="1"/>
      <c r="G40" s="5">
        <v>45657</v>
      </c>
      <c r="H40" s="4">
        <v>490</v>
      </c>
      <c r="I40" s="4"/>
      <c r="J40" s="5">
        <v>45668</v>
      </c>
      <c r="K40" s="4">
        <v>570</v>
      </c>
      <c r="L40" s="39">
        <v>80</v>
      </c>
      <c r="M40" s="6" t="s">
        <v>705</v>
      </c>
    </row>
    <row r="41" spans="1:13" x14ac:dyDescent="0.3">
      <c r="A41" s="23" t="s">
        <v>16</v>
      </c>
      <c r="B41" s="6" t="s">
        <v>128</v>
      </c>
      <c r="C41" s="1" t="s">
        <v>26</v>
      </c>
      <c r="D41" s="1" t="s">
        <v>15</v>
      </c>
      <c r="E41" s="3">
        <v>350432088675823</v>
      </c>
      <c r="F41" s="1"/>
      <c r="G41" s="5">
        <v>45631</v>
      </c>
      <c r="H41" s="4">
        <v>700</v>
      </c>
      <c r="I41" s="4">
        <v>13</v>
      </c>
      <c r="J41" s="5">
        <v>45668</v>
      </c>
      <c r="K41" s="4">
        <v>763</v>
      </c>
      <c r="L41" s="39">
        <v>50</v>
      </c>
      <c r="M41" s="6" t="s">
        <v>588</v>
      </c>
    </row>
    <row r="42" spans="1:13" x14ac:dyDescent="0.3">
      <c r="A42" s="23" t="s">
        <v>16</v>
      </c>
      <c r="B42" s="6" t="s">
        <v>685</v>
      </c>
      <c r="C42" s="1" t="s">
        <v>65</v>
      </c>
      <c r="D42" s="1" t="s">
        <v>15</v>
      </c>
      <c r="E42" s="3">
        <v>357349095423869</v>
      </c>
      <c r="F42" s="1"/>
      <c r="G42" s="5">
        <v>45652</v>
      </c>
      <c r="H42" s="4">
        <v>86</v>
      </c>
      <c r="I42" s="4"/>
      <c r="J42" s="5">
        <v>45669</v>
      </c>
      <c r="K42" s="4">
        <v>150</v>
      </c>
      <c r="L42" s="39">
        <v>64</v>
      </c>
      <c r="M42" s="6" t="s">
        <v>686</v>
      </c>
    </row>
    <row r="43" spans="1:13" x14ac:dyDescent="0.3">
      <c r="A43" s="23" t="s">
        <v>16</v>
      </c>
      <c r="B43" s="6" t="s">
        <v>692</v>
      </c>
      <c r="C43" s="1" t="s">
        <v>26</v>
      </c>
      <c r="D43" s="1" t="s">
        <v>22</v>
      </c>
      <c r="E43" s="3">
        <v>358879682312090</v>
      </c>
      <c r="F43" s="1"/>
      <c r="G43" s="5">
        <v>45665</v>
      </c>
      <c r="H43" s="4">
        <v>820</v>
      </c>
      <c r="I43" s="4"/>
      <c r="J43" s="5">
        <v>45669</v>
      </c>
      <c r="K43" s="4">
        <v>855</v>
      </c>
      <c r="L43" s="39">
        <v>35</v>
      </c>
      <c r="M43" s="6" t="s">
        <v>733</v>
      </c>
    </row>
    <row r="44" spans="1:13" x14ac:dyDescent="0.3">
      <c r="A44" s="23" t="s">
        <v>16</v>
      </c>
      <c r="B44" s="6" t="s">
        <v>496</v>
      </c>
      <c r="C44" s="1" t="s">
        <v>18</v>
      </c>
      <c r="D44" s="1" t="s">
        <v>15</v>
      </c>
      <c r="E44" s="3">
        <v>359001978500424</v>
      </c>
      <c r="F44" s="1"/>
      <c r="G44" s="5">
        <v>45653</v>
      </c>
      <c r="H44" s="4">
        <v>320</v>
      </c>
      <c r="I44" s="4"/>
      <c r="J44" s="5">
        <v>45669</v>
      </c>
      <c r="K44" s="4">
        <v>380</v>
      </c>
      <c r="L44" s="39">
        <v>60</v>
      </c>
      <c r="M44" s="6">
        <v>958030088</v>
      </c>
    </row>
    <row r="45" spans="1:13" x14ac:dyDescent="0.3">
      <c r="A45" s="23" t="s">
        <v>16</v>
      </c>
      <c r="B45" s="6" t="s">
        <v>692</v>
      </c>
      <c r="C45" s="1" t="s">
        <v>26</v>
      </c>
      <c r="D45" s="1" t="s">
        <v>22</v>
      </c>
      <c r="E45" s="3">
        <v>2439</v>
      </c>
      <c r="F45" s="1"/>
      <c r="G45" s="5">
        <v>45669</v>
      </c>
      <c r="H45" s="4">
        <v>890</v>
      </c>
      <c r="I45" s="4"/>
      <c r="J45" s="5">
        <v>45669</v>
      </c>
      <c r="K45" s="4">
        <v>930</v>
      </c>
      <c r="L45" s="39">
        <f>Таблица37[[#This Row],[SOTILGAN NARXI]]-Таблица37[[#This Row],[OLINGAN NARXI $]]-Таблица37[[#This Row],[RASXOD]]</f>
        <v>40</v>
      </c>
      <c r="M45" s="6"/>
    </row>
    <row r="46" spans="1:13" x14ac:dyDescent="0.3">
      <c r="A46" s="23" t="s">
        <v>16</v>
      </c>
      <c r="B46" s="6" t="s">
        <v>129</v>
      </c>
      <c r="C46" s="1" t="s">
        <v>45</v>
      </c>
      <c r="D46" s="1" t="s">
        <v>15</v>
      </c>
      <c r="E46" s="3">
        <v>357782727647150</v>
      </c>
      <c r="F46" s="1" t="s">
        <v>66</v>
      </c>
      <c r="G46" s="5">
        <v>45666</v>
      </c>
      <c r="H46" s="4">
        <v>420</v>
      </c>
      <c r="I46" s="4"/>
      <c r="J46" s="5">
        <v>45669</v>
      </c>
      <c r="K46" s="4">
        <v>500</v>
      </c>
      <c r="L46" s="39">
        <v>80</v>
      </c>
      <c r="M46" s="6" t="s">
        <v>262</v>
      </c>
    </row>
    <row r="47" spans="1:13" x14ac:dyDescent="0.3">
      <c r="A47" s="23" t="s">
        <v>16</v>
      </c>
      <c r="B47" s="6" t="s">
        <v>312</v>
      </c>
      <c r="C47" s="1" t="s">
        <v>45</v>
      </c>
      <c r="D47" s="1" t="s">
        <v>15</v>
      </c>
      <c r="E47" s="3">
        <v>354786252940438</v>
      </c>
      <c r="F47" s="1" t="s">
        <v>636</v>
      </c>
      <c r="G47" s="5">
        <v>45638</v>
      </c>
      <c r="H47" s="4">
        <v>500</v>
      </c>
      <c r="I47" s="4"/>
      <c r="J47" s="5">
        <v>45669</v>
      </c>
      <c r="K47" s="4">
        <v>600</v>
      </c>
      <c r="L47" s="39">
        <v>100</v>
      </c>
      <c r="M47" s="6" t="s">
        <v>262</v>
      </c>
    </row>
    <row r="48" spans="1:13" x14ac:dyDescent="0.3">
      <c r="A48" s="23" t="s">
        <v>16</v>
      </c>
      <c r="B48" s="6" t="s">
        <v>34</v>
      </c>
      <c r="C48" s="1" t="s">
        <v>35</v>
      </c>
      <c r="D48" s="1" t="s">
        <v>22</v>
      </c>
      <c r="E48" s="3">
        <v>351088769863218</v>
      </c>
      <c r="F48" s="1"/>
      <c r="G48" s="5">
        <v>45660</v>
      </c>
      <c r="H48" s="4">
        <v>700</v>
      </c>
      <c r="I48" s="4"/>
      <c r="J48" s="5">
        <v>45670</v>
      </c>
      <c r="K48" s="4">
        <v>750</v>
      </c>
      <c r="L48" s="39">
        <v>50</v>
      </c>
      <c r="M48" s="6" t="s">
        <v>262</v>
      </c>
    </row>
    <row r="49" spans="1:13" x14ac:dyDescent="0.3">
      <c r="A49" s="23" t="s">
        <v>13</v>
      </c>
      <c r="B49" s="6" t="s">
        <v>481</v>
      </c>
      <c r="C49" s="1" t="s">
        <v>21</v>
      </c>
      <c r="D49" s="1" t="s">
        <v>22</v>
      </c>
      <c r="E49" s="3">
        <v>350300272507773</v>
      </c>
      <c r="F49" s="1"/>
      <c r="G49" s="5">
        <v>45666</v>
      </c>
      <c r="H49" s="4">
        <v>752</v>
      </c>
      <c r="I49" s="4"/>
      <c r="J49" s="5">
        <v>45670</v>
      </c>
      <c r="K49" s="4">
        <v>830</v>
      </c>
      <c r="L49" s="39">
        <v>78</v>
      </c>
      <c r="M49" s="6" t="s">
        <v>736</v>
      </c>
    </row>
    <row r="50" spans="1:13" x14ac:dyDescent="0.3">
      <c r="A50" s="23" t="s">
        <v>16</v>
      </c>
      <c r="B50" s="6" t="s">
        <v>407</v>
      </c>
      <c r="C50" s="1" t="s">
        <v>18</v>
      </c>
      <c r="D50" s="1" t="s">
        <v>22</v>
      </c>
      <c r="E50" s="3">
        <v>350765878027485</v>
      </c>
      <c r="F50" s="1"/>
      <c r="G50" s="5">
        <v>45670</v>
      </c>
      <c r="H50" s="4">
        <v>150</v>
      </c>
      <c r="I50" s="4"/>
      <c r="J50" s="5">
        <v>45670</v>
      </c>
      <c r="K50" s="4">
        <v>240</v>
      </c>
      <c r="L50" s="39">
        <v>90</v>
      </c>
      <c r="M50" s="6" t="s">
        <v>743</v>
      </c>
    </row>
    <row r="51" spans="1:13" x14ac:dyDescent="0.3">
      <c r="A51" s="23" t="s">
        <v>16</v>
      </c>
      <c r="B51" s="6" t="s">
        <v>34</v>
      </c>
      <c r="C51" s="1" t="s">
        <v>35</v>
      </c>
      <c r="D51" s="1" t="s">
        <v>22</v>
      </c>
      <c r="E51" s="3">
        <v>352784980720059</v>
      </c>
      <c r="F51" s="1"/>
      <c r="G51" s="5">
        <v>45620</v>
      </c>
      <c r="H51" s="4">
        <v>600</v>
      </c>
      <c r="I51" s="4"/>
      <c r="J51" s="5">
        <v>45670</v>
      </c>
      <c r="K51" s="4">
        <v>700</v>
      </c>
      <c r="L51" s="39">
        <v>100</v>
      </c>
      <c r="M51" s="6" t="s">
        <v>262</v>
      </c>
    </row>
    <row r="52" spans="1:13" x14ac:dyDescent="0.3">
      <c r="A52" s="23" t="s">
        <v>16</v>
      </c>
      <c r="B52" s="6" t="s">
        <v>104</v>
      </c>
      <c r="C52" s="1" t="s">
        <v>65</v>
      </c>
      <c r="D52" s="1" t="s">
        <v>22</v>
      </c>
      <c r="E52" s="3">
        <v>358598930463071</v>
      </c>
      <c r="F52" s="1"/>
      <c r="G52" s="5">
        <v>45637</v>
      </c>
      <c r="H52" s="4">
        <v>340</v>
      </c>
      <c r="I52" s="4"/>
      <c r="J52" s="5">
        <v>45670</v>
      </c>
      <c r="K52" s="4">
        <v>388</v>
      </c>
      <c r="L52" s="39">
        <v>48</v>
      </c>
      <c r="M52" s="6"/>
    </row>
    <row r="53" spans="1:13" x14ac:dyDescent="0.3">
      <c r="A53" s="23" t="s">
        <v>207</v>
      </c>
      <c r="B53" s="6">
        <v>9</v>
      </c>
      <c r="C53" s="1" t="s">
        <v>21</v>
      </c>
      <c r="D53" s="1" t="s">
        <v>15</v>
      </c>
      <c r="E53" s="3"/>
      <c r="F53" s="1"/>
      <c r="G53" s="5">
        <v>45671</v>
      </c>
      <c r="H53" s="4">
        <v>155</v>
      </c>
      <c r="I53" s="4"/>
      <c r="J53" s="5">
        <v>45672</v>
      </c>
      <c r="K53" s="4">
        <v>195</v>
      </c>
      <c r="L53" s="39">
        <v>40</v>
      </c>
      <c r="M53" s="6" t="s">
        <v>744</v>
      </c>
    </row>
    <row r="54" spans="1:13" x14ac:dyDescent="0.3">
      <c r="A54" s="23" t="s">
        <v>323</v>
      </c>
      <c r="B54" s="6" t="s">
        <v>765</v>
      </c>
      <c r="C54" s="1"/>
      <c r="D54" s="1"/>
      <c r="E54" s="3"/>
      <c r="F54" s="1"/>
      <c r="G54" s="5"/>
      <c r="H54" s="4"/>
      <c r="I54" s="4"/>
      <c r="J54" s="5">
        <v>45672</v>
      </c>
      <c r="K54" s="4">
        <v>16</v>
      </c>
      <c r="L54" s="39">
        <f>Таблица37[[#This Row],[SOTILGAN NARXI]]-Таблица37[[#This Row],[OLINGAN NARXI $]]-Таблица37[[#This Row],[RASXOD]]</f>
        <v>16</v>
      </c>
      <c r="M54" s="6"/>
    </row>
    <row r="55" spans="1:13" x14ac:dyDescent="0.3">
      <c r="A55" s="23" t="s">
        <v>207</v>
      </c>
      <c r="B55" s="6" t="s">
        <v>752</v>
      </c>
      <c r="C55" s="1" t="s">
        <v>65</v>
      </c>
      <c r="D55" s="1" t="s">
        <v>22</v>
      </c>
      <c r="E55" s="3"/>
      <c r="F55" s="1"/>
      <c r="G55" s="5">
        <v>45672</v>
      </c>
      <c r="H55" s="4">
        <v>350</v>
      </c>
      <c r="I55" s="4"/>
      <c r="J55" s="5">
        <v>45673</v>
      </c>
      <c r="K55" s="4">
        <v>398</v>
      </c>
      <c r="L55" s="39">
        <v>48</v>
      </c>
      <c r="M55" s="6" t="s">
        <v>753</v>
      </c>
    </row>
    <row r="56" spans="1:13" x14ac:dyDescent="0.3">
      <c r="A56" s="23" t="s">
        <v>16</v>
      </c>
      <c r="B56" s="6" t="s">
        <v>39</v>
      </c>
      <c r="C56" s="1" t="s">
        <v>35</v>
      </c>
      <c r="D56" s="1" t="s">
        <v>22</v>
      </c>
      <c r="E56" s="3">
        <v>351914968268174</v>
      </c>
      <c r="F56" s="1"/>
      <c r="G56" s="5">
        <v>45649</v>
      </c>
      <c r="H56" s="4">
        <v>550</v>
      </c>
      <c r="I56" s="4"/>
      <c r="J56" s="5">
        <v>45672</v>
      </c>
      <c r="K56" s="4">
        <v>660</v>
      </c>
      <c r="L56" s="39">
        <v>110</v>
      </c>
      <c r="M56" s="6" t="s">
        <v>671</v>
      </c>
    </row>
    <row r="57" spans="1:13" x14ac:dyDescent="0.3">
      <c r="A57" s="23" t="s">
        <v>16</v>
      </c>
      <c r="B57" s="6" t="s">
        <v>83</v>
      </c>
      <c r="C57" s="1" t="s">
        <v>65</v>
      </c>
      <c r="D57" s="1" t="s">
        <v>15</v>
      </c>
      <c r="E57" s="3">
        <v>353084307934015</v>
      </c>
      <c r="F57" s="1" t="s">
        <v>63</v>
      </c>
      <c r="G57" s="5">
        <v>45565</v>
      </c>
      <c r="H57" s="4">
        <v>515</v>
      </c>
      <c r="I57" s="4">
        <v>12</v>
      </c>
      <c r="J57" s="5">
        <v>45673</v>
      </c>
      <c r="K57" s="4">
        <v>540</v>
      </c>
      <c r="L57" s="39">
        <v>13</v>
      </c>
      <c r="M57" s="6" t="s">
        <v>84</v>
      </c>
    </row>
    <row r="58" spans="1:13" x14ac:dyDescent="0.3">
      <c r="A58" s="23" t="s">
        <v>16</v>
      </c>
      <c r="B58" s="6" t="s">
        <v>692</v>
      </c>
      <c r="C58" s="1" t="s">
        <v>26</v>
      </c>
      <c r="D58" s="1" t="s">
        <v>22</v>
      </c>
      <c r="E58" s="3">
        <v>354449445206106</v>
      </c>
      <c r="F58" s="1"/>
      <c r="G58" s="5">
        <v>45664</v>
      </c>
      <c r="H58" s="4">
        <v>750</v>
      </c>
      <c r="I58" s="4"/>
      <c r="J58" s="5">
        <v>45673</v>
      </c>
      <c r="K58" s="4">
        <v>790</v>
      </c>
      <c r="L58" s="39">
        <v>40</v>
      </c>
      <c r="M58" s="6" t="s">
        <v>721</v>
      </c>
    </row>
    <row r="59" spans="1:13" x14ac:dyDescent="0.3">
      <c r="A59" s="23" t="s">
        <v>16</v>
      </c>
      <c r="B59" s="6" t="s">
        <v>129</v>
      </c>
      <c r="C59" s="1" t="s">
        <v>65</v>
      </c>
      <c r="D59" s="1" t="s">
        <v>22</v>
      </c>
      <c r="E59" s="3">
        <v>351678918932748</v>
      </c>
      <c r="F59" s="1"/>
      <c r="G59" s="5">
        <v>45669</v>
      </c>
      <c r="H59" s="4">
        <v>490</v>
      </c>
      <c r="I59" s="4"/>
      <c r="J59" s="5">
        <v>45674</v>
      </c>
      <c r="K59" s="4">
        <v>530</v>
      </c>
      <c r="L59" s="39">
        <v>40</v>
      </c>
      <c r="M59" s="6" t="s">
        <v>742</v>
      </c>
    </row>
    <row r="60" spans="1:13" x14ac:dyDescent="0.3">
      <c r="A60" s="23" t="s">
        <v>16</v>
      </c>
      <c r="B60" s="6" t="s">
        <v>692</v>
      </c>
      <c r="C60" s="1" t="s">
        <v>26</v>
      </c>
      <c r="D60" s="1" t="s">
        <v>22</v>
      </c>
      <c r="E60" s="3">
        <v>357164769084776</v>
      </c>
      <c r="F60" s="1"/>
      <c r="G60" s="5">
        <v>45673</v>
      </c>
      <c r="H60" s="4">
        <v>830</v>
      </c>
      <c r="I60" s="4"/>
      <c r="J60" s="5">
        <v>45674</v>
      </c>
      <c r="K60" s="4">
        <v>850</v>
      </c>
      <c r="L60" s="39">
        <v>20</v>
      </c>
      <c r="M60" s="6" t="s">
        <v>758</v>
      </c>
    </row>
    <row r="61" spans="1:13" x14ac:dyDescent="0.3">
      <c r="A61" s="23" t="s">
        <v>16</v>
      </c>
      <c r="B61" s="6" t="s">
        <v>104</v>
      </c>
      <c r="C61" s="1" t="s">
        <v>21</v>
      </c>
      <c r="D61" s="1" t="s">
        <v>22</v>
      </c>
      <c r="E61" s="3">
        <v>351232991620620</v>
      </c>
      <c r="F61" s="1"/>
      <c r="G61" s="5">
        <v>45650</v>
      </c>
      <c r="H61" s="4">
        <v>330</v>
      </c>
      <c r="I61" s="4">
        <v>18</v>
      </c>
      <c r="J61" s="5">
        <v>45674</v>
      </c>
      <c r="K61" s="4">
        <v>370</v>
      </c>
      <c r="L61" s="39">
        <v>22</v>
      </c>
      <c r="M61" s="6" t="s">
        <v>147</v>
      </c>
    </row>
    <row r="62" spans="1:13" x14ac:dyDescent="0.3">
      <c r="A62" s="23" t="s">
        <v>16</v>
      </c>
      <c r="B62" s="6" t="s">
        <v>692</v>
      </c>
      <c r="C62" s="1" t="s">
        <v>65</v>
      </c>
      <c r="D62" s="1" t="s">
        <v>22</v>
      </c>
      <c r="E62" s="3">
        <v>359779346498005</v>
      </c>
      <c r="F62" s="1"/>
      <c r="G62" s="5">
        <v>45673</v>
      </c>
      <c r="H62" s="4">
        <v>750</v>
      </c>
      <c r="I62" s="4"/>
      <c r="J62" s="5">
        <v>45674</v>
      </c>
      <c r="K62" s="4">
        <v>880</v>
      </c>
      <c r="L62" s="39">
        <v>130</v>
      </c>
      <c r="M62" s="6" t="s">
        <v>756</v>
      </c>
    </row>
    <row r="63" spans="1:13" x14ac:dyDescent="0.3">
      <c r="A63" s="23" t="s">
        <v>16</v>
      </c>
      <c r="B63" s="6" t="s">
        <v>148</v>
      </c>
      <c r="C63" s="1" t="s">
        <v>45</v>
      </c>
      <c r="D63" s="1" t="s">
        <v>15</v>
      </c>
      <c r="E63" s="3">
        <v>353076694325039</v>
      </c>
      <c r="F63" s="1"/>
      <c r="G63" s="5">
        <v>45657</v>
      </c>
      <c r="H63" s="4">
        <v>220</v>
      </c>
      <c r="I63" s="4"/>
      <c r="J63" s="5">
        <v>45674</v>
      </c>
      <c r="K63" s="4">
        <v>270</v>
      </c>
      <c r="L63" s="39">
        <v>50</v>
      </c>
      <c r="M63" s="6" t="s">
        <v>706</v>
      </c>
    </row>
    <row r="64" spans="1:13" x14ac:dyDescent="0.3">
      <c r="A64" s="23" t="s">
        <v>16</v>
      </c>
      <c r="B64" s="6" t="s">
        <v>621</v>
      </c>
      <c r="C64" s="1" t="s">
        <v>21</v>
      </c>
      <c r="D64" s="1" t="s">
        <v>22</v>
      </c>
      <c r="E64" s="3">
        <v>353446787934247</v>
      </c>
      <c r="F64" s="1"/>
      <c r="G64" s="5">
        <v>45662</v>
      </c>
      <c r="H64" s="4">
        <v>990</v>
      </c>
      <c r="I64" s="4"/>
      <c r="J64" s="5">
        <v>45674</v>
      </c>
      <c r="K64" s="4">
        <v>1040</v>
      </c>
      <c r="L64" s="39">
        <v>50</v>
      </c>
      <c r="M64" s="6" t="s">
        <v>716</v>
      </c>
    </row>
    <row r="65" spans="1:13" x14ac:dyDescent="0.3">
      <c r="A65" s="23" t="s">
        <v>13</v>
      </c>
      <c r="B65" s="6" t="s">
        <v>502</v>
      </c>
      <c r="C65" s="1" t="s">
        <v>97</v>
      </c>
      <c r="D65" s="1" t="s">
        <v>22</v>
      </c>
      <c r="E65" s="3">
        <v>351552170819275</v>
      </c>
      <c r="F65" s="1"/>
      <c r="G65" s="5">
        <v>45671</v>
      </c>
      <c r="H65" s="4">
        <v>450</v>
      </c>
      <c r="I65" s="4"/>
      <c r="J65" s="5">
        <v>45675</v>
      </c>
      <c r="K65" s="4">
        <v>587</v>
      </c>
      <c r="L65" s="39">
        <v>137</v>
      </c>
      <c r="M65" s="6" t="s">
        <v>745</v>
      </c>
    </row>
    <row r="66" spans="1:13" x14ac:dyDescent="0.3">
      <c r="A66" s="23" t="s">
        <v>16</v>
      </c>
      <c r="B66" s="6" t="s">
        <v>496</v>
      </c>
      <c r="C66" s="1" t="s">
        <v>21</v>
      </c>
      <c r="D66" s="1" t="s">
        <v>22</v>
      </c>
      <c r="E66" s="3">
        <v>350689753216643</v>
      </c>
      <c r="F66" s="1"/>
      <c r="G66" s="5">
        <v>45627</v>
      </c>
      <c r="H66" s="4">
        <v>420</v>
      </c>
      <c r="I66" s="4"/>
      <c r="J66" s="5">
        <v>45675</v>
      </c>
      <c r="K66" s="4">
        <v>450</v>
      </c>
      <c r="L66" s="39">
        <v>30</v>
      </c>
      <c r="M66" s="6" t="s">
        <v>560</v>
      </c>
    </row>
    <row r="67" spans="1:13" x14ac:dyDescent="0.3">
      <c r="A67" s="23" t="s">
        <v>13</v>
      </c>
      <c r="B67" s="6" t="s">
        <v>117</v>
      </c>
      <c r="C67" s="1" t="s">
        <v>18</v>
      </c>
      <c r="D67" s="1" t="s">
        <v>15</v>
      </c>
      <c r="E67" s="3">
        <v>351424775703199</v>
      </c>
      <c r="F67" s="1"/>
      <c r="G67" s="5">
        <v>45628</v>
      </c>
      <c r="H67" s="4">
        <v>215</v>
      </c>
      <c r="I67" s="4">
        <v>11</v>
      </c>
      <c r="J67" s="5">
        <v>45675</v>
      </c>
      <c r="K67" s="4">
        <v>280</v>
      </c>
      <c r="L67" s="39">
        <v>54</v>
      </c>
      <c r="M67" s="6" t="s">
        <v>147</v>
      </c>
    </row>
    <row r="68" spans="1:13" x14ac:dyDescent="0.3">
      <c r="A68" s="23" t="s">
        <v>16</v>
      </c>
      <c r="B68" s="6" t="s">
        <v>692</v>
      </c>
      <c r="C68" s="1" t="s">
        <v>26</v>
      </c>
      <c r="D68" s="1" t="s">
        <v>22</v>
      </c>
      <c r="E68" s="3">
        <v>350091874179646</v>
      </c>
      <c r="F68" s="1"/>
      <c r="G68" s="5">
        <v>45675</v>
      </c>
      <c r="H68" s="4">
        <v>800</v>
      </c>
      <c r="I68" s="4"/>
      <c r="J68" s="5">
        <v>45675</v>
      </c>
      <c r="K68" s="4">
        <v>880</v>
      </c>
      <c r="L68" s="39">
        <v>80</v>
      </c>
      <c r="M68" s="6" t="s">
        <v>763</v>
      </c>
    </row>
    <row r="69" spans="1:13" x14ac:dyDescent="0.3">
      <c r="A69" s="23" t="s">
        <v>16</v>
      </c>
      <c r="B69" s="6" t="s">
        <v>541</v>
      </c>
      <c r="C69" s="1" t="s">
        <v>97</v>
      </c>
      <c r="D69" s="1" t="s">
        <v>15</v>
      </c>
      <c r="E69" s="3">
        <v>353898105385470</v>
      </c>
      <c r="F69" s="1" t="s">
        <v>174</v>
      </c>
      <c r="G69" s="5">
        <v>45654</v>
      </c>
      <c r="H69" s="4">
        <v>200</v>
      </c>
      <c r="I69" s="4"/>
      <c r="J69" s="5">
        <v>45675</v>
      </c>
      <c r="K69" s="4">
        <v>220</v>
      </c>
      <c r="L69" s="39">
        <v>20</v>
      </c>
      <c r="M69" s="6" t="s">
        <v>709</v>
      </c>
    </row>
    <row r="70" spans="1:13" x14ac:dyDescent="0.3">
      <c r="A70" s="23" t="s">
        <v>16</v>
      </c>
      <c r="B70" s="6" t="s">
        <v>104</v>
      </c>
      <c r="C70" s="1" t="s">
        <v>65</v>
      </c>
      <c r="D70" s="1" t="s">
        <v>22</v>
      </c>
      <c r="E70" s="3">
        <v>354860894446607</v>
      </c>
      <c r="F70" s="1"/>
      <c r="G70" s="5">
        <v>45653</v>
      </c>
      <c r="H70" s="4">
        <v>350</v>
      </c>
      <c r="I70" s="4"/>
      <c r="J70" s="5">
        <v>45675</v>
      </c>
      <c r="K70" s="4">
        <v>380</v>
      </c>
      <c r="L70" s="39">
        <v>30</v>
      </c>
      <c r="M70" s="6" t="s">
        <v>702</v>
      </c>
    </row>
    <row r="71" spans="1:13" x14ac:dyDescent="0.3">
      <c r="A71" s="23" t="s">
        <v>16</v>
      </c>
      <c r="B71" s="6" t="s">
        <v>88</v>
      </c>
      <c r="C71" s="1" t="s">
        <v>21</v>
      </c>
      <c r="D71" s="1" t="s">
        <v>22</v>
      </c>
      <c r="E71" s="3">
        <v>354922760914405</v>
      </c>
      <c r="F71" s="1"/>
      <c r="G71" s="5">
        <v>45628</v>
      </c>
      <c r="H71" s="4">
        <v>350</v>
      </c>
      <c r="I71" s="4"/>
      <c r="J71" s="5">
        <v>45676</v>
      </c>
      <c r="K71" s="4">
        <v>390</v>
      </c>
      <c r="L71" s="39">
        <v>40</v>
      </c>
      <c r="M71" s="6" t="s">
        <v>568</v>
      </c>
    </row>
    <row r="72" spans="1:13" x14ac:dyDescent="0.3">
      <c r="A72" s="23" t="s">
        <v>16</v>
      </c>
      <c r="B72" s="6" t="s">
        <v>778</v>
      </c>
      <c r="C72" s="1"/>
      <c r="D72" s="1"/>
      <c r="E72" s="3">
        <v>7087</v>
      </c>
      <c r="F72" s="1"/>
      <c r="G72" s="5"/>
      <c r="H72" s="4"/>
      <c r="I72" s="4"/>
      <c r="J72" s="5">
        <v>45676</v>
      </c>
      <c r="K72" s="4">
        <v>65</v>
      </c>
      <c r="L72" s="39">
        <f>Таблица37[[#This Row],[SOTILGAN NARXI]]-Таблица37[[#This Row],[OLINGAN NARXI $]]-Таблица37[[#This Row],[RASXOD]]</f>
        <v>65</v>
      </c>
      <c r="M72" s="6"/>
    </row>
    <row r="73" spans="1:13" x14ac:dyDescent="0.3">
      <c r="A73" s="23" t="s">
        <v>16</v>
      </c>
      <c r="B73" s="6" t="s">
        <v>692</v>
      </c>
      <c r="C73" s="1" t="s">
        <v>26</v>
      </c>
      <c r="D73" s="1" t="s">
        <v>22</v>
      </c>
      <c r="E73" s="3">
        <v>356616947411701</v>
      </c>
      <c r="F73" s="1"/>
      <c r="G73" s="5">
        <v>45674</v>
      </c>
      <c r="H73" s="4">
        <v>726</v>
      </c>
      <c r="I73" s="4"/>
      <c r="J73" s="5">
        <v>45676</v>
      </c>
      <c r="K73" s="4">
        <v>805</v>
      </c>
      <c r="L73" s="39">
        <v>79</v>
      </c>
      <c r="M73" s="6" t="s">
        <v>759</v>
      </c>
    </row>
    <row r="74" spans="1:13" x14ac:dyDescent="0.3">
      <c r="A74" s="23" t="s">
        <v>16</v>
      </c>
      <c r="B74" s="6" t="s">
        <v>675</v>
      </c>
      <c r="C74" s="1" t="s">
        <v>21</v>
      </c>
      <c r="D74" s="1" t="s">
        <v>22</v>
      </c>
      <c r="E74" s="3">
        <v>352180447194089</v>
      </c>
      <c r="F74" s="1"/>
      <c r="G74" s="5">
        <v>45650</v>
      </c>
      <c r="H74" s="4">
        <v>360</v>
      </c>
      <c r="I74" s="4"/>
      <c r="J74" s="5">
        <v>45676</v>
      </c>
      <c r="K74" s="4">
        <v>420</v>
      </c>
      <c r="L74" s="39">
        <v>60</v>
      </c>
      <c r="M74" s="6" t="s">
        <v>676</v>
      </c>
    </row>
    <row r="75" spans="1:13" x14ac:dyDescent="0.3">
      <c r="A75" s="23" t="s">
        <v>16</v>
      </c>
      <c r="B75" s="6" t="s">
        <v>88</v>
      </c>
      <c r="C75" s="1" t="s">
        <v>97</v>
      </c>
      <c r="D75" s="1" t="s">
        <v>22</v>
      </c>
      <c r="E75" s="3">
        <v>35487493385014</v>
      </c>
      <c r="F75" s="1"/>
      <c r="G75" s="5">
        <v>45589</v>
      </c>
      <c r="H75" s="4">
        <v>420</v>
      </c>
      <c r="I75" s="4"/>
      <c r="J75" s="5">
        <v>45676</v>
      </c>
      <c r="K75" s="4">
        <v>420</v>
      </c>
      <c r="L75" s="39">
        <v>0</v>
      </c>
      <c r="M75" s="6" t="s">
        <v>247</v>
      </c>
    </row>
    <row r="76" spans="1:13" x14ac:dyDescent="0.3">
      <c r="A76" s="23" t="s">
        <v>16</v>
      </c>
      <c r="B76" s="6" t="s">
        <v>692</v>
      </c>
      <c r="C76" s="1" t="s">
        <v>26</v>
      </c>
      <c r="D76" s="1" t="s">
        <v>22</v>
      </c>
      <c r="E76" s="3">
        <v>351073874939897</v>
      </c>
      <c r="F76" s="1" t="s">
        <v>27</v>
      </c>
      <c r="G76" s="5">
        <v>45673</v>
      </c>
      <c r="H76" s="4">
        <v>710</v>
      </c>
      <c r="I76" s="4"/>
      <c r="J76" s="5">
        <v>45677</v>
      </c>
      <c r="K76" s="4">
        <v>830</v>
      </c>
      <c r="L76" s="39">
        <v>120</v>
      </c>
      <c r="M76" s="6" t="s">
        <v>755</v>
      </c>
    </row>
    <row r="77" spans="1:13" x14ac:dyDescent="0.3">
      <c r="A77" s="23" t="s">
        <v>16</v>
      </c>
      <c r="B77" s="6" t="s">
        <v>496</v>
      </c>
      <c r="C77" s="1" t="s">
        <v>21</v>
      </c>
      <c r="D77" s="1" t="s">
        <v>15</v>
      </c>
      <c r="E77" s="3">
        <v>353187653745552</v>
      </c>
      <c r="F77" s="1"/>
      <c r="G77" s="5">
        <v>45569</v>
      </c>
      <c r="H77" s="4">
        <v>400</v>
      </c>
      <c r="I77" s="4"/>
      <c r="J77" s="5">
        <v>45677</v>
      </c>
      <c r="K77" s="4">
        <v>420</v>
      </c>
      <c r="L77" s="39">
        <v>20</v>
      </c>
      <c r="M77" s="6" t="s">
        <v>551</v>
      </c>
    </row>
    <row r="78" spans="1:13" x14ac:dyDescent="0.3">
      <c r="A78" s="23" t="s">
        <v>13</v>
      </c>
      <c r="B78" s="6" t="s">
        <v>117</v>
      </c>
      <c r="C78" s="1" t="s">
        <v>65</v>
      </c>
      <c r="D78" s="1" t="s">
        <v>15</v>
      </c>
      <c r="E78" s="3">
        <v>352854660277975</v>
      </c>
      <c r="F78" s="1"/>
      <c r="G78" s="5">
        <v>45660</v>
      </c>
      <c r="H78" s="4">
        <v>250</v>
      </c>
      <c r="I78" s="4"/>
      <c r="J78" s="5">
        <v>45677</v>
      </c>
      <c r="K78" s="4">
        <v>300</v>
      </c>
      <c r="L78" s="39">
        <f>Таблица37[[#This Row],[SOTILGAN NARXI]]-Таблица37[[#This Row],[OLINGAN NARXI $]]-Таблица37[[#This Row],[RASXOD]]</f>
        <v>50</v>
      </c>
      <c r="M78" s="6" t="s">
        <v>707</v>
      </c>
    </row>
    <row r="79" spans="1:13" x14ac:dyDescent="0.3">
      <c r="A79" s="23" t="s">
        <v>13</v>
      </c>
      <c r="B79" s="6" t="s">
        <v>779</v>
      </c>
      <c r="C79" s="1" t="s">
        <v>21</v>
      </c>
      <c r="D79" s="1" t="s">
        <v>15</v>
      </c>
      <c r="E79" s="3">
        <v>51</v>
      </c>
      <c r="F79" s="1"/>
      <c r="G79" s="5"/>
      <c r="H79" s="4"/>
      <c r="I79" s="4"/>
      <c r="J79" s="5">
        <v>45677</v>
      </c>
      <c r="K79" s="4">
        <v>30</v>
      </c>
      <c r="L79" s="39">
        <f>Таблица37[[#This Row],[SOTILGAN NARXI]]-Таблица37[[#This Row],[OLINGAN NARXI $]]-Таблица37[[#This Row],[RASXOD]]</f>
        <v>30</v>
      </c>
      <c r="M79" s="6"/>
    </row>
    <row r="80" spans="1:13" x14ac:dyDescent="0.3">
      <c r="A80" s="23" t="s">
        <v>16</v>
      </c>
      <c r="B80" s="6" t="s">
        <v>303</v>
      </c>
      <c r="C80" s="1" t="s">
        <v>21</v>
      </c>
      <c r="D80" s="1" t="s">
        <v>22</v>
      </c>
      <c r="E80" s="3">
        <v>355546536289328</v>
      </c>
      <c r="F80" s="1"/>
      <c r="G80" s="5">
        <v>45595</v>
      </c>
      <c r="H80" s="4">
        <v>470</v>
      </c>
      <c r="I80" s="4"/>
      <c r="J80" s="5">
        <v>45677</v>
      </c>
      <c r="K80" s="4">
        <v>480</v>
      </c>
      <c r="L80" s="39">
        <v>10</v>
      </c>
      <c r="M80" s="6" t="s">
        <v>304</v>
      </c>
    </row>
    <row r="81" spans="1:13" x14ac:dyDescent="0.3">
      <c r="A81" s="23" t="s">
        <v>16</v>
      </c>
      <c r="B81" s="6" t="s">
        <v>767</v>
      </c>
      <c r="C81" s="1" t="s">
        <v>257</v>
      </c>
      <c r="D81" s="1" t="s">
        <v>22</v>
      </c>
      <c r="E81" s="3">
        <v>357728268472649</v>
      </c>
      <c r="F81" s="1"/>
      <c r="G81" s="5">
        <v>45675</v>
      </c>
      <c r="H81" s="4">
        <v>1080</v>
      </c>
      <c r="I81" s="4">
        <v>10</v>
      </c>
      <c r="J81" s="5">
        <v>45677</v>
      </c>
      <c r="K81" s="4">
        <v>1160</v>
      </c>
      <c r="L81" s="39">
        <v>70</v>
      </c>
      <c r="M81" s="6" t="s">
        <v>768</v>
      </c>
    </row>
    <row r="82" spans="1:13" x14ac:dyDescent="0.3">
      <c r="A82" s="23" t="s">
        <v>16</v>
      </c>
      <c r="B82" s="6" t="s">
        <v>766</v>
      </c>
      <c r="C82" s="1" t="s">
        <v>35</v>
      </c>
      <c r="D82" s="1" t="s">
        <v>15</v>
      </c>
      <c r="E82" s="3">
        <v>358686327786020</v>
      </c>
      <c r="F82" s="1"/>
      <c r="G82" s="5">
        <v>45676</v>
      </c>
      <c r="H82" s="4">
        <v>530</v>
      </c>
      <c r="I82" s="4"/>
      <c r="J82" s="5">
        <v>45677</v>
      </c>
      <c r="K82" s="4">
        <v>700</v>
      </c>
      <c r="L82" s="39">
        <v>170</v>
      </c>
      <c r="M82" s="6" t="s">
        <v>769</v>
      </c>
    </row>
    <row r="83" spans="1:13" x14ac:dyDescent="0.3">
      <c r="A83" s="23" t="s">
        <v>16</v>
      </c>
      <c r="B83" s="6" t="s">
        <v>312</v>
      </c>
      <c r="C83" s="1" t="s">
        <v>21</v>
      </c>
      <c r="D83" s="1" t="s">
        <v>15</v>
      </c>
      <c r="E83" s="3">
        <v>359456438207890</v>
      </c>
      <c r="F83" s="1"/>
      <c r="G83" s="5">
        <v>45650</v>
      </c>
      <c r="H83" s="4">
        <v>480</v>
      </c>
      <c r="I83" s="4">
        <v>20</v>
      </c>
      <c r="J83" s="5">
        <v>45678</v>
      </c>
      <c r="K83" s="4">
        <v>600</v>
      </c>
      <c r="L83" s="39">
        <v>100</v>
      </c>
      <c r="M83" s="6" t="s">
        <v>147</v>
      </c>
    </row>
    <row r="84" spans="1:13" x14ac:dyDescent="0.3">
      <c r="A84" s="23" t="s">
        <v>16</v>
      </c>
      <c r="B84" s="6" t="s">
        <v>148</v>
      </c>
      <c r="C84" s="1" t="s">
        <v>65</v>
      </c>
      <c r="D84" s="1" t="s">
        <v>22</v>
      </c>
      <c r="E84" s="3">
        <v>352798297569108</v>
      </c>
      <c r="F84" s="1"/>
      <c r="G84" s="5">
        <v>45655</v>
      </c>
      <c r="H84" s="4">
        <v>280</v>
      </c>
      <c r="I84" s="4"/>
      <c r="J84" s="5">
        <v>45678</v>
      </c>
      <c r="K84" s="4">
        <v>350</v>
      </c>
      <c r="L84" s="39">
        <v>70</v>
      </c>
      <c r="M84" s="6" t="s">
        <v>699</v>
      </c>
    </row>
    <row r="85" spans="1:13" x14ac:dyDescent="0.3">
      <c r="A85" s="23" t="s">
        <v>16</v>
      </c>
      <c r="B85" s="6" t="s">
        <v>32</v>
      </c>
      <c r="C85" s="1" t="s">
        <v>26</v>
      </c>
      <c r="D85" s="1" t="s">
        <v>22</v>
      </c>
      <c r="E85" s="3">
        <v>353233954199055</v>
      </c>
      <c r="F85" s="1" t="s">
        <v>284</v>
      </c>
      <c r="G85" s="5">
        <v>45593</v>
      </c>
      <c r="H85" s="4">
        <v>630</v>
      </c>
      <c r="I85" s="4"/>
      <c r="J85" s="5">
        <v>45678</v>
      </c>
      <c r="K85" s="4">
        <v>680</v>
      </c>
      <c r="L85" s="39">
        <v>50</v>
      </c>
      <c r="M85" s="6" t="s">
        <v>285</v>
      </c>
    </row>
    <row r="86" spans="1:13" x14ac:dyDescent="0.3">
      <c r="A86" s="23" t="s">
        <v>13</v>
      </c>
      <c r="B86" s="6" t="s">
        <v>712</v>
      </c>
      <c r="C86" s="1" t="s">
        <v>21</v>
      </c>
      <c r="D86" s="1" t="s">
        <v>15</v>
      </c>
      <c r="E86" s="3">
        <v>358739082320749</v>
      </c>
      <c r="F86" s="1" t="s">
        <v>282</v>
      </c>
      <c r="G86" s="5">
        <v>45661</v>
      </c>
      <c r="H86" s="4">
        <v>117</v>
      </c>
      <c r="I86" s="4"/>
      <c r="J86" s="5">
        <v>45678</v>
      </c>
      <c r="K86" s="4">
        <v>170</v>
      </c>
      <c r="L86" s="39">
        <v>53</v>
      </c>
      <c r="M86" s="6" t="s">
        <v>713</v>
      </c>
    </row>
    <row r="87" spans="1:13" x14ac:dyDescent="0.3">
      <c r="A87" s="23" t="s">
        <v>16</v>
      </c>
      <c r="B87" s="6" t="s">
        <v>552</v>
      </c>
      <c r="C87" s="1" t="s">
        <v>97</v>
      </c>
      <c r="D87" s="1" t="s">
        <v>15</v>
      </c>
      <c r="E87" s="3">
        <v>353844102481060</v>
      </c>
      <c r="F87" s="1"/>
      <c r="G87" s="5">
        <v>45650</v>
      </c>
      <c r="H87" s="4">
        <v>200</v>
      </c>
      <c r="I87" s="4">
        <v>18</v>
      </c>
      <c r="J87" s="5">
        <v>45678</v>
      </c>
      <c r="K87" s="4">
        <v>250</v>
      </c>
      <c r="L87" s="39">
        <v>32</v>
      </c>
      <c r="M87" s="6" t="s">
        <v>147</v>
      </c>
    </row>
    <row r="88" spans="1:13" x14ac:dyDescent="0.3">
      <c r="A88" s="23" t="s">
        <v>16</v>
      </c>
      <c r="B88" s="6" t="s">
        <v>32</v>
      </c>
      <c r="C88" s="1" t="s">
        <v>65</v>
      </c>
      <c r="D88" s="1" t="s">
        <v>22</v>
      </c>
      <c r="E88" s="3">
        <v>355361721619978</v>
      </c>
      <c r="F88" s="1"/>
      <c r="G88" s="5">
        <v>45669</v>
      </c>
      <c r="H88" s="4">
        <v>700</v>
      </c>
      <c r="I88" s="4"/>
      <c r="J88" s="5">
        <v>45678</v>
      </c>
      <c r="K88" s="4">
        <v>780</v>
      </c>
      <c r="L88" s="39">
        <v>80</v>
      </c>
      <c r="M88" s="6" t="s">
        <v>262</v>
      </c>
    </row>
    <row r="89" spans="1:13" x14ac:dyDescent="0.3">
      <c r="A89" s="23" t="s">
        <v>16</v>
      </c>
      <c r="B89" s="6" t="s">
        <v>692</v>
      </c>
      <c r="C89" s="1" t="s">
        <v>26</v>
      </c>
      <c r="D89" s="1" t="s">
        <v>22</v>
      </c>
      <c r="E89" s="3">
        <v>356840677300377</v>
      </c>
      <c r="F89" s="1"/>
      <c r="G89" s="5">
        <v>45677</v>
      </c>
      <c r="H89" s="4">
        <v>780</v>
      </c>
      <c r="I89" s="4"/>
      <c r="J89" s="5">
        <v>45678</v>
      </c>
      <c r="K89" s="4">
        <v>840</v>
      </c>
      <c r="L89" s="39">
        <v>60</v>
      </c>
      <c r="M89" s="6" t="s">
        <v>755</v>
      </c>
    </row>
    <row r="90" spans="1:13" x14ac:dyDescent="0.3">
      <c r="A90" s="23" t="s">
        <v>16</v>
      </c>
      <c r="B90" s="6" t="s">
        <v>74</v>
      </c>
      <c r="C90" s="1" t="s">
        <v>18</v>
      </c>
      <c r="D90" s="1" t="s">
        <v>15</v>
      </c>
      <c r="E90" s="3">
        <v>352466614530829</v>
      </c>
      <c r="F90" s="1" t="s">
        <v>43</v>
      </c>
      <c r="G90" s="5">
        <v>45561</v>
      </c>
      <c r="H90" s="4">
        <v>550</v>
      </c>
      <c r="I90" s="4"/>
      <c r="J90" s="5">
        <v>45679</v>
      </c>
      <c r="K90" s="4">
        <v>560</v>
      </c>
      <c r="L90" s="39">
        <v>10</v>
      </c>
      <c r="M90" s="6" t="s">
        <v>126</v>
      </c>
    </row>
    <row r="91" spans="1:13" x14ac:dyDescent="0.3">
      <c r="A91" s="23" t="s">
        <v>13</v>
      </c>
      <c r="B91" s="6" t="s">
        <v>384</v>
      </c>
      <c r="C91" s="1" t="s">
        <v>21</v>
      </c>
      <c r="D91" s="1" t="s">
        <v>15</v>
      </c>
      <c r="E91" s="3">
        <v>357834990451149</v>
      </c>
      <c r="F91" s="1" t="s">
        <v>556</v>
      </c>
      <c r="G91" s="5">
        <v>45628</v>
      </c>
      <c r="H91" s="4">
        <v>190</v>
      </c>
      <c r="I91" s="4">
        <v>11</v>
      </c>
      <c r="J91" s="5">
        <v>45679</v>
      </c>
      <c r="K91" s="4">
        <v>240</v>
      </c>
      <c r="L91" s="39">
        <v>39</v>
      </c>
      <c r="M91" s="6" t="s">
        <v>147</v>
      </c>
    </row>
    <row r="92" spans="1:13" x14ac:dyDescent="0.3">
      <c r="A92" s="23" t="s">
        <v>13</v>
      </c>
      <c r="B92" s="6" t="s">
        <v>774</v>
      </c>
      <c r="C92" s="1" t="s">
        <v>21</v>
      </c>
      <c r="D92" s="1" t="s">
        <v>15</v>
      </c>
      <c r="E92" s="3">
        <v>355857117425227</v>
      </c>
      <c r="F92" s="1"/>
      <c r="G92" s="5">
        <v>45678</v>
      </c>
      <c r="H92" s="4">
        <v>260</v>
      </c>
      <c r="I92" s="4"/>
      <c r="J92" s="5">
        <v>45679</v>
      </c>
      <c r="K92" s="4">
        <v>310</v>
      </c>
      <c r="L92" s="39">
        <v>50</v>
      </c>
      <c r="M92" s="6" t="s">
        <v>775</v>
      </c>
    </row>
    <row r="93" spans="1:13" x14ac:dyDescent="0.3">
      <c r="A93" s="23" t="s">
        <v>16</v>
      </c>
      <c r="B93" s="6" t="s">
        <v>32</v>
      </c>
      <c r="C93" s="1" t="s">
        <v>26</v>
      </c>
      <c r="D93" s="1" t="s">
        <v>22</v>
      </c>
      <c r="E93" s="3">
        <v>353233956352173</v>
      </c>
      <c r="F93" s="1"/>
      <c r="G93" s="5">
        <v>45673</v>
      </c>
      <c r="H93" s="4">
        <v>660</v>
      </c>
      <c r="I93" s="4"/>
      <c r="J93" s="5">
        <v>45679</v>
      </c>
      <c r="K93" s="4">
        <v>700</v>
      </c>
      <c r="L93" s="39">
        <v>40</v>
      </c>
      <c r="M93" s="6" t="s">
        <v>754</v>
      </c>
    </row>
    <row r="94" spans="1:13" x14ac:dyDescent="0.3">
      <c r="A94" s="23" t="s">
        <v>16</v>
      </c>
      <c r="B94" s="6" t="s">
        <v>496</v>
      </c>
      <c r="C94" s="1" t="s">
        <v>18</v>
      </c>
      <c r="D94" s="1" t="s">
        <v>15</v>
      </c>
      <c r="E94" s="3">
        <v>350038448356655</v>
      </c>
      <c r="F94" s="1"/>
      <c r="G94" s="5">
        <v>45650</v>
      </c>
      <c r="H94" s="4">
        <v>300</v>
      </c>
      <c r="I94" s="4">
        <v>18</v>
      </c>
      <c r="J94" s="5">
        <v>45680</v>
      </c>
      <c r="K94" s="4">
        <v>380</v>
      </c>
      <c r="L94" s="39">
        <v>62</v>
      </c>
      <c r="M94" s="6" t="s">
        <v>147</v>
      </c>
    </row>
    <row r="95" spans="1:13" x14ac:dyDescent="0.3">
      <c r="A95" s="23" t="s">
        <v>16</v>
      </c>
      <c r="B95" s="6" t="s">
        <v>496</v>
      </c>
      <c r="C95" s="1" t="s">
        <v>21</v>
      </c>
      <c r="D95" s="1" t="s">
        <v>22</v>
      </c>
      <c r="E95" s="3">
        <v>353084780417934</v>
      </c>
      <c r="F95" s="1"/>
      <c r="G95" s="5">
        <v>45679</v>
      </c>
      <c r="H95" s="4">
        <v>285</v>
      </c>
      <c r="I95" s="4"/>
      <c r="J95" s="5">
        <v>45680</v>
      </c>
      <c r="K95" s="4">
        <v>350</v>
      </c>
      <c r="L95" s="39">
        <v>65</v>
      </c>
      <c r="M95" s="6" t="s">
        <v>781</v>
      </c>
    </row>
    <row r="96" spans="1:13" x14ac:dyDescent="0.3">
      <c r="A96" s="23" t="s">
        <v>16</v>
      </c>
      <c r="B96" s="6" t="s">
        <v>83</v>
      </c>
      <c r="C96" s="1" t="s">
        <v>97</v>
      </c>
      <c r="D96" s="1" t="s">
        <v>15</v>
      </c>
      <c r="E96" s="3">
        <v>350738140272288</v>
      </c>
      <c r="F96" s="1"/>
      <c r="G96" s="5">
        <v>45678</v>
      </c>
      <c r="H96" s="4">
        <v>450</v>
      </c>
      <c r="I96" s="4"/>
      <c r="J96" s="5">
        <v>45681</v>
      </c>
      <c r="K96" s="4">
        <v>500</v>
      </c>
      <c r="L96" s="39">
        <v>50</v>
      </c>
      <c r="M96" s="6" t="s">
        <v>776</v>
      </c>
    </row>
    <row r="97" spans="1:13" x14ac:dyDescent="0.3">
      <c r="A97" s="23" t="s">
        <v>16</v>
      </c>
      <c r="B97" s="6" t="s">
        <v>784</v>
      </c>
      <c r="C97" s="1" t="s">
        <v>97</v>
      </c>
      <c r="D97" s="1" t="s">
        <v>22</v>
      </c>
      <c r="E97" s="3">
        <v>352835988079136</v>
      </c>
      <c r="F97" s="1"/>
      <c r="G97" s="5">
        <v>45680</v>
      </c>
      <c r="H97" s="4">
        <v>380</v>
      </c>
      <c r="I97" s="4"/>
      <c r="J97" s="5">
        <v>45681</v>
      </c>
      <c r="K97" s="4">
        <v>480</v>
      </c>
      <c r="L97" s="39">
        <v>100</v>
      </c>
      <c r="M97" s="6" t="s">
        <v>505</v>
      </c>
    </row>
    <row r="98" spans="1:13" x14ac:dyDescent="0.3">
      <c r="A98" s="23" t="s">
        <v>16</v>
      </c>
      <c r="B98" s="6" t="s">
        <v>766</v>
      </c>
      <c r="C98" s="1" t="s">
        <v>35</v>
      </c>
      <c r="D98" s="1" t="s">
        <v>22</v>
      </c>
      <c r="E98" s="3">
        <v>354132416908385</v>
      </c>
      <c r="F98" s="1"/>
      <c r="G98" s="5">
        <v>45682</v>
      </c>
      <c r="H98" s="4">
        <v>565</v>
      </c>
      <c r="I98" s="4"/>
      <c r="J98" s="5">
        <v>45682</v>
      </c>
      <c r="K98" s="4">
        <v>615</v>
      </c>
      <c r="L98" s="39">
        <v>50</v>
      </c>
      <c r="M98" s="6" t="s">
        <v>787</v>
      </c>
    </row>
    <row r="99" spans="1:13" x14ac:dyDescent="0.3">
      <c r="A99" s="23" t="s">
        <v>16</v>
      </c>
      <c r="B99" s="6" t="s">
        <v>404</v>
      </c>
      <c r="C99" s="1" t="s">
        <v>21</v>
      </c>
      <c r="D99" s="1" t="s">
        <v>22</v>
      </c>
      <c r="E99" s="3">
        <v>356166097115025</v>
      </c>
      <c r="F99" s="1"/>
      <c r="G99" s="5">
        <v>45674</v>
      </c>
      <c r="H99" s="4">
        <v>120</v>
      </c>
      <c r="I99" s="4"/>
      <c r="J99" s="5">
        <v>45682</v>
      </c>
      <c r="K99" s="4">
        <v>180</v>
      </c>
      <c r="L99" s="39">
        <v>60</v>
      </c>
      <c r="M99" s="6" t="s">
        <v>762</v>
      </c>
    </row>
    <row r="100" spans="1:13" x14ac:dyDescent="0.3">
      <c r="A100" s="23" t="s">
        <v>16</v>
      </c>
      <c r="B100" s="6" t="s">
        <v>739</v>
      </c>
      <c r="C100" s="1" t="s">
        <v>21</v>
      </c>
      <c r="D100" s="1" t="s">
        <v>15</v>
      </c>
      <c r="E100" s="3">
        <v>359405086791462</v>
      </c>
      <c r="F100" s="1" t="s">
        <v>66</v>
      </c>
      <c r="G100" s="5">
        <v>45669</v>
      </c>
      <c r="H100" s="4">
        <v>95</v>
      </c>
      <c r="I100" s="4">
        <v>17</v>
      </c>
      <c r="J100" s="5">
        <v>45682</v>
      </c>
      <c r="K100" s="4">
        <v>157</v>
      </c>
      <c r="L100" s="39">
        <v>45</v>
      </c>
      <c r="M100" s="6" t="s">
        <v>147</v>
      </c>
    </row>
    <row r="101" spans="1:13" x14ac:dyDescent="0.3">
      <c r="A101" s="23" t="s">
        <v>16</v>
      </c>
      <c r="B101" s="6" t="s">
        <v>81</v>
      </c>
      <c r="C101" s="1" t="s">
        <v>65</v>
      </c>
      <c r="D101" s="1" t="s">
        <v>15</v>
      </c>
      <c r="E101" s="3">
        <v>354509713305037</v>
      </c>
      <c r="F101" s="1"/>
      <c r="G101" s="5">
        <v>45612</v>
      </c>
      <c r="H101" s="4">
        <v>450</v>
      </c>
      <c r="I101" s="4"/>
      <c r="J101" s="5">
        <v>45683</v>
      </c>
      <c r="K101" s="4">
        <v>500</v>
      </c>
      <c r="L101" s="39">
        <v>50</v>
      </c>
      <c r="M101" s="6" t="s">
        <v>447</v>
      </c>
    </row>
    <row r="102" spans="1:13" x14ac:dyDescent="0.3">
      <c r="A102" s="23" t="s">
        <v>16</v>
      </c>
      <c r="B102" s="6" t="s">
        <v>77</v>
      </c>
      <c r="C102" s="1" t="s">
        <v>21</v>
      </c>
      <c r="D102" s="1" t="s">
        <v>15</v>
      </c>
      <c r="E102" s="3">
        <v>355960222413136</v>
      </c>
      <c r="F102" s="1" t="s">
        <v>556</v>
      </c>
      <c r="G102" s="5">
        <v>45676</v>
      </c>
      <c r="H102" s="4">
        <v>470</v>
      </c>
      <c r="I102" s="4"/>
      <c r="J102" s="5">
        <v>45683</v>
      </c>
      <c r="K102" s="4">
        <v>580</v>
      </c>
      <c r="L102" s="39">
        <v>110</v>
      </c>
      <c r="M102" s="6">
        <v>994442440</v>
      </c>
    </row>
    <row r="103" spans="1:13" x14ac:dyDescent="0.3">
      <c r="A103" s="23" t="s">
        <v>16</v>
      </c>
      <c r="B103" s="6" t="s">
        <v>77</v>
      </c>
      <c r="C103" s="1" t="s">
        <v>21</v>
      </c>
      <c r="D103" s="1" t="s">
        <v>22</v>
      </c>
      <c r="E103" s="3">
        <v>352466619163600</v>
      </c>
      <c r="F103" s="1"/>
      <c r="G103" s="5">
        <v>45647</v>
      </c>
      <c r="H103" s="4">
        <v>550</v>
      </c>
      <c r="I103" s="4">
        <v>20</v>
      </c>
      <c r="J103" s="5">
        <v>45683</v>
      </c>
      <c r="K103" s="4">
        <v>610</v>
      </c>
      <c r="L103" s="39">
        <v>40</v>
      </c>
      <c r="M103" s="6" t="s">
        <v>650</v>
      </c>
    </row>
    <row r="104" spans="1:13" x14ac:dyDescent="0.3">
      <c r="A104" s="23" t="s">
        <v>16</v>
      </c>
      <c r="B104" s="6" t="s">
        <v>692</v>
      </c>
      <c r="C104" s="1" t="s">
        <v>26</v>
      </c>
      <c r="D104" s="1" t="s">
        <v>22</v>
      </c>
      <c r="E104" s="3">
        <v>355458120166278</v>
      </c>
      <c r="F104" s="1"/>
      <c r="G104" s="5">
        <v>45678</v>
      </c>
      <c r="H104" s="4">
        <v>750</v>
      </c>
      <c r="I104" s="4"/>
      <c r="J104" s="5">
        <v>45683</v>
      </c>
      <c r="K104" s="4">
        <v>810</v>
      </c>
      <c r="L104" s="39">
        <v>60</v>
      </c>
      <c r="M104" s="6" t="s">
        <v>262</v>
      </c>
    </row>
    <row r="105" spans="1:13" x14ac:dyDescent="0.3">
      <c r="A105" s="23" t="s">
        <v>207</v>
      </c>
      <c r="B105" s="22" t="s">
        <v>807</v>
      </c>
      <c r="C105" s="1" t="s">
        <v>65</v>
      </c>
      <c r="D105" s="1" t="s">
        <v>15</v>
      </c>
      <c r="E105" s="3"/>
      <c r="F105" s="1"/>
      <c r="G105" s="5"/>
      <c r="H105" s="4">
        <v>77</v>
      </c>
      <c r="I105" s="4"/>
      <c r="J105" s="5">
        <v>45683</v>
      </c>
      <c r="K105" s="4">
        <v>100</v>
      </c>
      <c r="L105" s="39">
        <f>Таблица37[[#This Row],[SOTILGAN NARXI]]-Таблица37[[#This Row],[OLINGAN NARXI $]]-Таблица37[[#This Row],[RASXOD]]</f>
        <v>23</v>
      </c>
      <c r="M105" s="6"/>
    </row>
    <row r="106" spans="1:13" x14ac:dyDescent="0.3">
      <c r="A106" s="23" t="s">
        <v>13</v>
      </c>
      <c r="B106" s="6" t="s">
        <v>804</v>
      </c>
      <c r="C106" s="1"/>
      <c r="D106" s="1"/>
      <c r="E106" s="3">
        <v>8783</v>
      </c>
      <c r="F106" s="1"/>
      <c r="G106" s="5"/>
      <c r="H106" s="4">
        <v>40</v>
      </c>
      <c r="I106" s="4"/>
      <c r="J106" s="5"/>
      <c r="K106" s="4"/>
      <c r="L106" s="39">
        <f>Таблица37[[#This Row],[SOTILGAN NARXI]]-Таблица37[[#This Row],[OLINGAN NARXI $]]-Таблица37[[#This Row],[RASXOD]]</f>
        <v>-40</v>
      </c>
      <c r="M106" s="6" t="s">
        <v>499</v>
      </c>
    </row>
    <row r="107" spans="1:13" x14ac:dyDescent="0.3">
      <c r="A107" s="23" t="s">
        <v>16</v>
      </c>
      <c r="B107" s="6" t="s">
        <v>772</v>
      </c>
      <c r="C107" s="1" t="s">
        <v>26</v>
      </c>
      <c r="D107" s="1" t="s">
        <v>22</v>
      </c>
      <c r="E107" s="3">
        <v>356761829481545</v>
      </c>
      <c r="F107" s="1"/>
      <c r="G107" s="5">
        <v>45677</v>
      </c>
      <c r="H107" s="4">
        <v>660</v>
      </c>
      <c r="I107" s="4"/>
      <c r="J107" s="5">
        <v>45685</v>
      </c>
      <c r="K107" s="4">
        <v>770</v>
      </c>
      <c r="L107" s="39">
        <v>110</v>
      </c>
      <c r="M107" s="6"/>
    </row>
    <row r="108" spans="1:13" x14ac:dyDescent="0.3">
      <c r="A108" s="23" t="s">
        <v>13</v>
      </c>
      <c r="B108" s="6" t="s">
        <v>115</v>
      </c>
      <c r="C108" s="1" t="s">
        <v>21</v>
      </c>
      <c r="D108" s="1" t="s">
        <v>15</v>
      </c>
      <c r="E108" s="3">
        <v>351376410969488</v>
      </c>
      <c r="F108" s="1"/>
      <c r="G108" s="5">
        <v>45639</v>
      </c>
      <c r="H108" s="4">
        <v>160</v>
      </c>
      <c r="I108" s="4">
        <v>20</v>
      </c>
      <c r="J108" s="5">
        <v>45685</v>
      </c>
      <c r="K108" s="4">
        <v>230</v>
      </c>
      <c r="L108" s="39">
        <v>50</v>
      </c>
      <c r="M108" s="6" t="s">
        <v>147</v>
      </c>
    </row>
    <row r="109" spans="1:13" x14ac:dyDescent="0.3">
      <c r="A109" s="23" t="s">
        <v>724</v>
      </c>
      <c r="B109" s="6" t="s">
        <v>725</v>
      </c>
      <c r="C109" s="1" t="s">
        <v>21</v>
      </c>
      <c r="D109" s="1" t="s">
        <v>22</v>
      </c>
      <c r="E109" s="3">
        <v>868983070518368</v>
      </c>
      <c r="F109" s="1"/>
      <c r="G109" s="5">
        <v>45665</v>
      </c>
      <c r="H109" s="4">
        <v>218</v>
      </c>
      <c r="I109" s="4"/>
      <c r="J109" s="5">
        <v>45685</v>
      </c>
      <c r="K109" s="4">
        <v>250</v>
      </c>
      <c r="L109" s="39">
        <v>32</v>
      </c>
      <c r="M109" s="6" t="s">
        <v>726</v>
      </c>
    </row>
    <row r="110" spans="1:13" x14ac:dyDescent="0.3">
      <c r="A110" s="23" t="s">
        <v>16</v>
      </c>
      <c r="B110" s="6" t="s">
        <v>148</v>
      </c>
      <c r="C110" s="1" t="s">
        <v>21</v>
      </c>
      <c r="D110" s="1" t="s">
        <v>15</v>
      </c>
      <c r="E110" s="3">
        <v>354049340841294</v>
      </c>
      <c r="F110" s="1"/>
      <c r="G110" s="5">
        <v>45651</v>
      </c>
      <c r="H110" s="4">
        <v>270</v>
      </c>
      <c r="I110" s="4"/>
      <c r="J110" s="5">
        <v>45685</v>
      </c>
      <c r="K110" s="4">
        <v>340</v>
      </c>
      <c r="L110" s="39">
        <v>70</v>
      </c>
      <c r="M110" s="6" t="s">
        <v>262</v>
      </c>
    </row>
    <row r="111" spans="1:13" x14ac:dyDescent="0.3">
      <c r="A111" s="23" t="s">
        <v>13</v>
      </c>
      <c r="B111" s="6" t="s">
        <v>563</v>
      </c>
      <c r="C111" s="1" t="s">
        <v>18</v>
      </c>
      <c r="D111" s="1" t="s">
        <v>15</v>
      </c>
      <c r="E111" s="3">
        <v>358725360536346</v>
      </c>
      <c r="F111" s="1"/>
      <c r="G111" s="5">
        <v>45669</v>
      </c>
      <c r="H111" s="4">
        <v>300</v>
      </c>
      <c r="I111" s="4">
        <v>30</v>
      </c>
      <c r="J111" s="5">
        <v>45686</v>
      </c>
      <c r="K111" s="4">
        <v>440</v>
      </c>
      <c r="L111" s="39">
        <v>110</v>
      </c>
      <c r="M111" s="6" t="s">
        <v>741</v>
      </c>
    </row>
    <row r="112" spans="1:13" x14ac:dyDescent="0.3">
      <c r="A112" s="23" t="s">
        <v>16</v>
      </c>
      <c r="B112" s="6" t="s">
        <v>77</v>
      </c>
      <c r="C112" s="1" t="s">
        <v>21</v>
      </c>
      <c r="D112" s="1" t="s">
        <v>22</v>
      </c>
      <c r="E112" s="3">
        <v>356903556457195</v>
      </c>
      <c r="F112" s="1"/>
      <c r="G112" s="5">
        <v>45579</v>
      </c>
      <c r="H112" s="4">
        <v>640</v>
      </c>
      <c r="I112" s="4"/>
      <c r="J112" s="5">
        <v>45687</v>
      </c>
      <c r="K112" s="4">
        <v>640</v>
      </c>
      <c r="L112" s="39">
        <v>0</v>
      </c>
      <c r="M112" s="6" t="s">
        <v>184</v>
      </c>
    </row>
    <row r="113" spans="1:13" x14ac:dyDescent="0.3">
      <c r="A113" s="23" t="s">
        <v>16</v>
      </c>
      <c r="B113" s="6" t="s">
        <v>692</v>
      </c>
      <c r="C113" s="1" t="s">
        <v>26</v>
      </c>
      <c r="D113" s="1" t="s">
        <v>22</v>
      </c>
      <c r="E113" s="3">
        <v>355458123853906</v>
      </c>
      <c r="F113" s="1"/>
      <c r="G113" s="5">
        <v>45685</v>
      </c>
      <c r="H113" s="4">
        <v>800</v>
      </c>
      <c r="I113" s="4"/>
      <c r="J113" s="5">
        <v>45687</v>
      </c>
      <c r="K113" s="4">
        <v>880</v>
      </c>
      <c r="L113" s="39">
        <v>80</v>
      </c>
      <c r="M113" s="6" t="s">
        <v>262</v>
      </c>
    </row>
    <row r="114" spans="1:13" x14ac:dyDescent="0.3">
      <c r="A114" s="23" t="s">
        <v>16</v>
      </c>
      <c r="B114" s="6" t="s">
        <v>643</v>
      </c>
      <c r="C114" s="1" t="s">
        <v>21</v>
      </c>
      <c r="D114" s="1" t="s">
        <v>22</v>
      </c>
      <c r="E114" s="3">
        <v>352866110159124</v>
      </c>
      <c r="F114" s="1"/>
      <c r="G114" s="5">
        <v>45667</v>
      </c>
      <c r="H114" s="4">
        <v>280</v>
      </c>
      <c r="I114" s="4"/>
      <c r="J114" s="5">
        <v>45687</v>
      </c>
      <c r="K114" s="4">
        <v>300</v>
      </c>
      <c r="L114" s="39">
        <v>20</v>
      </c>
      <c r="M114" s="6" t="s">
        <v>262</v>
      </c>
    </row>
    <row r="115" spans="1:13" x14ac:dyDescent="0.3">
      <c r="A115" s="23" t="s">
        <v>16</v>
      </c>
      <c r="B115" s="6" t="s">
        <v>443</v>
      </c>
      <c r="C115" s="1" t="s">
        <v>257</v>
      </c>
      <c r="D115" s="1" t="s">
        <v>22</v>
      </c>
      <c r="E115" s="3">
        <v>356366406106661</v>
      </c>
      <c r="F115" s="1"/>
      <c r="G115" s="5">
        <v>45680</v>
      </c>
      <c r="H115" s="4">
        <v>985</v>
      </c>
      <c r="I115" s="4"/>
      <c r="J115" s="5">
        <v>45688</v>
      </c>
      <c r="K115" s="4">
        <v>1000</v>
      </c>
      <c r="L115" s="39">
        <v>15</v>
      </c>
      <c r="M115" s="6" t="s">
        <v>262</v>
      </c>
    </row>
    <row r="116" spans="1:13" x14ac:dyDescent="0.3">
      <c r="A116" s="23" t="s">
        <v>13</v>
      </c>
      <c r="B116" s="6" t="s">
        <v>738</v>
      </c>
      <c r="C116" s="1" t="s">
        <v>18</v>
      </c>
      <c r="D116" s="1" t="s">
        <v>15</v>
      </c>
      <c r="E116" s="3">
        <v>353346115799678</v>
      </c>
      <c r="F116" s="1"/>
      <c r="G116" s="5">
        <v>45678</v>
      </c>
      <c r="H116" s="4">
        <v>117</v>
      </c>
      <c r="I116" s="4"/>
      <c r="J116" s="5">
        <v>45688</v>
      </c>
      <c r="K116" s="4">
        <v>179</v>
      </c>
      <c r="L116" s="39">
        <v>62</v>
      </c>
      <c r="M116" s="6" t="s">
        <v>777</v>
      </c>
    </row>
    <row r="117" spans="1:13" x14ac:dyDescent="0.3">
      <c r="A117" s="23" t="s">
        <v>16</v>
      </c>
      <c r="B117" s="25">
        <v>8256</v>
      </c>
      <c r="C117" s="1" t="s">
        <v>45</v>
      </c>
      <c r="D117" s="1" t="s">
        <v>15</v>
      </c>
      <c r="E117" s="3">
        <v>359495080577272</v>
      </c>
      <c r="F117" s="1"/>
      <c r="G117" s="5">
        <v>45682</v>
      </c>
      <c r="H117" s="4">
        <v>66</v>
      </c>
      <c r="I117" s="4"/>
      <c r="J117" s="5">
        <v>45688</v>
      </c>
      <c r="K117" s="4">
        <v>90</v>
      </c>
      <c r="L117" s="39">
        <v>24</v>
      </c>
      <c r="M117" s="6" t="s">
        <v>796</v>
      </c>
    </row>
    <row r="118" spans="1:13" x14ac:dyDescent="0.3">
      <c r="A118" s="23" t="s">
        <v>13</v>
      </c>
      <c r="B118" s="6" t="s">
        <v>384</v>
      </c>
      <c r="C118" s="1" t="s">
        <v>93</v>
      </c>
      <c r="D118" s="1" t="s">
        <v>15</v>
      </c>
      <c r="E118" s="3">
        <v>353561331166318</v>
      </c>
      <c r="F118" s="1"/>
      <c r="G118" s="5">
        <v>45604</v>
      </c>
      <c r="H118" s="4">
        <v>225</v>
      </c>
      <c r="I118" s="4">
        <v>12</v>
      </c>
      <c r="J118" s="5">
        <v>45688</v>
      </c>
      <c r="K118" s="4">
        <v>269</v>
      </c>
      <c r="L118" s="39">
        <v>32</v>
      </c>
      <c r="M118" s="6" t="s">
        <v>19</v>
      </c>
    </row>
    <row r="119" spans="1:13" x14ac:dyDescent="0.3">
      <c r="A119" s="23" t="s">
        <v>16</v>
      </c>
      <c r="B119" s="6" t="s">
        <v>692</v>
      </c>
      <c r="C119" s="1" t="s">
        <v>18</v>
      </c>
      <c r="D119" s="1" t="s">
        <v>22</v>
      </c>
      <c r="E119" s="3">
        <v>358879682992917</v>
      </c>
      <c r="F119" s="1"/>
      <c r="G119" s="5">
        <v>45683</v>
      </c>
      <c r="H119" s="4">
        <v>795</v>
      </c>
      <c r="I119" s="4"/>
      <c r="J119" s="5">
        <v>45688</v>
      </c>
      <c r="K119" s="4">
        <v>850</v>
      </c>
      <c r="L119" s="39">
        <v>55</v>
      </c>
      <c r="M119" s="6" t="s">
        <v>803</v>
      </c>
    </row>
    <row r="120" spans="1:13" x14ac:dyDescent="0.3">
      <c r="A120" s="23" t="s">
        <v>16</v>
      </c>
      <c r="B120" s="6" t="s">
        <v>766</v>
      </c>
      <c r="C120" s="1" t="s">
        <v>35</v>
      </c>
      <c r="D120" s="1" t="s">
        <v>22</v>
      </c>
      <c r="E120" s="3">
        <v>8147</v>
      </c>
      <c r="F120" s="1"/>
      <c r="G120" s="5">
        <v>45675</v>
      </c>
      <c r="H120" s="4">
        <v>550</v>
      </c>
      <c r="I120" s="4"/>
      <c r="J120" s="5">
        <v>45672</v>
      </c>
      <c r="K120" s="4">
        <v>660</v>
      </c>
      <c r="L120" s="39">
        <v>110</v>
      </c>
      <c r="M120" s="6">
        <v>901227777</v>
      </c>
    </row>
    <row r="121" spans="1:13" ht="15.75" customHeight="1" x14ac:dyDescent="0.3">
      <c r="A121" s="23"/>
      <c r="B121" s="6"/>
      <c r="C121" s="1"/>
      <c r="D121" s="1"/>
      <c r="E121" s="1"/>
      <c r="F121" s="5"/>
      <c r="G121" s="43"/>
      <c r="H121" s="1"/>
      <c r="I121" s="1"/>
      <c r="J121" s="5"/>
      <c r="K121" s="4"/>
      <c r="L121" s="4">
        <f>Таблица37[[#This Row],[SOTILGAN NARXI]]-Таблица37[[#This Row],[OLINGAN NARXI $]]-Таблица37[[#This Row],[RASXOD]]</f>
        <v>0</v>
      </c>
      <c r="M121" s="6"/>
    </row>
    <row r="122" spans="1:13" x14ac:dyDescent="0.3">
      <c r="A122" s="23"/>
      <c r="B122" s="6"/>
      <c r="C122" s="1"/>
      <c r="D122" s="1"/>
      <c r="E122" s="3"/>
      <c r="F122" s="1"/>
      <c r="G122" s="43"/>
      <c r="H122" s="1"/>
      <c r="I122" s="4"/>
      <c r="J122" s="5"/>
      <c r="K122" s="1"/>
      <c r="L122" s="4">
        <f>Таблица37[[#This Row],[SOTILGAN NARXI]]-Таблица37[[#This Row],[OLINGAN NARXI $]]-Таблица37[[#This Row],[RASXOD]]</f>
        <v>0</v>
      </c>
      <c r="M122" s="6"/>
    </row>
    <row r="123" spans="1:13" x14ac:dyDescent="0.3">
      <c r="A123" s="23"/>
      <c r="B123" s="6"/>
      <c r="C123" s="1"/>
      <c r="D123" s="1"/>
      <c r="E123" s="34" t="s">
        <v>237</v>
      </c>
      <c r="F123" s="35" t="s">
        <v>238</v>
      </c>
      <c r="G123" s="43"/>
      <c r="H123" s="1"/>
      <c r="I123" s="4"/>
      <c r="J123" s="28"/>
      <c r="K123" s="1"/>
      <c r="L123" s="4">
        <f>Таблица37[[#This Row],[SOTILGAN NARXI]]-Таблица37[[#This Row],[OLINGAN NARXI $]]-Таблица37[[#This Row],[RASXOD]]</f>
        <v>0</v>
      </c>
      <c r="M123" s="6"/>
    </row>
    <row r="124" spans="1:13" x14ac:dyDescent="0.3">
      <c r="A124" s="23"/>
      <c r="B124" s="6"/>
      <c r="C124" s="1"/>
      <c r="D124" s="1"/>
      <c r="E124" s="17" t="s">
        <v>226</v>
      </c>
      <c r="F124" s="18">
        <v>1955</v>
      </c>
      <c r="G124" s="2"/>
      <c r="H124" s="1"/>
      <c r="I124" s="4"/>
      <c r="J124" s="28"/>
      <c r="K124" s="1"/>
      <c r="L124" s="4">
        <f>Таблица37[[#This Row],[SOTILGAN NARXI]]-Таблица37[[#This Row],[OLINGAN NARXI $]]-Таблица37[[#This Row],[RASXOD]]</f>
        <v>0</v>
      </c>
      <c r="M124" s="6"/>
    </row>
    <row r="125" spans="1:13" x14ac:dyDescent="0.3">
      <c r="A125" s="23"/>
      <c r="B125" s="6"/>
      <c r="C125" s="1"/>
      <c r="D125" s="1"/>
      <c r="E125" s="17" t="s">
        <v>720</v>
      </c>
      <c r="F125" s="18">
        <v>400</v>
      </c>
      <c r="G125" s="2"/>
      <c r="H125" s="1"/>
      <c r="I125" s="4"/>
      <c r="J125" s="5"/>
      <c r="K125" s="1"/>
      <c r="L125" s="4">
        <f>Таблица37[[#This Row],[SOTILGAN NARXI]]-Таблица37[[#This Row],[OLINGAN NARXI $]]-Таблица37[[#This Row],[RASXOD]]</f>
        <v>0</v>
      </c>
      <c r="M125" s="6"/>
    </row>
    <row r="126" spans="1:13" x14ac:dyDescent="0.3">
      <c r="A126" s="23"/>
      <c r="B126" s="6"/>
      <c r="C126" s="1"/>
      <c r="D126" s="1"/>
      <c r="E126" s="19" t="s">
        <v>732</v>
      </c>
      <c r="F126" s="21">
        <v>34</v>
      </c>
      <c r="G126" s="2"/>
      <c r="H126" s="1"/>
      <c r="I126" s="4"/>
      <c r="J126" s="5"/>
      <c r="K126" s="1"/>
      <c r="L126" s="4">
        <f>Таблица37[[#This Row],[SOTILGAN NARXI]]-Таблица37[[#This Row],[OLINGAN NARXI $]]-Таблица37[[#This Row],[RASXOD]]</f>
        <v>0</v>
      </c>
      <c r="M126" s="6"/>
    </row>
    <row r="127" spans="1:13" x14ac:dyDescent="0.3">
      <c r="A127" s="23"/>
      <c r="B127" s="6"/>
      <c r="C127" s="1"/>
      <c r="D127" s="1"/>
      <c r="E127" s="19"/>
      <c r="F127" s="21"/>
      <c r="G127" s="2"/>
      <c r="H127" s="1"/>
      <c r="I127" s="4"/>
      <c r="J127" s="5"/>
      <c r="K127" s="1"/>
      <c r="L127" s="4">
        <f>Таблица37[[#This Row],[SOTILGAN NARXI]]-Таблица37[[#This Row],[OLINGAN NARXI $]]-Таблица37[[#This Row],[RASXOD]]</f>
        <v>0</v>
      </c>
      <c r="M127" s="6"/>
    </row>
    <row r="128" spans="1:13" x14ac:dyDescent="0.3">
      <c r="A128" s="23"/>
      <c r="B128" s="6"/>
      <c r="C128" s="1"/>
      <c r="D128" s="1"/>
      <c r="E128" s="33"/>
      <c r="F128" s="21"/>
      <c r="G128" s="2"/>
      <c r="H128" s="1"/>
      <c r="I128" s="4"/>
      <c r="J128" s="5"/>
      <c r="K128" s="1"/>
      <c r="L128" s="4">
        <f>Таблица37[[#This Row],[SOTILGAN NARXI]]-Таблица37[[#This Row],[OLINGAN NARXI $]]-Таблица37[[#This Row],[RASXOD]]</f>
        <v>0</v>
      </c>
      <c r="M128" s="6"/>
    </row>
    <row r="129" spans="1:13" x14ac:dyDescent="0.3">
      <c r="A129" s="23"/>
      <c r="B129" s="6"/>
      <c r="C129" s="1"/>
      <c r="D129" s="1"/>
      <c r="E129" s="33"/>
      <c r="F129" s="21"/>
      <c r="G129" s="2"/>
      <c r="H129" s="1"/>
      <c r="I129" s="4"/>
      <c r="J129" s="5"/>
      <c r="K129" s="1"/>
      <c r="L129" s="4">
        <f>Таблица37[[#This Row],[SOTILGAN NARXI]]-Таблица37[[#This Row],[OLINGAN NARXI $]]-Таблица37[[#This Row],[RASXOD]]</f>
        <v>0</v>
      </c>
      <c r="M129" s="6"/>
    </row>
    <row r="130" spans="1:13" x14ac:dyDescent="0.3">
      <c r="A130" s="23"/>
      <c r="B130" s="6"/>
      <c r="C130" s="1"/>
      <c r="D130" s="1"/>
      <c r="E130" s="33"/>
      <c r="F130" s="21"/>
      <c r="G130" s="2"/>
      <c r="H130" s="1"/>
      <c r="I130" s="4"/>
      <c r="J130" s="5"/>
      <c r="K130" s="1"/>
      <c r="L130" s="4">
        <f>Таблица37[[#This Row],[SOTILGAN NARXI]]-Таблица37[[#This Row],[OLINGAN NARXI $]]-Таблица37[[#This Row],[RASXOD]]</f>
        <v>0</v>
      </c>
      <c r="M130" s="6"/>
    </row>
    <row r="131" spans="1:13" x14ac:dyDescent="0.3">
      <c r="A131" s="23"/>
      <c r="B131" s="6"/>
      <c r="C131" s="1"/>
      <c r="D131" s="1"/>
      <c r="E131" s="33"/>
      <c r="F131" s="21"/>
      <c r="G131" s="2"/>
      <c r="H131" s="1"/>
      <c r="I131" s="4"/>
      <c r="J131" s="5"/>
      <c r="K131" s="1"/>
      <c r="L131" s="4">
        <f>Таблица37[[#This Row],[SOTILGAN NARXI]]-Таблица37[[#This Row],[OLINGAN NARXI $]]-Таблица37[[#This Row],[RASXOD]]</f>
        <v>0</v>
      </c>
      <c r="M131" s="6"/>
    </row>
    <row r="132" spans="1:13" x14ac:dyDescent="0.3">
      <c r="A132" s="23"/>
      <c r="B132" s="6"/>
      <c r="C132" s="1"/>
      <c r="D132" s="1"/>
      <c r="E132" s="33"/>
      <c r="F132" s="21"/>
      <c r="G132" s="2"/>
      <c r="H132" s="1"/>
      <c r="I132" s="4"/>
      <c r="J132" s="5"/>
      <c r="K132" s="1"/>
      <c r="L132" s="4">
        <f>Таблица37[[#This Row],[SOTILGAN NARXI]]-Таблица37[[#This Row],[OLINGAN NARXI $]]-Таблица37[[#This Row],[RASXOD]]</f>
        <v>0</v>
      </c>
      <c r="M132" s="6"/>
    </row>
    <row r="133" spans="1:13" x14ac:dyDescent="0.3">
      <c r="A133" s="23"/>
      <c r="B133" s="6"/>
      <c r="C133" s="1"/>
      <c r="D133" s="1"/>
      <c r="E133" s="33"/>
      <c r="F133" s="21"/>
      <c r="G133" s="2"/>
      <c r="H133" s="1"/>
      <c r="I133" s="4"/>
      <c r="J133" s="5"/>
      <c r="K133" s="1"/>
      <c r="L133" s="4">
        <f>Таблица37[[#This Row],[SOTILGAN NARXI]]-Таблица37[[#This Row],[OLINGAN NARXI $]]-Таблица37[[#This Row],[RASXOD]]</f>
        <v>0</v>
      </c>
      <c r="M133" s="6"/>
    </row>
    <row r="134" spans="1:13" x14ac:dyDescent="0.3">
      <c r="A134" s="23"/>
      <c r="B134" s="6"/>
      <c r="C134" s="1"/>
      <c r="D134" s="1"/>
      <c r="E134" s="33"/>
      <c r="F134" s="21"/>
      <c r="G134" s="2"/>
      <c r="H134" s="1"/>
      <c r="I134" s="4"/>
      <c r="J134" s="28"/>
      <c r="K134" s="1"/>
      <c r="L134" s="4">
        <f>Таблица37[[#This Row],[SOTILGAN NARXI]]-Таблица37[[#This Row],[OLINGAN NARXI $]]-Таблица37[[#This Row],[RASXOD]]</f>
        <v>0</v>
      </c>
      <c r="M134" s="6"/>
    </row>
    <row r="135" spans="1:13" x14ac:dyDescent="0.3">
      <c r="A135" s="23"/>
      <c r="B135" s="6"/>
      <c r="C135" s="1"/>
      <c r="D135" s="1"/>
      <c r="E135" s="19"/>
      <c r="F135" s="21"/>
      <c r="G135" s="2"/>
      <c r="H135" s="1"/>
      <c r="I135" s="4"/>
      <c r="J135" s="28"/>
      <c r="K135" s="1"/>
      <c r="L135" s="4">
        <f>Таблица37[[#This Row],[SOTILGAN NARXI]]-Таблица37[[#This Row],[OLINGAN NARXI $]]-Таблица37[[#This Row],[RASXOD]]</f>
        <v>0</v>
      </c>
      <c r="M135" s="6"/>
    </row>
    <row r="136" spans="1:13" x14ac:dyDescent="0.3">
      <c r="A136" s="23"/>
      <c r="B136" s="6"/>
      <c r="C136" s="1"/>
      <c r="D136" s="1"/>
      <c r="E136" s="19"/>
      <c r="F136" s="21"/>
      <c r="G136" s="2"/>
      <c r="H136" s="1"/>
      <c r="I136" s="4"/>
      <c r="J136" s="28"/>
      <c r="K136" s="1"/>
      <c r="L136" s="4">
        <f>Таблица37[[#This Row],[SOTILGAN NARXI]]-Таблица37[[#This Row],[OLINGAN NARXI $]]-Таблица37[[#This Row],[RASXOD]]</f>
        <v>0</v>
      </c>
      <c r="M136" s="6"/>
    </row>
    <row r="137" spans="1:13" x14ac:dyDescent="0.3">
      <c r="A137" s="23"/>
      <c r="B137" s="6"/>
      <c r="C137" s="1"/>
      <c r="D137" s="1"/>
      <c r="E137" s="33"/>
      <c r="F137" s="21"/>
      <c r="G137" s="2"/>
      <c r="H137" s="1"/>
      <c r="I137" s="4"/>
      <c r="J137" s="28"/>
      <c r="K137" s="1"/>
      <c r="L137" s="4">
        <f>Таблица37[[#This Row],[SOTILGAN NARXI]]-Таблица37[[#This Row],[OLINGAN NARXI $]]-Таблица37[[#This Row],[RASXOD]]</f>
        <v>0</v>
      </c>
      <c r="M137" s="6"/>
    </row>
    <row r="138" spans="1:13" x14ac:dyDescent="0.3">
      <c r="A138" s="23"/>
      <c r="B138" s="6"/>
      <c r="C138" s="1"/>
      <c r="D138" s="1"/>
      <c r="E138" s="44"/>
      <c r="F138" s="45"/>
      <c r="G138" s="2"/>
      <c r="H138" s="1"/>
      <c r="I138" s="4"/>
      <c r="J138" s="28"/>
      <c r="K138" s="1"/>
      <c r="L138" s="4">
        <f>Таблица37[[#This Row],[SOTILGAN NARXI]]-Таблица37[[#This Row],[OLINGAN NARXI $]]-Таблица37[[#This Row],[RASXOD]]</f>
        <v>0</v>
      </c>
      <c r="M138" s="6"/>
    </row>
    <row r="139" spans="1:13" x14ac:dyDescent="0.3">
      <c r="A139" s="27"/>
      <c r="B139" s="12"/>
      <c r="C139" s="11"/>
      <c r="D139" s="46"/>
      <c r="E139" s="47"/>
      <c r="F139" s="48">
        <v>34</v>
      </c>
      <c r="G139" s="49"/>
      <c r="H139" s="40"/>
      <c r="I139" s="40">
        <f>SUBTOTAL(109,I3:I123)</f>
        <v>346</v>
      </c>
      <c r="J139" s="41"/>
      <c r="K139" s="42">
        <f>SUM(K3:K138)</f>
        <v>56028</v>
      </c>
      <c r="L139" s="14">
        <f>SUBTOTAL(109,L3:L138)</f>
        <v>6860</v>
      </c>
      <c r="M139" s="6"/>
    </row>
    <row r="140" spans="1:13" x14ac:dyDescent="0.3">
      <c r="A140" s="23"/>
      <c r="B140" s="6"/>
      <c r="C140" s="1"/>
      <c r="D140" s="1"/>
      <c r="E140" s="23"/>
      <c r="F140" s="4"/>
      <c r="G140" s="5"/>
      <c r="H140" s="4"/>
      <c r="I140" s="4"/>
      <c r="J140" s="5"/>
      <c r="K140" s="4"/>
      <c r="L140" s="4">
        <f>Таблица37[[#This Row],[SOTILGAN NARXI]]-Таблица37[[#This Row],[OLINGAN NARXI $]]-Таблица37[[#This Row],[RASXOD]]</f>
        <v>0</v>
      </c>
      <c r="M140" s="6"/>
    </row>
    <row r="141" spans="1:13" x14ac:dyDescent="0.3">
      <c r="A141" s="23"/>
      <c r="B141" s="6"/>
      <c r="C141" s="1"/>
      <c r="D141" s="1"/>
      <c r="E141" s="23"/>
      <c r="F141" s="4"/>
      <c r="G141" s="5"/>
      <c r="H141" s="4"/>
      <c r="I141" s="4"/>
      <c r="J141" s="5"/>
      <c r="K141" s="4"/>
      <c r="L141" s="4">
        <f>Таблица37[[#This Row],[SOTILGAN NARXI]]-Таблица37[[#This Row],[OLINGAN NARXI $]]-Таблица37[[#This Row],[RASXOD]]</f>
        <v>0</v>
      </c>
      <c r="M141" s="6"/>
    </row>
    <row r="142" spans="1:13" x14ac:dyDescent="0.3">
      <c r="A142" s="23"/>
      <c r="B142" s="6"/>
      <c r="C142" s="1"/>
      <c r="D142" s="1"/>
      <c r="E142" s="23"/>
      <c r="F142" s="4"/>
      <c r="G142" s="5"/>
      <c r="H142" s="4"/>
      <c r="I142" s="4"/>
      <c r="J142" s="5"/>
      <c r="K142" s="4"/>
      <c r="L142" s="4">
        <f>Таблица37[[#This Row],[SOTILGAN NARXI]]-Таблица37[[#This Row],[OLINGAN NARXI $]]-Таблица37[[#This Row],[RASXOD]]</f>
        <v>0</v>
      </c>
      <c r="M142" s="6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3B99B-D3C4-4D05-965B-8BA87788AD66}">
  <sheetPr codeName="Лист12"/>
  <dimension ref="A1:M169"/>
  <sheetViews>
    <sheetView topLeftCell="B145" zoomScale="70" zoomScaleNormal="70" workbookViewId="0">
      <selection activeCell="E10" sqref="E10"/>
    </sheetView>
  </sheetViews>
  <sheetFormatPr defaultRowHeight="14.4" x14ac:dyDescent="0.3"/>
  <cols>
    <col min="1" max="1" width="11.6640625" bestFit="1" customWidth="1"/>
    <col min="2" max="2" width="26.6640625" bestFit="1" customWidth="1"/>
    <col min="3" max="3" width="18.88671875" bestFit="1" customWidth="1"/>
    <col min="4" max="4" width="14.109375" bestFit="1" customWidth="1"/>
    <col min="5" max="5" width="20.88671875" bestFit="1" customWidth="1"/>
    <col min="6" max="6" width="36.5546875" bestFit="1" customWidth="1"/>
    <col min="7" max="7" width="19.5546875" bestFit="1" customWidth="1"/>
    <col min="8" max="8" width="23.88671875" bestFit="1" customWidth="1"/>
    <col min="9" max="9" width="15" bestFit="1" customWidth="1"/>
    <col min="10" max="10" width="20.109375" bestFit="1" customWidth="1"/>
    <col min="11" max="11" width="20.6640625" bestFit="1" customWidth="1"/>
    <col min="12" max="12" width="11.6640625" style="9" bestFit="1" customWidth="1"/>
    <col min="13" max="13" width="37.88671875" customWidth="1"/>
  </cols>
  <sheetData>
    <row r="1" spans="1:13" x14ac:dyDescent="0.3">
      <c r="A1" s="1" t="s">
        <v>0</v>
      </c>
      <c r="B1" s="6" t="s">
        <v>2</v>
      </c>
      <c r="C1" s="1" t="s">
        <v>1</v>
      </c>
      <c r="D1" s="1" t="s">
        <v>3</v>
      </c>
      <c r="E1" s="3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10</v>
      </c>
      <c r="K1" s="1" t="s">
        <v>9</v>
      </c>
      <c r="L1" s="37" t="s">
        <v>11</v>
      </c>
      <c r="M1" s="1" t="s">
        <v>12</v>
      </c>
    </row>
    <row r="2" spans="1:13" x14ac:dyDescent="0.3">
      <c r="A2" s="23" t="s">
        <v>13</v>
      </c>
      <c r="B2" s="6" t="s">
        <v>513</v>
      </c>
      <c r="C2" s="1" t="s">
        <v>18</v>
      </c>
      <c r="D2" s="1" t="s">
        <v>15</v>
      </c>
      <c r="E2" s="3">
        <v>351562311304269</v>
      </c>
      <c r="F2" s="1"/>
      <c r="G2" s="5">
        <v>45621</v>
      </c>
      <c r="H2" s="4">
        <v>360</v>
      </c>
      <c r="I2" s="4"/>
      <c r="J2" s="5">
        <v>45627</v>
      </c>
      <c r="K2" s="4">
        <v>425</v>
      </c>
      <c r="L2" s="8">
        <v>65</v>
      </c>
      <c r="M2" s="6" t="s">
        <v>262</v>
      </c>
    </row>
    <row r="3" spans="1:13" x14ac:dyDescent="0.3">
      <c r="A3" s="23" t="s">
        <v>16</v>
      </c>
      <c r="B3" s="6" t="s">
        <v>77</v>
      </c>
      <c r="C3" s="1" t="s">
        <v>18</v>
      </c>
      <c r="D3" s="1" t="s">
        <v>22</v>
      </c>
      <c r="E3" s="3">
        <v>350666976567895</v>
      </c>
      <c r="F3" s="1"/>
      <c r="G3" s="5">
        <v>45614</v>
      </c>
      <c r="H3" s="4">
        <v>600</v>
      </c>
      <c r="I3" s="4"/>
      <c r="J3" s="5">
        <v>45627</v>
      </c>
      <c r="K3" s="4">
        <v>700</v>
      </c>
      <c r="L3" s="8">
        <v>100</v>
      </c>
      <c r="M3" s="6" t="s">
        <v>454</v>
      </c>
    </row>
    <row r="4" spans="1:13" x14ac:dyDescent="0.3">
      <c r="A4" s="23" t="s">
        <v>16</v>
      </c>
      <c r="B4" s="6" t="s">
        <v>129</v>
      </c>
      <c r="C4" s="1" t="s">
        <v>65</v>
      </c>
      <c r="D4" s="1" t="s">
        <v>22</v>
      </c>
      <c r="E4" s="3">
        <v>350879907610615</v>
      </c>
      <c r="F4" s="1"/>
      <c r="G4" s="5">
        <v>45618</v>
      </c>
      <c r="H4" s="4">
        <v>530</v>
      </c>
      <c r="I4" s="4"/>
      <c r="J4" s="5">
        <v>45627</v>
      </c>
      <c r="K4" s="4">
        <v>610</v>
      </c>
      <c r="L4" s="8">
        <v>80</v>
      </c>
      <c r="M4" s="6" t="s">
        <v>262</v>
      </c>
    </row>
    <row r="5" spans="1:13" x14ac:dyDescent="0.3">
      <c r="A5" s="23" t="s">
        <v>13</v>
      </c>
      <c r="B5" s="6" t="s">
        <v>104</v>
      </c>
      <c r="C5" s="1" t="s">
        <v>18</v>
      </c>
      <c r="D5" s="1" t="s">
        <v>15</v>
      </c>
      <c r="E5" s="3">
        <v>352850791345038</v>
      </c>
      <c r="F5" s="1"/>
      <c r="G5" s="5">
        <v>45595</v>
      </c>
      <c r="H5" s="4">
        <v>370</v>
      </c>
      <c r="I5" s="4">
        <v>6</v>
      </c>
      <c r="J5" s="5">
        <v>45627</v>
      </c>
      <c r="K5" s="4">
        <v>430</v>
      </c>
      <c r="L5" s="8">
        <v>54</v>
      </c>
      <c r="M5" s="6" t="s">
        <v>274</v>
      </c>
    </row>
    <row r="6" spans="1:13" x14ac:dyDescent="0.3">
      <c r="A6" s="23" t="s">
        <v>16</v>
      </c>
      <c r="B6" s="6" t="s">
        <v>77</v>
      </c>
      <c r="C6" s="1" t="s">
        <v>18</v>
      </c>
      <c r="D6" s="1" t="s">
        <v>15</v>
      </c>
      <c r="E6" s="3">
        <v>351942132616713</v>
      </c>
      <c r="F6" s="1" t="s">
        <v>430</v>
      </c>
      <c r="G6" s="5">
        <v>45606</v>
      </c>
      <c r="H6" s="4">
        <v>400</v>
      </c>
      <c r="I6" s="4">
        <v>39</v>
      </c>
      <c r="J6" s="5">
        <v>45627</v>
      </c>
      <c r="K6" s="4">
        <v>550</v>
      </c>
      <c r="L6" s="8">
        <v>111</v>
      </c>
      <c r="M6" s="6" t="s">
        <v>389</v>
      </c>
    </row>
    <row r="7" spans="1:13" x14ac:dyDescent="0.3">
      <c r="A7" s="23" t="s">
        <v>16</v>
      </c>
      <c r="B7" s="6" t="s">
        <v>149</v>
      </c>
      <c r="C7" s="1" t="s">
        <v>21</v>
      </c>
      <c r="D7" s="1" t="s">
        <v>15</v>
      </c>
      <c r="E7" s="3">
        <v>353993109599679</v>
      </c>
      <c r="F7" s="1" t="s">
        <v>203</v>
      </c>
      <c r="G7" s="5">
        <v>45620</v>
      </c>
      <c r="H7" s="4">
        <v>130</v>
      </c>
      <c r="I7" s="4"/>
      <c r="J7" s="5">
        <v>45627</v>
      </c>
      <c r="K7" s="4">
        <v>200</v>
      </c>
      <c r="L7" s="8">
        <v>70</v>
      </c>
      <c r="M7" s="6" t="s">
        <v>504</v>
      </c>
    </row>
    <row r="8" spans="1:13" x14ac:dyDescent="0.3">
      <c r="A8" s="23" t="s">
        <v>16</v>
      </c>
      <c r="B8" s="6" t="s">
        <v>240</v>
      </c>
      <c r="C8" s="1" t="s">
        <v>107</v>
      </c>
      <c r="D8" s="1" t="s">
        <v>15</v>
      </c>
      <c r="E8" s="3">
        <v>353568251093422</v>
      </c>
      <c r="F8" s="1" t="s">
        <v>531</v>
      </c>
      <c r="G8" s="5">
        <v>45624</v>
      </c>
      <c r="H8" s="4">
        <v>180</v>
      </c>
      <c r="I8" s="4"/>
      <c r="J8" s="5">
        <v>45627</v>
      </c>
      <c r="K8" s="4">
        <v>230</v>
      </c>
      <c r="L8" s="8">
        <v>50</v>
      </c>
      <c r="M8" s="6" t="s">
        <v>532</v>
      </c>
    </row>
    <row r="9" spans="1:13" x14ac:dyDescent="0.3">
      <c r="A9" s="23" t="s">
        <v>16</v>
      </c>
      <c r="B9" s="6" t="s">
        <v>534</v>
      </c>
      <c r="C9" s="1" t="s">
        <v>65</v>
      </c>
      <c r="D9" s="1" t="s">
        <v>22</v>
      </c>
      <c r="E9" s="3">
        <v>351031654080837</v>
      </c>
      <c r="F9" s="1" t="s">
        <v>27</v>
      </c>
      <c r="G9" s="5">
        <v>45624</v>
      </c>
      <c r="H9" s="4">
        <v>615</v>
      </c>
      <c r="I9" s="4"/>
      <c r="J9" s="5">
        <v>45627</v>
      </c>
      <c r="K9" s="4">
        <v>665</v>
      </c>
      <c r="L9" s="8">
        <v>50</v>
      </c>
      <c r="M9" s="6" t="s">
        <v>535</v>
      </c>
    </row>
    <row r="10" spans="1:13" x14ac:dyDescent="0.3">
      <c r="A10" s="23" t="s">
        <v>13</v>
      </c>
      <c r="B10" s="6" t="s">
        <v>57</v>
      </c>
      <c r="C10" s="1" t="s">
        <v>295</v>
      </c>
      <c r="D10" s="1" t="s">
        <v>22</v>
      </c>
      <c r="E10" s="3">
        <v>350247871915859</v>
      </c>
      <c r="F10" s="1"/>
      <c r="G10" s="5">
        <v>45620</v>
      </c>
      <c r="H10" s="4">
        <v>160</v>
      </c>
      <c r="I10" s="4"/>
      <c r="J10" s="5">
        <v>45628</v>
      </c>
      <c r="K10" s="4">
        <v>230</v>
      </c>
      <c r="L10" s="8">
        <v>70</v>
      </c>
      <c r="M10" s="6" t="s">
        <v>501</v>
      </c>
    </row>
    <row r="11" spans="1:13" x14ac:dyDescent="0.3">
      <c r="A11" s="23" t="s">
        <v>16</v>
      </c>
      <c r="B11" s="6" t="s">
        <v>409</v>
      </c>
      <c r="C11" s="1" t="s">
        <v>21</v>
      </c>
      <c r="D11" s="1" t="s">
        <v>22</v>
      </c>
      <c r="E11" s="3">
        <v>355728181573913</v>
      </c>
      <c r="F11" s="1"/>
      <c r="G11" s="5">
        <v>45627</v>
      </c>
      <c r="H11" s="4">
        <v>550</v>
      </c>
      <c r="I11" s="4"/>
      <c r="J11" s="5">
        <v>45628</v>
      </c>
      <c r="K11" s="4">
        <v>650</v>
      </c>
      <c r="L11" s="8">
        <v>100</v>
      </c>
      <c r="M11" s="6" t="s">
        <v>558</v>
      </c>
    </row>
    <row r="12" spans="1:13" x14ac:dyDescent="0.3">
      <c r="A12" s="23" t="s">
        <v>13</v>
      </c>
      <c r="B12" s="6" t="s">
        <v>543</v>
      </c>
      <c r="C12" s="1" t="s">
        <v>21</v>
      </c>
      <c r="D12" s="1" t="s">
        <v>15</v>
      </c>
      <c r="E12" s="3">
        <v>351919552516045</v>
      </c>
      <c r="F12" s="1"/>
      <c r="G12" s="5">
        <v>45625</v>
      </c>
      <c r="H12" s="4">
        <v>47</v>
      </c>
      <c r="I12" s="4"/>
      <c r="J12" s="5">
        <v>45629</v>
      </c>
      <c r="K12" s="4">
        <v>90</v>
      </c>
      <c r="L12" s="8">
        <v>43</v>
      </c>
      <c r="M12" s="6" t="s">
        <v>544</v>
      </c>
    </row>
    <row r="13" spans="1:13" x14ac:dyDescent="0.3">
      <c r="A13" s="23" t="s">
        <v>16</v>
      </c>
      <c r="B13" s="6" t="s">
        <v>88</v>
      </c>
      <c r="C13" s="1" t="s">
        <v>18</v>
      </c>
      <c r="D13" s="1" t="s">
        <v>15</v>
      </c>
      <c r="E13" s="3">
        <v>350920431198113</v>
      </c>
      <c r="F13" s="1"/>
      <c r="G13" s="5">
        <v>45606</v>
      </c>
      <c r="H13" s="4">
        <v>370</v>
      </c>
      <c r="I13" s="4"/>
      <c r="J13" s="5">
        <v>45629</v>
      </c>
      <c r="K13" s="4">
        <v>420</v>
      </c>
      <c r="L13" s="8">
        <v>50</v>
      </c>
      <c r="M13" s="6" t="s">
        <v>398</v>
      </c>
    </row>
    <row r="14" spans="1:13" x14ac:dyDescent="0.3">
      <c r="A14" s="23" t="s">
        <v>16</v>
      </c>
      <c r="B14" s="6" t="s">
        <v>518</v>
      </c>
      <c r="C14" s="1" t="s">
        <v>26</v>
      </c>
      <c r="D14" s="1" t="s">
        <v>15</v>
      </c>
      <c r="E14" s="3">
        <v>358181354649127</v>
      </c>
      <c r="F14" s="1"/>
      <c r="G14" s="5">
        <v>45622</v>
      </c>
      <c r="H14" s="4">
        <v>800</v>
      </c>
      <c r="I14" s="4"/>
      <c r="J14" s="5">
        <v>45629</v>
      </c>
      <c r="K14" s="4">
        <v>900</v>
      </c>
      <c r="L14" s="8">
        <v>100</v>
      </c>
      <c r="M14" s="6" t="s">
        <v>519</v>
      </c>
    </row>
    <row r="15" spans="1:13" x14ac:dyDescent="0.3">
      <c r="A15" s="23" t="s">
        <v>16</v>
      </c>
      <c r="B15" s="6" t="s">
        <v>312</v>
      </c>
      <c r="C15" s="1" t="s">
        <v>65</v>
      </c>
      <c r="D15" s="1" t="s">
        <v>22</v>
      </c>
      <c r="E15" s="3">
        <v>352362881525719</v>
      </c>
      <c r="F15" s="1"/>
      <c r="G15" s="5">
        <v>45620</v>
      </c>
      <c r="H15" s="4">
        <v>520</v>
      </c>
      <c r="I15" s="4"/>
      <c r="J15" s="5">
        <v>45629</v>
      </c>
      <c r="K15" s="4">
        <v>600</v>
      </c>
      <c r="L15" s="8">
        <v>80</v>
      </c>
      <c r="M15" s="6" t="s">
        <v>505</v>
      </c>
    </row>
    <row r="16" spans="1:13" x14ac:dyDescent="0.3">
      <c r="A16" s="23" t="s">
        <v>16</v>
      </c>
      <c r="B16" s="6" t="s">
        <v>520</v>
      </c>
      <c r="C16" s="1" t="s">
        <v>21</v>
      </c>
      <c r="D16" s="1" t="s">
        <v>22</v>
      </c>
      <c r="E16" s="3">
        <v>350678890856882</v>
      </c>
      <c r="F16" s="1"/>
      <c r="G16" s="5">
        <v>45622</v>
      </c>
      <c r="H16" s="4">
        <v>39</v>
      </c>
      <c r="I16" s="4"/>
      <c r="J16" s="5">
        <v>45630</v>
      </c>
      <c r="K16" s="4">
        <v>70</v>
      </c>
      <c r="L16" s="8">
        <v>31</v>
      </c>
      <c r="M16" s="6" t="s">
        <v>521</v>
      </c>
    </row>
    <row r="17" spans="1:13" x14ac:dyDescent="0.3">
      <c r="A17" s="23" t="s">
        <v>16</v>
      </c>
      <c r="B17" s="6" t="s">
        <v>541</v>
      </c>
      <c r="C17" s="1" t="s">
        <v>97</v>
      </c>
      <c r="D17" s="1" t="s">
        <v>22</v>
      </c>
      <c r="E17" s="3">
        <v>353888103254968</v>
      </c>
      <c r="F17" s="1" t="s">
        <v>98</v>
      </c>
      <c r="G17" s="5">
        <v>45627</v>
      </c>
      <c r="H17" s="4">
        <v>210</v>
      </c>
      <c r="I17" s="4">
        <v>28</v>
      </c>
      <c r="J17" s="5">
        <v>45630</v>
      </c>
      <c r="K17" s="4">
        <v>330</v>
      </c>
      <c r="L17" s="8">
        <v>92</v>
      </c>
      <c r="M17" s="6" t="s">
        <v>559</v>
      </c>
    </row>
    <row r="18" spans="1:13" x14ac:dyDescent="0.3">
      <c r="A18" s="23" t="s">
        <v>16</v>
      </c>
      <c r="B18" s="6" t="s">
        <v>129</v>
      </c>
      <c r="C18" s="1" t="s">
        <v>65</v>
      </c>
      <c r="D18" s="1" t="s">
        <v>15</v>
      </c>
      <c r="E18" s="3">
        <v>350750720237680</v>
      </c>
      <c r="F18" s="1"/>
      <c r="G18" s="5">
        <v>45619</v>
      </c>
      <c r="H18" s="4">
        <v>500</v>
      </c>
      <c r="I18" s="4"/>
      <c r="J18" s="5">
        <v>45630</v>
      </c>
      <c r="K18" s="4">
        <v>600</v>
      </c>
      <c r="L18" s="8">
        <v>100</v>
      </c>
      <c r="M18" s="6" t="s">
        <v>498</v>
      </c>
    </row>
    <row r="19" spans="1:13" x14ac:dyDescent="0.3">
      <c r="A19" s="23" t="s">
        <v>13</v>
      </c>
      <c r="B19" s="6" t="s">
        <v>513</v>
      </c>
      <c r="C19" s="1"/>
      <c r="D19" s="1" t="s">
        <v>15</v>
      </c>
      <c r="E19" s="3">
        <v>351562312164910</v>
      </c>
      <c r="F19" s="1"/>
      <c r="G19" s="5">
        <v>45630</v>
      </c>
      <c r="H19" s="4">
        <v>415</v>
      </c>
      <c r="I19" s="4"/>
      <c r="J19" s="5">
        <v>45630</v>
      </c>
      <c r="K19" s="4">
        <v>440</v>
      </c>
      <c r="L19" s="8">
        <v>25</v>
      </c>
      <c r="M19" s="6" t="s">
        <v>19</v>
      </c>
    </row>
    <row r="20" spans="1:13" x14ac:dyDescent="0.3">
      <c r="A20" s="23" t="s">
        <v>13</v>
      </c>
      <c r="B20" s="6" t="s">
        <v>565</v>
      </c>
      <c r="C20" s="1" t="s">
        <v>564</v>
      </c>
      <c r="D20" s="1" t="s">
        <v>15</v>
      </c>
      <c r="E20" s="3">
        <v>352730631232226</v>
      </c>
      <c r="F20" s="1"/>
      <c r="G20" s="5">
        <v>45628</v>
      </c>
      <c r="H20" s="4">
        <v>400</v>
      </c>
      <c r="I20" s="4">
        <v>11</v>
      </c>
      <c r="J20" s="5">
        <v>45630</v>
      </c>
      <c r="K20" s="4">
        <v>468</v>
      </c>
      <c r="L20" s="8">
        <v>57</v>
      </c>
      <c r="M20" s="6" t="s">
        <v>147</v>
      </c>
    </row>
    <row r="21" spans="1:13" x14ac:dyDescent="0.3">
      <c r="A21" s="23" t="s">
        <v>16</v>
      </c>
      <c r="B21" s="6" t="s">
        <v>483</v>
      </c>
      <c r="C21" s="1" t="s">
        <v>97</v>
      </c>
      <c r="D21" s="1" t="s">
        <v>15</v>
      </c>
      <c r="E21" s="3">
        <v>353912101891918</v>
      </c>
      <c r="F21" s="1"/>
      <c r="G21" s="5">
        <v>45617</v>
      </c>
      <c r="H21" s="4">
        <v>255</v>
      </c>
      <c r="I21" s="4"/>
      <c r="J21" s="5">
        <v>45630</v>
      </c>
      <c r="K21" s="4">
        <v>300</v>
      </c>
      <c r="L21" s="8">
        <v>45</v>
      </c>
      <c r="M21" s="6" t="s">
        <v>484</v>
      </c>
    </row>
    <row r="22" spans="1:13" x14ac:dyDescent="0.3">
      <c r="A22" s="23" t="s">
        <v>16</v>
      </c>
      <c r="B22" s="6" t="s">
        <v>149</v>
      </c>
      <c r="C22" s="1" t="s">
        <v>18</v>
      </c>
      <c r="D22" s="1" t="s">
        <v>15</v>
      </c>
      <c r="E22" s="3">
        <v>352918115650621</v>
      </c>
      <c r="F22" s="1"/>
      <c r="G22" s="5">
        <v>45627</v>
      </c>
      <c r="H22" s="4">
        <v>200</v>
      </c>
      <c r="I22" s="4">
        <v>12</v>
      </c>
      <c r="J22" s="5">
        <v>45630</v>
      </c>
      <c r="K22" s="4">
        <v>265</v>
      </c>
      <c r="L22" s="8">
        <v>53</v>
      </c>
      <c r="M22" s="6" t="s">
        <v>555</v>
      </c>
    </row>
    <row r="23" spans="1:13" x14ac:dyDescent="0.3">
      <c r="A23" s="23" t="s">
        <v>16</v>
      </c>
      <c r="B23" s="6" t="s">
        <v>129</v>
      </c>
      <c r="C23" s="1" t="s">
        <v>45</v>
      </c>
      <c r="D23" s="1" t="s">
        <v>15</v>
      </c>
      <c r="E23" s="3">
        <v>357782727647150</v>
      </c>
      <c r="F23" s="1" t="s">
        <v>570</v>
      </c>
      <c r="G23" s="5">
        <v>45628</v>
      </c>
      <c r="H23" s="4">
        <v>230</v>
      </c>
      <c r="I23" s="4">
        <v>11</v>
      </c>
      <c r="J23" s="5">
        <v>45630</v>
      </c>
      <c r="K23" s="4">
        <v>290</v>
      </c>
      <c r="L23" s="8">
        <v>49</v>
      </c>
      <c r="M23" s="6" t="s">
        <v>147</v>
      </c>
    </row>
    <row r="24" spans="1:13" x14ac:dyDescent="0.3">
      <c r="A24" s="23" t="s">
        <v>16</v>
      </c>
      <c r="B24" s="6" t="s">
        <v>32</v>
      </c>
      <c r="C24" s="1" t="s">
        <v>65</v>
      </c>
      <c r="D24" s="1" t="s">
        <v>22</v>
      </c>
      <c r="E24" s="3">
        <v>351080476761637</v>
      </c>
      <c r="F24" s="1"/>
      <c r="G24" s="5">
        <v>45628</v>
      </c>
      <c r="H24" s="4">
        <v>621</v>
      </c>
      <c r="I24" s="4"/>
      <c r="J24" s="5">
        <v>45630</v>
      </c>
      <c r="K24" s="4">
        <v>750</v>
      </c>
      <c r="L24" s="8">
        <v>129</v>
      </c>
      <c r="M24" s="6" t="s">
        <v>147</v>
      </c>
    </row>
    <row r="25" spans="1:13" x14ac:dyDescent="0.3">
      <c r="A25" s="23" t="s">
        <v>13</v>
      </c>
      <c r="B25" s="6" t="s">
        <v>561</v>
      </c>
      <c r="C25" s="1" t="s">
        <v>21</v>
      </c>
      <c r="D25" s="1" t="s">
        <v>15</v>
      </c>
      <c r="E25" s="3">
        <v>355375101957345</v>
      </c>
      <c r="F25" s="1" t="s">
        <v>556</v>
      </c>
      <c r="G25" s="5">
        <v>45627</v>
      </c>
      <c r="H25" s="4">
        <v>117</v>
      </c>
      <c r="I25" s="4"/>
      <c r="J25" s="5">
        <v>45631</v>
      </c>
      <c r="K25" s="4">
        <v>182</v>
      </c>
      <c r="L25" s="8">
        <v>65</v>
      </c>
      <c r="M25" s="6" t="s">
        <v>562</v>
      </c>
    </row>
    <row r="26" spans="1:13" x14ac:dyDescent="0.3">
      <c r="A26" s="23" t="s">
        <v>13</v>
      </c>
      <c r="B26" s="6" t="s">
        <v>513</v>
      </c>
      <c r="C26" s="6"/>
      <c r="D26" s="1" t="s">
        <v>15</v>
      </c>
      <c r="E26" s="3">
        <v>352297200356471</v>
      </c>
      <c r="F26" s="1"/>
      <c r="G26" s="5">
        <v>45630</v>
      </c>
      <c r="H26" s="4">
        <v>415</v>
      </c>
      <c r="I26" s="4">
        <v>11</v>
      </c>
      <c r="J26" s="5">
        <v>45631</v>
      </c>
      <c r="K26" s="4">
        <v>460</v>
      </c>
      <c r="L26" s="8">
        <v>34</v>
      </c>
      <c r="M26" s="6" t="s">
        <v>19</v>
      </c>
    </row>
    <row r="27" spans="1:13" x14ac:dyDescent="0.3">
      <c r="A27" s="23" t="s">
        <v>13</v>
      </c>
      <c r="B27" s="6" t="s">
        <v>513</v>
      </c>
      <c r="C27" s="1" t="s">
        <v>21</v>
      </c>
      <c r="D27" s="1" t="s">
        <v>22</v>
      </c>
      <c r="E27" s="3">
        <v>351338911832649</v>
      </c>
      <c r="F27" s="1"/>
      <c r="G27" s="5">
        <v>45631</v>
      </c>
      <c r="H27" s="4">
        <v>400</v>
      </c>
      <c r="I27" s="4"/>
      <c r="J27" s="5">
        <v>45631</v>
      </c>
      <c r="K27" s="4">
        <v>475</v>
      </c>
      <c r="L27" s="8">
        <v>75</v>
      </c>
      <c r="M27" s="6" t="s">
        <v>549</v>
      </c>
    </row>
    <row r="28" spans="1:13" x14ac:dyDescent="0.3">
      <c r="A28" s="23" t="s">
        <v>142</v>
      </c>
      <c r="B28" s="6" t="s">
        <v>166</v>
      </c>
      <c r="C28" s="1" t="s">
        <v>21</v>
      </c>
      <c r="D28" s="1" t="s">
        <v>22</v>
      </c>
      <c r="E28" s="3">
        <v>868768040473376</v>
      </c>
      <c r="F28" s="1" t="s">
        <v>43</v>
      </c>
      <c r="G28" s="5"/>
      <c r="H28" s="4">
        <v>100</v>
      </c>
      <c r="I28" s="4"/>
      <c r="J28" s="5">
        <v>45631</v>
      </c>
      <c r="K28" s="4">
        <v>130</v>
      </c>
      <c r="L28" s="8">
        <v>30</v>
      </c>
      <c r="M28" s="6"/>
    </row>
    <row r="29" spans="1:13" x14ac:dyDescent="0.3">
      <c r="A29" s="23" t="s">
        <v>16</v>
      </c>
      <c r="B29" s="6" t="s">
        <v>32</v>
      </c>
      <c r="C29" s="1" t="s">
        <v>21</v>
      </c>
      <c r="D29" s="1" t="s">
        <v>22</v>
      </c>
      <c r="E29" s="3">
        <v>355361720181673</v>
      </c>
      <c r="F29" s="1"/>
      <c r="G29" s="5">
        <v>45627</v>
      </c>
      <c r="H29" s="4">
        <v>600</v>
      </c>
      <c r="I29" s="4"/>
      <c r="J29" s="5">
        <v>45631</v>
      </c>
      <c r="K29" s="4">
        <v>700</v>
      </c>
      <c r="L29" s="8">
        <v>100</v>
      </c>
      <c r="M29" s="6" t="s">
        <v>557</v>
      </c>
    </row>
    <row r="30" spans="1:13" x14ac:dyDescent="0.3">
      <c r="A30" s="23" t="s">
        <v>16</v>
      </c>
      <c r="B30" s="6" t="s">
        <v>17</v>
      </c>
      <c r="C30" s="1" t="s">
        <v>97</v>
      </c>
      <c r="D30" s="1" t="s">
        <v>22</v>
      </c>
      <c r="E30" s="3">
        <v>353835104998507</v>
      </c>
      <c r="F30" s="1" t="s">
        <v>510</v>
      </c>
      <c r="G30" s="5">
        <v>45621</v>
      </c>
      <c r="H30" s="4">
        <v>200</v>
      </c>
      <c r="I30" s="4"/>
      <c r="J30" s="5">
        <v>45632</v>
      </c>
      <c r="K30" s="4">
        <v>257</v>
      </c>
      <c r="L30" s="8">
        <v>57</v>
      </c>
      <c r="M30" s="6" t="s">
        <v>511</v>
      </c>
    </row>
    <row r="31" spans="1:13" x14ac:dyDescent="0.3">
      <c r="A31" s="23" t="s">
        <v>13</v>
      </c>
      <c r="B31" s="6" t="s">
        <v>539</v>
      </c>
      <c r="C31" s="1" t="s">
        <v>21</v>
      </c>
      <c r="D31" s="1" t="s">
        <v>22</v>
      </c>
      <c r="E31" s="3">
        <v>351161647977029</v>
      </c>
      <c r="F31" s="1"/>
      <c r="G31" s="5">
        <v>45625</v>
      </c>
      <c r="H31" s="4">
        <v>63</v>
      </c>
      <c r="I31" s="4"/>
      <c r="J31" s="5">
        <v>45632</v>
      </c>
      <c r="K31" s="4">
        <v>93</v>
      </c>
      <c r="L31" s="8">
        <v>30</v>
      </c>
      <c r="M31" s="6" t="s">
        <v>540</v>
      </c>
    </row>
    <row r="32" spans="1:13" x14ac:dyDescent="0.3">
      <c r="A32" s="23" t="s">
        <v>16</v>
      </c>
      <c r="B32" s="6" t="s">
        <v>132</v>
      </c>
      <c r="C32" s="1" t="s">
        <v>21</v>
      </c>
      <c r="D32" s="1" t="s">
        <v>22</v>
      </c>
      <c r="E32" s="3">
        <v>352513421680998</v>
      </c>
      <c r="F32" s="1" t="s">
        <v>430</v>
      </c>
      <c r="G32" s="5">
        <v>45610</v>
      </c>
      <c r="H32" s="4">
        <v>160</v>
      </c>
      <c r="I32" s="4"/>
      <c r="J32" s="5">
        <v>45632</v>
      </c>
      <c r="K32" s="4">
        <v>280</v>
      </c>
      <c r="L32" s="8">
        <v>120</v>
      </c>
      <c r="M32" s="6" t="s">
        <v>431</v>
      </c>
    </row>
    <row r="33" spans="1:13" x14ac:dyDescent="0.3">
      <c r="A33" s="23" t="s">
        <v>16</v>
      </c>
      <c r="B33" s="6" t="s">
        <v>452</v>
      </c>
      <c r="C33" s="1" t="s">
        <v>18</v>
      </c>
      <c r="D33" s="1" t="s">
        <v>15</v>
      </c>
      <c r="E33" s="3">
        <v>352929115564035</v>
      </c>
      <c r="F33" s="1" t="s">
        <v>343</v>
      </c>
      <c r="G33" s="5">
        <v>45631</v>
      </c>
      <c r="H33" s="4">
        <v>130</v>
      </c>
      <c r="I33" s="4"/>
      <c r="J33" s="5">
        <v>45632</v>
      </c>
      <c r="K33" s="4">
        <v>175</v>
      </c>
      <c r="L33" s="8">
        <v>45</v>
      </c>
      <c r="M33" s="6" t="s">
        <v>147</v>
      </c>
    </row>
    <row r="34" spans="1:13" x14ac:dyDescent="0.3">
      <c r="A34" s="23" t="s">
        <v>16</v>
      </c>
      <c r="B34" s="6" t="s">
        <v>585</v>
      </c>
      <c r="C34" s="1" t="s">
        <v>21</v>
      </c>
      <c r="D34" s="1" t="s">
        <v>15</v>
      </c>
      <c r="E34" s="3">
        <v>356692110538794</v>
      </c>
      <c r="F34" s="1" t="s">
        <v>586</v>
      </c>
      <c r="G34" s="5">
        <v>45631</v>
      </c>
      <c r="H34" s="4">
        <v>230</v>
      </c>
      <c r="I34" s="4"/>
      <c r="J34" s="5">
        <v>45632</v>
      </c>
      <c r="K34" s="4">
        <v>285</v>
      </c>
      <c r="L34" s="8">
        <v>55</v>
      </c>
      <c r="M34" s="6" t="s">
        <v>587</v>
      </c>
    </row>
    <row r="35" spans="1:13" x14ac:dyDescent="0.3">
      <c r="A35" s="23" t="s">
        <v>16</v>
      </c>
      <c r="B35" s="6" t="s">
        <v>132</v>
      </c>
      <c r="C35" s="1" t="s">
        <v>18</v>
      </c>
      <c r="D35" s="1" t="s">
        <v>22</v>
      </c>
      <c r="E35" s="3">
        <v>350725915634495</v>
      </c>
      <c r="F35" s="1"/>
      <c r="G35" s="5">
        <v>45623</v>
      </c>
      <c r="H35" s="4">
        <v>220</v>
      </c>
      <c r="I35" s="4"/>
      <c r="J35" s="5">
        <v>45633</v>
      </c>
      <c r="K35" s="4">
        <v>270</v>
      </c>
      <c r="L35" s="8">
        <v>50</v>
      </c>
      <c r="M35" s="6" t="s">
        <v>526</v>
      </c>
    </row>
    <row r="36" spans="1:13" x14ac:dyDescent="0.3">
      <c r="A36" s="23" t="s">
        <v>16</v>
      </c>
      <c r="B36" s="6" t="s">
        <v>39</v>
      </c>
      <c r="C36" s="1" t="s">
        <v>35</v>
      </c>
      <c r="D36" s="1" t="s">
        <v>22</v>
      </c>
      <c r="E36" s="3">
        <v>352700608550165</v>
      </c>
      <c r="F36" s="1"/>
      <c r="G36" s="5">
        <v>45633</v>
      </c>
      <c r="H36" s="4">
        <v>555</v>
      </c>
      <c r="I36" s="4"/>
      <c r="J36" s="5">
        <v>45633</v>
      </c>
      <c r="K36" s="4">
        <v>660</v>
      </c>
      <c r="L36" s="8">
        <v>105</v>
      </c>
      <c r="M36" s="6" t="s">
        <v>594</v>
      </c>
    </row>
    <row r="37" spans="1:13" x14ac:dyDescent="0.3">
      <c r="A37" s="23" t="s">
        <v>16</v>
      </c>
      <c r="B37" s="6" t="s">
        <v>92</v>
      </c>
      <c r="C37" s="1" t="s">
        <v>65</v>
      </c>
      <c r="D37" s="1" t="s">
        <v>15</v>
      </c>
      <c r="E37" s="3">
        <v>356697115612452</v>
      </c>
      <c r="F37" s="1"/>
      <c r="G37" s="5">
        <v>45631</v>
      </c>
      <c r="H37" s="4">
        <v>280</v>
      </c>
      <c r="I37" s="4"/>
      <c r="J37" s="5">
        <v>45633</v>
      </c>
      <c r="K37" s="4">
        <v>348</v>
      </c>
      <c r="L37" s="8">
        <v>68</v>
      </c>
      <c r="M37" s="6" t="s">
        <v>591</v>
      </c>
    </row>
    <row r="38" spans="1:13" x14ac:dyDescent="0.3">
      <c r="A38" s="23" t="s">
        <v>13</v>
      </c>
      <c r="B38" s="6" t="s">
        <v>502</v>
      </c>
      <c r="C38" s="1" t="s">
        <v>21</v>
      </c>
      <c r="D38" s="1" t="s">
        <v>22</v>
      </c>
      <c r="E38" s="3">
        <v>356663768173796</v>
      </c>
      <c r="F38" s="1"/>
      <c r="G38" s="5">
        <v>45621</v>
      </c>
      <c r="H38" s="4">
        <v>500</v>
      </c>
      <c r="I38" s="4"/>
      <c r="J38" s="5">
        <v>45633</v>
      </c>
      <c r="K38" s="4">
        <v>610</v>
      </c>
      <c r="L38" s="8">
        <v>110</v>
      </c>
      <c r="M38" s="6" t="s">
        <v>508</v>
      </c>
    </row>
    <row r="39" spans="1:13" x14ac:dyDescent="0.3">
      <c r="A39" s="23" t="s">
        <v>16</v>
      </c>
      <c r="B39" s="6" t="s">
        <v>149</v>
      </c>
      <c r="C39" s="1" t="s">
        <v>18</v>
      </c>
      <c r="D39" s="1" t="s">
        <v>22</v>
      </c>
      <c r="E39" s="3">
        <v>352907115115222</v>
      </c>
      <c r="F39" s="1"/>
      <c r="G39" s="5">
        <v>45629</v>
      </c>
      <c r="H39" s="4">
        <v>200</v>
      </c>
      <c r="I39" s="4"/>
      <c r="J39" s="5">
        <v>45633</v>
      </c>
      <c r="K39" s="4">
        <v>230</v>
      </c>
      <c r="L39" s="8">
        <v>30</v>
      </c>
      <c r="M39" s="6" t="s">
        <v>578</v>
      </c>
    </row>
    <row r="40" spans="1:13" x14ac:dyDescent="0.3">
      <c r="A40" s="23" t="s">
        <v>16</v>
      </c>
      <c r="B40" s="6" t="s">
        <v>448</v>
      </c>
      <c r="C40" s="1" t="s">
        <v>21</v>
      </c>
      <c r="D40" s="1" t="s">
        <v>15</v>
      </c>
      <c r="E40" s="3">
        <v>356692110709494</v>
      </c>
      <c r="F40" s="1"/>
      <c r="G40" s="5">
        <v>45627</v>
      </c>
      <c r="H40" s="4">
        <v>300</v>
      </c>
      <c r="I40" s="4"/>
      <c r="J40" s="5">
        <v>45634</v>
      </c>
      <c r="K40" s="4">
        <v>374</v>
      </c>
      <c r="L40" s="8">
        <v>74</v>
      </c>
      <c r="M40" s="6" t="s">
        <v>559</v>
      </c>
    </row>
    <row r="41" spans="1:13" x14ac:dyDescent="0.3">
      <c r="A41" s="23" t="s">
        <v>16</v>
      </c>
      <c r="B41" s="6" t="s">
        <v>580</v>
      </c>
      <c r="C41" s="1" t="s">
        <v>21</v>
      </c>
      <c r="D41" s="1" t="s">
        <v>15</v>
      </c>
      <c r="E41" s="3">
        <v>355316089223300</v>
      </c>
      <c r="F41" s="1"/>
      <c r="G41" s="5">
        <v>45630</v>
      </c>
      <c r="H41" s="4">
        <v>40</v>
      </c>
      <c r="I41" s="4"/>
      <c r="J41" s="5">
        <v>45634</v>
      </c>
      <c r="K41" s="4">
        <v>70</v>
      </c>
      <c r="L41" s="8">
        <v>30</v>
      </c>
      <c r="M41" s="6" t="s">
        <v>581</v>
      </c>
    </row>
    <row r="42" spans="1:13" x14ac:dyDescent="0.3">
      <c r="A42" s="23" t="s">
        <v>16</v>
      </c>
      <c r="B42" s="6" t="s">
        <v>598</v>
      </c>
      <c r="C42" s="1" t="s">
        <v>89</v>
      </c>
      <c r="D42" s="1" t="s">
        <v>15</v>
      </c>
      <c r="E42" s="3">
        <v>359476080854424</v>
      </c>
      <c r="F42" s="1"/>
      <c r="G42" s="5">
        <v>45633</v>
      </c>
      <c r="H42" s="4">
        <v>59</v>
      </c>
      <c r="I42" s="4"/>
      <c r="J42" s="5">
        <v>45634</v>
      </c>
      <c r="K42" s="4">
        <v>93</v>
      </c>
      <c r="L42" s="8">
        <v>34</v>
      </c>
      <c r="M42" s="6" t="s">
        <v>599</v>
      </c>
    </row>
    <row r="43" spans="1:13" x14ac:dyDescent="0.3">
      <c r="A43" s="23" t="s">
        <v>13</v>
      </c>
      <c r="B43" s="6" t="s">
        <v>513</v>
      </c>
      <c r="C43" s="1" t="s">
        <v>21</v>
      </c>
      <c r="D43" s="1" t="s">
        <v>15</v>
      </c>
      <c r="E43" s="3">
        <v>351562313750881</v>
      </c>
      <c r="F43" s="1"/>
      <c r="G43" s="5">
        <v>45633</v>
      </c>
      <c r="H43" s="4">
        <v>375</v>
      </c>
      <c r="I43" s="4"/>
      <c r="J43" s="5">
        <v>45634</v>
      </c>
      <c r="K43" s="4">
        <v>460</v>
      </c>
      <c r="L43" s="8">
        <v>85</v>
      </c>
      <c r="M43" s="6" t="s">
        <v>593</v>
      </c>
    </row>
    <row r="44" spans="1:13" x14ac:dyDescent="0.3">
      <c r="A44" s="23" t="s">
        <v>13</v>
      </c>
      <c r="B44" s="6" t="s">
        <v>567</v>
      </c>
      <c r="C44" s="1" t="s">
        <v>21</v>
      </c>
      <c r="D44" s="1" t="s">
        <v>15</v>
      </c>
      <c r="E44" s="3">
        <v>353510090291833</v>
      </c>
      <c r="F44" s="1"/>
      <c r="G44" s="5">
        <v>45628</v>
      </c>
      <c r="H44" s="4">
        <v>90</v>
      </c>
      <c r="I44" s="4">
        <v>11</v>
      </c>
      <c r="J44" s="5">
        <v>45634</v>
      </c>
      <c r="K44" s="4">
        <v>160</v>
      </c>
      <c r="L44" s="8">
        <v>59</v>
      </c>
      <c r="M44" s="6" t="s">
        <v>147</v>
      </c>
    </row>
    <row r="45" spans="1:13" x14ac:dyDescent="0.3">
      <c r="A45" s="23" t="s">
        <v>16</v>
      </c>
      <c r="B45" s="6" t="s">
        <v>149</v>
      </c>
      <c r="C45" s="1" t="s">
        <v>35</v>
      </c>
      <c r="D45" s="1" t="s">
        <v>15</v>
      </c>
      <c r="E45" s="3">
        <v>356800111805779</v>
      </c>
      <c r="F45" s="1"/>
      <c r="G45" s="5">
        <v>45631</v>
      </c>
      <c r="H45" s="4">
        <v>210</v>
      </c>
      <c r="I45" s="4"/>
      <c r="J45" s="5">
        <v>45634</v>
      </c>
      <c r="K45" s="4">
        <v>230</v>
      </c>
      <c r="L45" s="8">
        <v>20</v>
      </c>
      <c r="M45" s="6" t="s">
        <v>232</v>
      </c>
    </row>
    <row r="46" spans="1:13" x14ac:dyDescent="0.3">
      <c r="A46" s="23" t="s">
        <v>13</v>
      </c>
      <c r="B46" s="6" t="s">
        <v>584</v>
      </c>
      <c r="C46" s="1" t="s">
        <v>187</v>
      </c>
      <c r="D46" s="1" t="s">
        <v>22</v>
      </c>
      <c r="E46" s="3">
        <v>351910571378202</v>
      </c>
      <c r="F46" s="1"/>
      <c r="G46" s="5">
        <v>45630</v>
      </c>
      <c r="H46" s="4">
        <v>47</v>
      </c>
      <c r="I46" s="4"/>
      <c r="J46" s="5">
        <v>45634</v>
      </c>
      <c r="K46" s="4">
        <v>90</v>
      </c>
      <c r="L46" s="8">
        <v>43</v>
      </c>
      <c r="M46" s="6"/>
    </row>
    <row r="47" spans="1:13" x14ac:dyDescent="0.3">
      <c r="A47" s="23" t="s">
        <v>16</v>
      </c>
      <c r="B47" s="6" t="s">
        <v>129</v>
      </c>
      <c r="C47" s="1" t="s">
        <v>65</v>
      </c>
      <c r="D47" s="1" t="s">
        <v>22</v>
      </c>
      <c r="E47" s="3">
        <v>352060427509557</v>
      </c>
      <c r="F47" s="1"/>
      <c r="G47" s="5">
        <v>45601</v>
      </c>
      <c r="H47" s="4">
        <v>530</v>
      </c>
      <c r="I47" s="4"/>
      <c r="J47" s="5">
        <v>45635</v>
      </c>
      <c r="K47" s="4">
        <v>580</v>
      </c>
      <c r="L47" s="8">
        <v>50</v>
      </c>
      <c r="M47" s="6" t="s">
        <v>351</v>
      </c>
    </row>
    <row r="48" spans="1:13" x14ac:dyDescent="0.3">
      <c r="A48" s="23" t="s">
        <v>16</v>
      </c>
      <c r="B48" s="6" t="s">
        <v>157</v>
      </c>
      <c r="C48" s="1" t="s">
        <v>65</v>
      </c>
      <c r="D48" s="1" t="s">
        <v>15</v>
      </c>
      <c r="E48" s="3">
        <v>353076692240800</v>
      </c>
      <c r="F48" s="1" t="s">
        <v>179</v>
      </c>
      <c r="G48" s="5">
        <v>45576</v>
      </c>
      <c r="H48" s="4">
        <v>340</v>
      </c>
      <c r="I48" s="4">
        <v>19</v>
      </c>
      <c r="J48" s="5">
        <v>45635</v>
      </c>
      <c r="K48" s="4">
        <v>370</v>
      </c>
      <c r="L48" s="8">
        <v>11</v>
      </c>
      <c r="M48" s="6" t="s">
        <v>156</v>
      </c>
    </row>
    <row r="49" spans="1:13" x14ac:dyDescent="0.3">
      <c r="A49" s="23" t="s">
        <v>13</v>
      </c>
      <c r="B49" s="6" t="s">
        <v>602</v>
      </c>
      <c r="C49" s="1" t="s">
        <v>21</v>
      </c>
      <c r="D49" s="1" t="s">
        <v>22</v>
      </c>
      <c r="E49" s="3">
        <v>357265992134872</v>
      </c>
      <c r="F49" s="1"/>
      <c r="G49" s="5">
        <v>45634</v>
      </c>
      <c r="H49" s="4">
        <v>78</v>
      </c>
      <c r="I49" s="4"/>
      <c r="J49" s="5">
        <v>45635</v>
      </c>
      <c r="K49" s="4">
        <v>105</v>
      </c>
      <c r="L49" s="8">
        <v>27</v>
      </c>
      <c r="M49" s="6" t="s">
        <v>603</v>
      </c>
    </row>
    <row r="50" spans="1:13" x14ac:dyDescent="0.3">
      <c r="A50" s="23" t="s">
        <v>13</v>
      </c>
      <c r="B50" s="6" t="s">
        <v>513</v>
      </c>
      <c r="C50" s="1" t="s">
        <v>18</v>
      </c>
      <c r="D50" s="1" t="s">
        <v>15</v>
      </c>
      <c r="E50" s="3">
        <v>351562310774900</v>
      </c>
      <c r="F50" s="1"/>
      <c r="G50" s="5">
        <v>45630</v>
      </c>
      <c r="H50" s="4">
        <v>415</v>
      </c>
      <c r="I50" s="4">
        <v>11</v>
      </c>
      <c r="J50" s="5">
        <v>45636</v>
      </c>
      <c r="K50" s="4">
        <v>450</v>
      </c>
      <c r="L50" s="8">
        <v>24</v>
      </c>
      <c r="M50" s="6" t="s">
        <v>19</v>
      </c>
    </row>
    <row r="51" spans="1:13" x14ac:dyDescent="0.3">
      <c r="A51" s="23" t="s">
        <v>16</v>
      </c>
      <c r="B51" s="6" t="s">
        <v>92</v>
      </c>
      <c r="C51" s="1" t="s">
        <v>21</v>
      </c>
      <c r="D51" s="1" t="s">
        <v>15</v>
      </c>
      <c r="E51" s="3">
        <v>357504275409522</v>
      </c>
      <c r="F51" s="1" t="s">
        <v>597</v>
      </c>
      <c r="G51" s="5">
        <v>45630</v>
      </c>
      <c r="H51" s="4">
        <v>180</v>
      </c>
      <c r="I51" s="4">
        <v>20</v>
      </c>
      <c r="J51" s="5">
        <v>45636</v>
      </c>
      <c r="K51" s="4">
        <v>270</v>
      </c>
      <c r="L51" s="8">
        <v>70</v>
      </c>
      <c r="M51" s="6" t="s">
        <v>582</v>
      </c>
    </row>
    <row r="52" spans="1:13" x14ac:dyDescent="0.3">
      <c r="A52" s="23" t="s">
        <v>16</v>
      </c>
      <c r="B52" s="6" t="s">
        <v>367</v>
      </c>
      <c r="C52" s="1" t="s">
        <v>21</v>
      </c>
      <c r="D52" s="1" t="s">
        <v>15</v>
      </c>
      <c r="E52" s="3">
        <v>357828282738734</v>
      </c>
      <c r="F52" s="1"/>
      <c r="G52" s="5">
        <v>45603</v>
      </c>
      <c r="H52" s="4">
        <v>600</v>
      </c>
      <c r="I52" s="4"/>
      <c r="J52" s="5" t="s">
        <v>623</v>
      </c>
      <c r="K52" s="4">
        <v>650</v>
      </c>
      <c r="L52" s="8">
        <v>50</v>
      </c>
      <c r="M52" s="6" t="s">
        <v>368</v>
      </c>
    </row>
    <row r="53" spans="1:13" x14ac:dyDescent="0.3">
      <c r="A53" s="23" t="s">
        <v>16</v>
      </c>
      <c r="B53" s="6" t="s">
        <v>104</v>
      </c>
      <c r="C53" s="1" t="s">
        <v>65</v>
      </c>
      <c r="D53" s="1" t="s">
        <v>15</v>
      </c>
      <c r="E53" s="3">
        <v>350141783324914</v>
      </c>
      <c r="F53" s="1" t="s">
        <v>382</v>
      </c>
      <c r="G53" s="5">
        <v>45604</v>
      </c>
      <c r="H53" s="4">
        <v>313</v>
      </c>
      <c r="I53" s="4"/>
      <c r="J53" s="5">
        <v>45636</v>
      </c>
      <c r="K53" s="4">
        <v>380</v>
      </c>
      <c r="L53" s="8">
        <v>67</v>
      </c>
      <c r="M53" s="6" t="s">
        <v>383</v>
      </c>
    </row>
    <row r="54" spans="1:13" x14ac:dyDescent="0.3">
      <c r="A54" s="23" t="s">
        <v>16</v>
      </c>
      <c r="B54" s="6" t="s">
        <v>409</v>
      </c>
      <c r="C54" s="1" t="s">
        <v>21</v>
      </c>
      <c r="D54" s="1" t="s">
        <v>22</v>
      </c>
      <c r="E54" s="3">
        <v>352016946000510</v>
      </c>
      <c r="F54" s="1"/>
      <c r="G54" s="5">
        <v>45613</v>
      </c>
      <c r="H54" s="4">
        <v>550</v>
      </c>
      <c r="I54" s="4"/>
      <c r="J54" s="5">
        <v>45636</v>
      </c>
      <c r="K54" s="4">
        <v>600</v>
      </c>
      <c r="L54" s="8">
        <v>50</v>
      </c>
      <c r="M54" s="6" t="s">
        <v>449</v>
      </c>
    </row>
    <row r="55" spans="1:13" x14ac:dyDescent="0.3">
      <c r="A55" s="23" t="s">
        <v>16</v>
      </c>
      <c r="B55" s="6" t="s">
        <v>25</v>
      </c>
      <c r="C55" s="1" t="s">
        <v>26</v>
      </c>
      <c r="D55" s="1" t="s">
        <v>22</v>
      </c>
      <c r="E55" s="3">
        <v>356616947411701</v>
      </c>
      <c r="F55" s="1"/>
      <c r="G55" s="5">
        <v>45594</v>
      </c>
      <c r="H55" s="4">
        <v>800</v>
      </c>
      <c r="I55" s="4"/>
      <c r="J55" s="5">
        <v>45636</v>
      </c>
      <c r="K55" s="4">
        <v>900</v>
      </c>
      <c r="L55" s="8">
        <v>100</v>
      </c>
      <c r="M55" s="6" t="s">
        <v>294</v>
      </c>
    </row>
    <row r="56" spans="1:13" x14ac:dyDescent="0.3">
      <c r="A56" s="23" t="s">
        <v>16</v>
      </c>
      <c r="B56" s="6" t="s">
        <v>106</v>
      </c>
      <c r="C56" s="1" t="s">
        <v>21</v>
      </c>
      <c r="D56" s="1" t="s">
        <v>22</v>
      </c>
      <c r="E56" s="3">
        <v>356814117188445</v>
      </c>
      <c r="F56" s="1"/>
      <c r="G56" s="5">
        <v>45592</v>
      </c>
      <c r="H56" s="4">
        <v>200</v>
      </c>
      <c r="I56" s="4"/>
      <c r="J56" s="5">
        <v>45636</v>
      </c>
      <c r="K56" s="4">
        <v>238</v>
      </c>
      <c r="L56" s="8">
        <v>38</v>
      </c>
      <c r="M56" s="6" t="s">
        <v>279</v>
      </c>
    </row>
    <row r="57" spans="1:13" x14ac:dyDescent="0.3">
      <c r="A57" s="23" t="s">
        <v>16</v>
      </c>
      <c r="B57" s="6" t="s">
        <v>81</v>
      </c>
      <c r="C57" s="1" t="s">
        <v>65</v>
      </c>
      <c r="D57" s="1" t="s">
        <v>15</v>
      </c>
      <c r="E57" s="3">
        <v>353084308633061</v>
      </c>
      <c r="F57" s="1" t="s">
        <v>556</v>
      </c>
      <c r="G57" s="5">
        <v>45634</v>
      </c>
      <c r="H57" s="4">
        <v>350</v>
      </c>
      <c r="I57" s="4"/>
      <c r="J57" s="5">
        <v>45637</v>
      </c>
      <c r="K57" s="4">
        <v>480</v>
      </c>
      <c r="L57" s="8">
        <v>130</v>
      </c>
      <c r="M57" s="6" t="s">
        <v>607</v>
      </c>
    </row>
    <row r="58" spans="1:13" x14ac:dyDescent="0.3">
      <c r="A58" s="23" t="s">
        <v>16</v>
      </c>
      <c r="B58" s="6" t="s">
        <v>39</v>
      </c>
      <c r="C58" s="1" t="s">
        <v>21</v>
      </c>
      <c r="D58" s="1" t="s">
        <v>15</v>
      </c>
      <c r="E58" s="3">
        <v>351195747575564</v>
      </c>
      <c r="F58" s="1"/>
      <c r="G58" s="5">
        <v>45561</v>
      </c>
      <c r="H58" s="4">
        <v>720</v>
      </c>
      <c r="I58" s="4"/>
      <c r="J58" s="5">
        <v>45637</v>
      </c>
      <c r="K58" s="4">
        <v>750</v>
      </c>
      <c r="L58" s="8">
        <v>30</v>
      </c>
      <c r="M58" s="6"/>
    </row>
    <row r="59" spans="1:13" x14ac:dyDescent="0.3">
      <c r="A59" s="23" t="s">
        <v>16</v>
      </c>
      <c r="B59" s="6" t="s">
        <v>25</v>
      </c>
      <c r="C59" s="1" t="s">
        <v>26</v>
      </c>
      <c r="D59" s="1" t="s">
        <v>22</v>
      </c>
      <c r="E59" s="3">
        <v>353134986705606</v>
      </c>
      <c r="F59" s="1"/>
      <c r="G59" s="5">
        <v>45636</v>
      </c>
      <c r="H59" s="4">
        <v>770</v>
      </c>
      <c r="I59" s="4"/>
      <c r="J59" s="5">
        <v>45637</v>
      </c>
      <c r="K59" s="4">
        <v>870</v>
      </c>
      <c r="L59" s="8">
        <v>100</v>
      </c>
      <c r="M59" s="6" t="s">
        <v>618</v>
      </c>
    </row>
    <row r="60" spans="1:13" x14ac:dyDescent="0.3">
      <c r="A60" s="23" t="s">
        <v>16</v>
      </c>
      <c r="B60" s="6" t="s">
        <v>312</v>
      </c>
      <c r="C60" s="1" t="s">
        <v>45</v>
      </c>
      <c r="D60" s="1" t="s">
        <v>22</v>
      </c>
      <c r="E60" s="3">
        <v>351243320200745</v>
      </c>
      <c r="F60" s="1"/>
      <c r="G60" s="5">
        <v>45626</v>
      </c>
      <c r="H60" s="4">
        <v>500</v>
      </c>
      <c r="I60" s="4"/>
      <c r="J60" s="5">
        <v>45637</v>
      </c>
      <c r="K60" s="4">
        <v>620</v>
      </c>
      <c r="L60" s="8">
        <v>120</v>
      </c>
      <c r="M60" s="6" t="s">
        <v>548</v>
      </c>
    </row>
    <row r="61" spans="1:13" x14ac:dyDescent="0.3">
      <c r="A61" s="23" t="s">
        <v>16</v>
      </c>
      <c r="B61" s="6" t="s">
        <v>25</v>
      </c>
      <c r="C61" s="1" t="s">
        <v>21</v>
      </c>
      <c r="D61" s="1" t="s">
        <v>22</v>
      </c>
      <c r="E61" s="3">
        <v>354645218082224</v>
      </c>
      <c r="F61" s="1"/>
      <c r="G61" s="5">
        <v>45637</v>
      </c>
      <c r="H61" s="4">
        <v>830</v>
      </c>
      <c r="I61" s="4"/>
      <c r="J61" s="5">
        <v>45637</v>
      </c>
      <c r="K61" s="4">
        <v>880</v>
      </c>
      <c r="L61" s="8">
        <v>50</v>
      </c>
      <c r="M61" s="6" t="s">
        <v>625</v>
      </c>
    </row>
    <row r="62" spans="1:13" x14ac:dyDescent="0.3">
      <c r="A62" s="23" t="s">
        <v>16</v>
      </c>
      <c r="B62" s="6" t="s">
        <v>621</v>
      </c>
      <c r="C62" s="1" t="s">
        <v>583</v>
      </c>
      <c r="D62" s="1" t="s">
        <v>22</v>
      </c>
      <c r="E62" s="3">
        <v>359689534273005</v>
      </c>
      <c r="F62" s="1" t="s">
        <v>343</v>
      </c>
      <c r="G62" s="5">
        <v>45636</v>
      </c>
      <c r="H62" s="4">
        <v>750</v>
      </c>
      <c r="I62" s="4"/>
      <c r="J62" s="5">
        <v>45637</v>
      </c>
      <c r="K62" s="4">
        <v>800</v>
      </c>
      <c r="L62" s="8">
        <v>50</v>
      </c>
      <c r="M62" s="6" t="s">
        <v>622</v>
      </c>
    </row>
    <row r="63" spans="1:13" x14ac:dyDescent="0.3">
      <c r="A63" s="23" t="s">
        <v>16</v>
      </c>
      <c r="B63" s="6" t="s">
        <v>202</v>
      </c>
      <c r="C63" s="1" t="s">
        <v>65</v>
      </c>
      <c r="D63" s="1" t="s">
        <v>22</v>
      </c>
      <c r="E63" s="3">
        <v>359370791420171</v>
      </c>
      <c r="F63" s="1" t="s">
        <v>203</v>
      </c>
      <c r="G63" s="5"/>
      <c r="H63" s="4">
        <v>752</v>
      </c>
      <c r="I63" s="4"/>
      <c r="J63" s="5"/>
      <c r="K63" s="4">
        <v>752</v>
      </c>
      <c r="L63" s="8">
        <v>0</v>
      </c>
      <c r="M63" s="6" t="s">
        <v>136</v>
      </c>
    </row>
    <row r="64" spans="1:13" x14ac:dyDescent="0.3">
      <c r="A64" s="23" t="s">
        <v>16</v>
      </c>
      <c r="B64" s="6" t="s">
        <v>77</v>
      </c>
      <c r="C64" s="1" t="s">
        <v>35</v>
      </c>
      <c r="D64" s="1" t="s">
        <v>15</v>
      </c>
      <c r="E64" s="3">
        <v>358220487839906</v>
      </c>
      <c r="F64" s="1"/>
      <c r="G64" s="5">
        <v>45637</v>
      </c>
      <c r="H64" s="4">
        <v>475</v>
      </c>
      <c r="I64" s="4"/>
      <c r="J64" s="5">
        <v>45638</v>
      </c>
      <c r="K64" s="4">
        <v>550</v>
      </c>
      <c r="L64" s="8">
        <v>75</v>
      </c>
      <c r="M64" s="6" t="s">
        <v>627</v>
      </c>
    </row>
    <row r="65" spans="1:13" x14ac:dyDescent="0.3">
      <c r="A65" s="23" t="s">
        <v>13</v>
      </c>
      <c r="B65" s="6" t="s">
        <v>117</v>
      </c>
      <c r="C65" s="1" t="s">
        <v>21</v>
      </c>
      <c r="D65" s="1" t="s">
        <v>15</v>
      </c>
      <c r="E65" s="3">
        <v>351424775754150</v>
      </c>
      <c r="F65" s="1" t="s">
        <v>43</v>
      </c>
      <c r="G65" s="5">
        <v>45615</v>
      </c>
      <c r="H65" s="4">
        <v>244</v>
      </c>
      <c r="I65" s="4">
        <v>12</v>
      </c>
      <c r="J65" s="5">
        <v>45638</v>
      </c>
      <c r="K65" s="4">
        <v>300</v>
      </c>
      <c r="L65" s="8">
        <v>44</v>
      </c>
      <c r="M65" s="6" t="s">
        <v>147</v>
      </c>
    </row>
    <row r="66" spans="1:13" x14ac:dyDescent="0.3">
      <c r="A66" s="23" t="s">
        <v>16</v>
      </c>
      <c r="B66" s="6" t="s">
        <v>34</v>
      </c>
      <c r="C66" s="1" t="s">
        <v>35</v>
      </c>
      <c r="D66" s="1" t="s">
        <v>22</v>
      </c>
      <c r="E66" s="3">
        <v>358769750062828</v>
      </c>
      <c r="F66" s="1"/>
      <c r="G66" s="5">
        <v>45614</v>
      </c>
      <c r="H66" s="4">
        <v>600</v>
      </c>
      <c r="I66" s="4"/>
      <c r="J66" s="5">
        <v>45638</v>
      </c>
      <c r="K66" s="4">
        <v>720</v>
      </c>
      <c r="L66" s="8">
        <v>120</v>
      </c>
      <c r="M66" s="6" t="s">
        <v>262</v>
      </c>
    </row>
    <row r="67" spans="1:13" x14ac:dyDescent="0.3">
      <c r="A67" s="23" t="s">
        <v>16</v>
      </c>
      <c r="B67" s="6" t="s">
        <v>101</v>
      </c>
      <c r="C67" s="1" t="s">
        <v>97</v>
      </c>
      <c r="D67" s="1" t="s">
        <v>22</v>
      </c>
      <c r="E67" s="3">
        <v>352866110159124</v>
      </c>
      <c r="F67" s="1"/>
      <c r="G67" s="5">
        <v>45637</v>
      </c>
      <c r="H67" s="4">
        <v>250</v>
      </c>
      <c r="I67" s="4"/>
      <c r="J67" s="5">
        <v>45638</v>
      </c>
      <c r="K67" s="4">
        <v>300</v>
      </c>
      <c r="L67" s="8">
        <v>50</v>
      </c>
      <c r="M67" s="6" t="s">
        <v>626</v>
      </c>
    </row>
    <row r="68" spans="1:13" x14ac:dyDescent="0.3">
      <c r="A68" s="23" t="s">
        <v>16</v>
      </c>
      <c r="B68" s="6" t="s">
        <v>25</v>
      </c>
      <c r="C68" s="1" t="s">
        <v>26</v>
      </c>
      <c r="D68" s="1" t="s">
        <v>22</v>
      </c>
      <c r="E68" s="3">
        <v>354653145541940</v>
      </c>
      <c r="F68" s="1"/>
      <c r="G68" s="5">
        <v>45637</v>
      </c>
      <c r="H68" s="4">
        <v>850</v>
      </c>
      <c r="I68" s="4"/>
      <c r="J68" s="5">
        <v>45638</v>
      </c>
      <c r="K68" s="4">
        <v>950</v>
      </c>
      <c r="L68" s="8">
        <v>100</v>
      </c>
      <c r="M68" s="6" t="s">
        <v>624</v>
      </c>
    </row>
    <row r="69" spans="1:13" x14ac:dyDescent="0.3">
      <c r="A69" s="23" t="s">
        <v>13</v>
      </c>
      <c r="B69" s="6" t="s">
        <v>117</v>
      </c>
      <c r="C69" s="1" t="s">
        <v>97</v>
      </c>
      <c r="D69" s="1" t="s">
        <v>15</v>
      </c>
      <c r="E69" s="3">
        <v>356587430684676</v>
      </c>
      <c r="F69" s="1"/>
      <c r="G69" s="5">
        <v>45571</v>
      </c>
      <c r="H69" s="4">
        <v>255</v>
      </c>
      <c r="I69" s="4">
        <v>13</v>
      </c>
      <c r="J69" s="5">
        <v>45639</v>
      </c>
      <c r="K69" s="4">
        <v>300</v>
      </c>
      <c r="L69" s="8">
        <v>32</v>
      </c>
      <c r="M69" s="6" t="s">
        <v>19</v>
      </c>
    </row>
    <row r="70" spans="1:13" x14ac:dyDescent="0.3">
      <c r="A70" s="23" t="s">
        <v>16</v>
      </c>
      <c r="B70" s="6" t="s">
        <v>32</v>
      </c>
      <c r="C70" s="1" t="s">
        <v>65</v>
      </c>
      <c r="D70" s="1" t="s">
        <v>22</v>
      </c>
      <c r="E70" s="3">
        <v>355361721619978</v>
      </c>
      <c r="F70" s="1" t="s">
        <v>66</v>
      </c>
      <c r="G70" s="5">
        <v>45596</v>
      </c>
      <c r="H70" s="4">
        <v>740</v>
      </c>
      <c r="I70" s="4"/>
      <c r="J70" s="5">
        <v>45639</v>
      </c>
      <c r="K70" s="4">
        <v>850</v>
      </c>
      <c r="L70" s="8">
        <v>110</v>
      </c>
      <c r="M70" s="6" t="s">
        <v>311</v>
      </c>
    </row>
    <row r="71" spans="1:13" x14ac:dyDescent="0.3">
      <c r="A71" s="23" t="s">
        <v>16</v>
      </c>
      <c r="B71" s="6" t="s">
        <v>128</v>
      </c>
      <c r="C71" s="1" t="s">
        <v>21</v>
      </c>
      <c r="D71" s="1" t="s">
        <v>22</v>
      </c>
      <c r="E71" s="3">
        <v>354408273574365</v>
      </c>
      <c r="F71" s="1"/>
      <c r="G71" s="5">
        <v>45634</v>
      </c>
      <c r="H71" s="4">
        <v>750</v>
      </c>
      <c r="I71" s="4"/>
      <c r="J71" s="5">
        <v>45639</v>
      </c>
      <c r="K71" s="4">
        <v>850</v>
      </c>
      <c r="L71" s="8">
        <v>100</v>
      </c>
      <c r="M71" s="6" t="s">
        <v>608</v>
      </c>
    </row>
    <row r="72" spans="1:13" x14ac:dyDescent="0.3">
      <c r="A72" s="23" t="s">
        <v>16</v>
      </c>
      <c r="B72" s="6" t="s">
        <v>541</v>
      </c>
      <c r="C72" s="1" t="s">
        <v>97</v>
      </c>
      <c r="D72" s="1" t="s">
        <v>15</v>
      </c>
      <c r="E72" s="3">
        <v>352862110164735</v>
      </c>
      <c r="F72" s="1"/>
      <c r="G72" s="5">
        <v>45638</v>
      </c>
      <c r="H72" s="4">
        <v>200</v>
      </c>
      <c r="I72" s="4">
        <v>12</v>
      </c>
      <c r="J72" s="5">
        <v>45640</v>
      </c>
      <c r="K72" s="4">
        <v>260</v>
      </c>
      <c r="L72" s="8">
        <v>48</v>
      </c>
      <c r="M72" s="6" t="s">
        <v>630</v>
      </c>
    </row>
    <row r="73" spans="1:13" x14ac:dyDescent="0.3">
      <c r="A73" s="23" t="s">
        <v>13</v>
      </c>
      <c r="B73" s="6" t="s">
        <v>513</v>
      </c>
      <c r="C73" s="1" t="s">
        <v>18</v>
      </c>
      <c r="D73" s="1" t="s">
        <v>15</v>
      </c>
      <c r="E73" s="3">
        <v>351562312269305</v>
      </c>
      <c r="F73" s="1"/>
      <c r="G73" s="5">
        <v>45634</v>
      </c>
      <c r="H73" s="4">
        <v>400</v>
      </c>
      <c r="I73" s="4">
        <v>12</v>
      </c>
      <c r="J73" s="5">
        <v>45641</v>
      </c>
      <c r="K73" s="4">
        <v>452</v>
      </c>
      <c r="L73" s="8">
        <v>40</v>
      </c>
      <c r="M73" s="6" t="s">
        <v>147</v>
      </c>
    </row>
    <row r="74" spans="1:13" x14ac:dyDescent="0.3">
      <c r="A74" s="23" t="s">
        <v>16</v>
      </c>
      <c r="B74" s="6" t="s">
        <v>619</v>
      </c>
      <c r="C74" s="1" t="s">
        <v>45</v>
      </c>
      <c r="D74" s="1" t="s">
        <v>15</v>
      </c>
      <c r="E74" s="3">
        <v>359495084122471</v>
      </c>
      <c r="F74" s="1" t="s">
        <v>61</v>
      </c>
      <c r="G74" s="5">
        <v>45636</v>
      </c>
      <c r="H74" s="4">
        <v>62</v>
      </c>
      <c r="I74" s="4"/>
      <c r="J74" s="5">
        <v>45641</v>
      </c>
      <c r="K74" s="4">
        <v>93</v>
      </c>
      <c r="L74" s="8">
        <v>31</v>
      </c>
      <c r="M74" s="6" t="s">
        <v>620</v>
      </c>
    </row>
    <row r="75" spans="1:13" x14ac:dyDescent="0.3">
      <c r="A75" s="23" t="s">
        <v>16</v>
      </c>
      <c r="B75" s="6" t="s">
        <v>74</v>
      </c>
      <c r="C75" s="1" t="s">
        <v>45</v>
      </c>
      <c r="D75" s="1" t="s">
        <v>22</v>
      </c>
      <c r="E75" s="3">
        <v>356901456079697</v>
      </c>
      <c r="F75" s="1"/>
      <c r="G75" s="5">
        <v>45566</v>
      </c>
      <c r="H75" s="4">
        <v>620</v>
      </c>
      <c r="I75" s="4"/>
      <c r="J75" s="5">
        <v>45642</v>
      </c>
      <c r="K75" s="4">
        <v>680</v>
      </c>
      <c r="L75" s="8">
        <v>60</v>
      </c>
      <c r="M75" s="6" t="s">
        <v>80</v>
      </c>
    </row>
    <row r="76" spans="1:13" x14ac:dyDescent="0.3">
      <c r="A76" s="23" t="s">
        <v>16</v>
      </c>
      <c r="B76" s="6" t="s">
        <v>34</v>
      </c>
      <c r="C76" s="1" t="s">
        <v>35</v>
      </c>
      <c r="D76" s="1" t="s">
        <v>22</v>
      </c>
      <c r="E76" s="3">
        <v>358547322312057</v>
      </c>
      <c r="F76" s="1"/>
      <c r="G76" s="5">
        <v>45611</v>
      </c>
      <c r="H76" s="4">
        <v>610</v>
      </c>
      <c r="I76" s="4"/>
      <c r="J76" s="5">
        <v>45642</v>
      </c>
      <c r="K76" s="4">
        <v>700</v>
      </c>
      <c r="L76" s="8">
        <v>90</v>
      </c>
      <c r="M76" s="6" t="s">
        <v>442</v>
      </c>
    </row>
    <row r="77" spans="1:13" x14ac:dyDescent="0.3">
      <c r="A77" s="23" t="s">
        <v>16</v>
      </c>
      <c r="B77" s="6" t="s">
        <v>468</v>
      </c>
      <c r="C77" s="1" t="s">
        <v>65</v>
      </c>
      <c r="D77" s="1" t="s">
        <v>15</v>
      </c>
      <c r="E77" s="3">
        <v>359282703795956</v>
      </c>
      <c r="F77" s="1"/>
      <c r="G77" s="5">
        <v>45615</v>
      </c>
      <c r="H77" s="4">
        <v>550</v>
      </c>
      <c r="I77" s="4"/>
      <c r="J77" s="5">
        <v>45642</v>
      </c>
      <c r="K77" s="4">
        <v>600</v>
      </c>
      <c r="L77" s="8">
        <v>50</v>
      </c>
      <c r="M77" s="6" t="s">
        <v>469</v>
      </c>
    </row>
    <row r="78" spans="1:13" x14ac:dyDescent="0.3">
      <c r="A78" s="23" t="s">
        <v>16</v>
      </c>
      <c r="B78" s="6" t="s">
        <v>25</v>
      </c>
      <c r="C78" s="1" t="s">
        <v>21</v>
      </c>
      <c r="D78" s="1" t="s">
        <v>22</v>
      </c>
      <c r="E78" s="3">
        <v>359824371774803</v>
      </c>
      <c r="F78" s="1"/>
      <c r="G78" s="5">
        <v>45588</v>
      </c>
      <c r="H78" s="4">
        <v>840</v>
      </c>
      <c r="I78" s="4"/>
      <c r="J78" s="5">
        <v>45642</v>
      </c>
      <c r="K78" s="4">
        <v>870</v>
      </c>
      <c r="L78" s="8">
        <v>30</v>
      </c>
      <c r="M78" s="6" t="s">
        <v>236</v>
      </c>
    </row>
    <row r="79" spans="1:13" x14ac:dyDescent="0.3">
      <c r="A79" s="23" t="s">
        <v>16</v>
      </c>
      <c r="B79" s="6" t="s">
        <v>25</v>
      </c>
      <c r="C79" s="1" t="s">
        <v>18</v>
      </c>
      <c r="D79" s="1" t="s">
        <v>22</v>
      </c>
      <c r="E79" s="3">
        <v>354673798497901</v>
      </c>
      <c r="F79" s="1"/>
      <c r="G79" s="5">
        <v>45630</v>
      </c>
      <c r="H79" s="4">
        <v>760</v>
      </c>
      <c r="I79" s="4"/>
      <c r="J79" s="5">
        <v>45642</v>
      </c>
      <c r="K79" s="4">
        <v>870</v>
      </c>
      <c r="L79" s="8">
        <v>110</v>
      </c>
      <c r="M79" s="6" t="s">
        <v>579</v>
      </c>
    </row>
    <row r="80" spans="1:13" x14ac:dyDescent="0.3">
      <c r="A80" s="23" t="s">
        <v>16</v>
      </c>
      <c r="B80" s="6" t="s">
        <v>34</v>
      </c>
      <c r="C80" s="1" t="s">
        <v>35</v>
      </c>
      <c r="D80" s="1" t="s">
        <v>22</v>
      </c>
      <c r="E80" s="3">
        <v>358281867619284</v>
      </c>
      <c r="F80" s="1"/>
      <c r="G80" s="5">
        <v>45558</v>
      </c>
      <c r="H80" s="4">
        <v>730</v>
      </c>
      <c r="I80" s="4"/>
      <c r="J80" s="5">
        <v>45642</v>
      </c>
      <c r="K80" s="4">
        <v>750</v>
      </c>
      <c r="L80" s="8">
        <v>20</v>
      </c>
      <c r="M80" s="6" t="s">
        <v>49</v>
      </c>
    </row>
    <row r="81" spans="1:13" x14ac:dyDescent="0.3">
      <c r="A81" s="23" t="s">
        <v>16</v>
      </c>
      <c r="B81" s="6" t="s">
        <v>77</v>
      </c>
      <c r="C81" s="1" t="s">
        <v>21</v>
      </c>
      <c r="D81" s="1" t="s">
        <v>22</v>
      </c>
      <c r="E81" s="3">
        <v>352466619333724</v>
      </c>
      <c r="F81" s="1"/>
      <c r="G81" s="5">
        <v>45634</v>
      </c>
      <c r="H81" s="4">
        <v>550</v>
      </c>
      <c r="I81" s="4"/>
      <c r="J81" s="5">
        <v>45642</v>
      </c>
      <c r="K81" s="4">
        <v>660</v>
      </c>
      <c r="L81" s="8">
        <v>110</v>
      </c>
      <c r="M81" s="6" t="s">
        <v>607</v>
      </c>
    </row>
    <row r="82" spans="1:13" x14ac:dyDescent="0.3">
      <c r="A82" s="23" t="s">
        <v>16</v>
      </c>
      <c r="B82" s="6" t="s">
        <v>32</v>
      </c>
      <c r="C82" s="1" t="s">
        <v>26</v>
      </c>
      <c r="D82" s="1" t="s">
        <v>22</v>
      </c>
      <c r="E82" s="3">
        <v>352101833195357</v>
      </c>
      <c r="F82" s="1"/>
      <c r="G82" s="5">
        <v>45634</v>
      </c>
      <c r="H82" s="4">
        <v>692</v>
      </c>
      <c r="I82" s="4"/>
      <c r="J82" s="5">
        <v>45642</v>
      </c>
      <c r="K82" s="4">
        <v>800</v>
      </c>
      <c r="L82" s="8">
        <v>108</v>
      </c>
      <c r="M82" s="6" t="s">
        <v>611</v>
      </c>
    </row>
    <row r="83" spans="1:13" x14ac:dyDescent="0.3">
      <c r="A83" s="23" t="s">
        <v>142</v>
      </c>
      <c r="B83" s="6" t="s">
        <v>641</v>
      </c>
      <c r="C83" s="1" t="s">
        <v>65</v>
      </c>
      <c r="D83" s="1" t="s">
        <v>22</v>
      </c>
      <c r="E83" s="3">
        <v>864028066477304</v>
      </c>
      <c r="F83" s="1"/>
      <c r="G83" s="5">
        <v>45642</v>
      </c>
      <c r="H83" s="4">
        <v>63</v>
      </c>
      <c r="I83" s="4"/>
      <c r="J83" s="5">
        <v>45644</v>
      </c>
      <c r="K83" s="4">
        <v>89</v>
      </c>
      <c r="L83" s="8">
        <v>26</v>
      </c>
      <c r="M83" s="6" t="s">
        <v>247</v>
      </c>
    </row>
    <row r="84" spans="1:13" x14ac:dyDescent="0.3">
      <c r="A84" s="23" t="s">
        <v>16</v>
      </c>
      <c r="B84" s="6" t="s">
        <v>25</v>
      </c>
      <c r="C84" s="1" t="s">
        <v>26</v>
      </c>
      <c r="D84" s="1" t="s">
        <v>15</v>
      </c>
      <c r="E84" s="3">
        <v>354784327049558</v>
      </c>
      <c r="F84" s="1"/>
      <c r="G84" s="5">
        <v>45594</v>
      </c>
      <c r="H84" s="4">
        <v>850</v>
      </c>
      <c r="I84" s="4"/>
      <c r="J84" s="5">
        <v>45645</v>
      </c>
      <c r="K84" s="4">
        <v>870</v>
      </c>
      <c r="L84" s="8">
        <v>20</v>
      </c>
      <c r="M84" s="6" t="s">
        <v>297</v>
      </c>
    </row>
    <row r="85" spans="1:13" x14ac:dyDescent="0.3">
      <c r="A85" s="23" t="s">
        <v>16</v>
      </c>
      <c r="B85" s="6" t="s">
        <v>468</v>
      </c>
      <c r="C85" s="1" t="s">
        <v>65</v>
      </c>
      <c r="D85" s="1" t="s">
        <v>22</v>
      </c>
      <c r="E85" s="3">
        <v>353173585317298</v>
      </c>
      <c r="F85" s="1"/>
      <c r="G85" s="5">
        <v>45620</v>
      </c>
      <c r="H85" s="4">
        <v>550</v>
      </c>
      <c r="I85" s="4"/>
      <c r="J85" s="5">
        <v>45645</v>
      </c>
      <c r="K85" s="4">
        <v>600</v>
      </c>
      <c r="L85" s="8">
        <v>50</v>
      </c>
      <c r="M85" s="32" t="s">
        <v>507</v>
      </c>
    </row>
    <row r="86" spans="1:13" x14ac:dyDescent="0.3">
      <c r="A86" s="23" t="s">
        <v>16</v>
      </c>
      <c r="B86" s="6" t="s">
        <v>30</v>
      </c>
      <c r="C86" s="1" t="s">
        <v>26</v>
      </c>
      <c r="D86" s="1" t="s">
        <v>22</v>
      </c>
      <c r="E86" s="3">
        <v>351914981316042</v>
      </c>
      <c r="F86" s="1"/>
      <c r="G86" s="5">
        <v>45635</v>
      </c>
      <c r="H86" s="4">
        <v>850</v>
      </c>
      <c r="I86" s="4"/>
      <c r="J86" s="5">
        <v>45645</v>
      </c>
      <c r="K86" s="4">
        <v>1000</v>
      </c>
      <c r="L86" s="8">
        <v>150</v>
      </c>
      <c r="M86" s="6" t="s">
        <v>616</v>
      </c>
    </row>
    <row r="87" spans="1:13" x14ac:dyDescent="0.3">
      <c r="A87" s="23" t="s">
        <v>16</v>
      </c>
      <c r="B87" s="6" t="s">
        <v>409</v>
      </c>
      <c r="C87" s="1" t="s">
        <v>21</v>
      </c>
      <c r="D87" s="1" t="s">
        <v>22</v>
      </c>
      <c r="E87" s="3">
        <v>355799331156446</v>
      </c>
      <c r="F87" s="1"/>
      <c r="G87" s="5">
        <v>45638</v>
      </c>
      <c r="H87" s="4">
        <v>480</v>
      </c>
      <c r="I87" s="4"/>
      <c r="J87" s="5">
        <v>45645</v>
      </c>
      <c r="K87" s="4">
        <v>550</v>
      </c>
      <c r="L87" s="8">
        <v>70</v>
      </c>
      <c r="M87" s="6" t="s">
        <v>632</v>
      </c>
    </row>
    <row r="88" spans="1:13" x14ac:dyDescent="0.3">
      <c r="A88" s="23" t="s">
        <v>16</v>
      </c>
      <c r="B88" s="6" t="s">
        <v>637</v>
      </c>
      <c r="C88" s="1" t="s">
        <v>65</v>
      </c>
      <c r="D88" s="1" t="s">
        <v>15</v>
      </c>
      <c r="E88" s="3">
        <v>350381397235375</v>
      </c>
      <c r="F88" s="1"/>
      <c r="G88" s="5">
        <v>45639</v>
      </c>
      <c r="H88" s="4">
        <v>530</v>
      </c>
      <c r="I88" s="4"/>
      <c r="J88" s="5">
        <v>45645</v>
      </c>
      <c r="K88" s="4">
        <v>580</v>
      </c>
      <c r="L88" s="8">
        <v>50</v>
      </c>
      <c r="M88" s="6" t="s">
        <v>638</v>
      </c>
    </row>
    <row r="89" spans="1:13" x14ac:dyDescent="0.3">
      <c r="A89" s="23" t="s">
        <v>16</v>
      </c>
      <c r="B89" s="6" t="s">
        <v>77</v>
      </c>
      <c r="C89" s="1" t="s">
        <v>35</v>
      </c>
      <c r="D89" s="1" t="s">
        <v>22</v>
      </c>
      <c r="E89" s="3">
        <v>351942132091214</v>
      </c>
      <c r="F89" s="1"/>
      <c r="G89" s="5">
        <v>45584</v>
      </c>
      <c r="H89" s="4">
        <v>645</v>
      </c>
      <c r="I89" s="4"/>
      <c r="J89" s="5">
        <v>45645</v>
      </c>
      <c r="K89" s="4">
        <v>670</v>
      </c>
      <c r="L89" s="8">
        <v>25</v>
      </c>
      <c r="M89" s="6" t="s">
        <v>211</v>
      </c>
    </row>
    <row r="90" spans="1:13" x14ac:dyDescent="0.3">
      <c r="A90" s="23" t="s">
        <v>16</v>
      </c>
      <c r="B90" s="6" t="s">
        <v>496</v>
      </c>
      <c r="C90" s="1" t="s">
        <v>187</v>
      </c>
      <c r="D90" s="1" t="s">
        <v>22</v>
      </c>
      <c r="E90" s="3">
        <v>356815609338430</v>
      </c>
      <c r="F90" s="1"/>
      <c r="G90" s="5">
        <v>45645</v>
      </c>
      <c r="H90" s="4">
        <v>200</v>
      </c>
      <c r="I90" s="4"/>
      <c r="J90" s="5">
        <v>45646</v>
      </c>
      <c r="K90" s="4">
        <v>290</v>
      </c>
      <c r="L90" s="8">
        <v>90</v>
      </c>
      <c r="M90" s="6" t="s">
        <v>262</v>
      </c>
    </row>
    <row r="91" spans="1:13" x14ac:dyDescent="0.3">
      <c r="A91" s="23" t="s">
        <v>16</v>
      </c>
      <c r="B91" s="6" t="s">
        <v>404</v>
      </c>
      <c r="C91" s="1" t="s">
        <v>45</v>
      </c>
      <c r="D91" s="1" t="s">
        <v>15</v>
      </c>
      <c r="E91" s="3">
        <v>357229096646827</v>
      </c>
      <c r="F91" s="1" t="s">
        <v>645</v>
      </c>
      <c r="G91" s="5">
        <v>45645</v>
      </c>
      <c r="H91" s="4">
        <v>86</v>
      </c>
      <c r="I91" s="4"/>
      <c r="J91" s="5">
        <v>45647</v>
      </c>
      <c r="K91" s="4">
        <v>115</v>
      </c>
      <c r="L91" s="8">
        <v>29</v>
      </c>
      <c r="M91" s="6" t="s">
        <v>646</v>
      </c>
    </row>
    <row r="92" spans="1:13" x14ac:dyDescent="0.3">
      <c r="A92" s="23" t="s">
        <v>16</v>
      </c>
      <c r="B92" s="6" t="s">
        <v>443</v>
      </c>
      <c r="C92" s="1" t="s">
        <v>21</v>
      </c>
      <c r="D92" s="1" t="s">
        <v>22</v>
      </c>
      <c r="E92" s="3">
        <v>356821692164626</v>
      </c>
      <c r="F92" s="1"/>
      <c r="G92" s="5">
        <v>45647</v>
      </c>
      <c r="H92" s="4">
        <v>900</v>
      </c>
      <c r="I92" s="4">
        <v>20</v>
      </c>
      <c r="J92" s="5">
        <v>45647</v>
      </c>
      <c r="K92" s="4">
        <v>1030</v>
      </c>
      <c r="L92" s="8">
        <v>110</v>
      </c>
      <c r="M92" s="6" t="s">
        <v>650</v>
      </c>
    </row>
    <row r="93" spans="1:13" x14ac:dyDescent="0.3">
      <c r="A93" s="23" t="s">
        <v>16</v>
      </c>
      <c r="B93" s="6" t="s">
        <v>443</v>
      </c>
      <c r="C93" s="1" t="s">
        <v>21</v>
      </c>
      <c r="D93" s="1" t="s">
        <v>22</v>
      </c>
      <c r="E93" s="3">
        <v>355018531608886</v>
      </c>
      <c r="F93" s="1"/>
      <c r="G93" s="5">
        <v>45647</v>
      </c>
      <c r="H93" s="4">
        <v>900</v>
      </c>
      <c r="I93" s="4">
        <v>20</v>
      </c>
      <c r="J93" s="5">
        <v>45647</v>
      </c>
      <c r="K93" s="4">
        <v>1030</v>
      </c>
      <c r="L93" s="8">
        <v>110</v>
      </c>
      <c r="M93" s="6" t="s">
        <v>650</v>
      </c>
    </row>
    <row r="94" spans="1:13" x14ac:dyDescent="0.3">
      <c r="A94" s="23" t="s">
        <v>16</v>
      </c>
      <c r="B94" s="6" t="s">
        <v>656</v>
      </c>
      <c r="C94" s="1" t="s">
        <v>26</v>
      </c>
      <c r="D94" s="1" t="s">
        <v>22</v>
      </c>
      <c r="E94" s="3">
        <v>350572411481389</v>
      </c>
      <c r="F94" s="1"/>
      <c r="G94" s="5">
        <v>45647</v>
      </c>
      <c r="H94" s="4">
        <v>1350</v>
      </c>
      <c r="I94" s="4"/>
      <c r="J94" s="5">
        <v>45647</v>
      </c>
      <c r="K94" s="4">
        <v>1400</v>
      </c>
      <c r="L94" s="8">
        <v>50</v>
      </c>
      <c r="M94" s="6" t="s">
        <v>650</v>
      </c>
    </row>
    <row r="95" spans="1:13" x14ac:dyDescent="0.3">
      <c r="A95" s="23" t="s">
        <v>16</v>
      </c>
      <c r="B95" s="6" t="s">
        <v>104</v>
      </c>
      <c r="C95" s="1" t="s">
        <v>45</v>
      </c>
      <c r="D95" s="1" t="s">
        <v>22</v>
      </c>
      <c r="E95" s="3">
        <v>351330886829411</v>
      </c>
      <c r="F95" s="1"/>
      <c r="G95" s="5">
        <v>45638</v>
      </c>
      <c r="H95" s="4">
        <v>360</v>
      </c>
      <c r="I95" s="4"/>
      <c r="J95" s="5">
        <v>45647</v>
      </c>
      <c r="K95" s="4">
        <v>430</v>
      </c>
      <c r="L95" s="8">
        <v>70</v>
      </c>
      <c r="M95" s="6" t="s">
        <v>635</v>
      </c>
    </row>
    <row r="96" spans="1:13" x14ac:dyDescent="0.3">
      <c r="A96" s="23" t="s">
        <v>16</v>
      </c>
      <c r="B96" s="6" t="s">
        <v>600</v>
      </c>
      <c r="C96" s="1" t="s">
        <v>65</v>
      </c>
      <c r="D96" s="1" t="s">
        <v>15</v>
      </c>
      <c r="E96" s="3">
        <v>356194440233949</v>
      </c>
      <c r="F96" s="1" t="s">
        <v>556</v>
      </c>
      <c r="G96" s="5">
        <v>45633</v>
      </c>
      <c r="H96" s="4">
        <v>285</v>
      </c>
      <c r="I96" s="4">
        <v>15</v>
      </c>
      <c r="J96" s="5">
        <v>45647</v>
      </c>
      <c r="K96" s="4">
        <v>365</v>
      </c>
      <c r="L96" s="8">
        <v>65</v>
      </c>
      <c r="M96" s="6" t="s">
        <v>601</v>
      </c>
    </row>
    <row r="97" spans="1:13" x14ac:dyDescent="0.3">
      <c r="A97" s="23" t="s">
        <v>13</v>
      </c>
      <c r="B97" s="6" t="s">
        <v>653</v>
      </c>
      <c r="C97" s="1" t="s">
        <v>18</v>
      </c>
      <c r="D97" s="1" t="s">
        <v>15</v>
      </c>
      <c r="E97" s="3">
        <v>350865891940225</v>
      </c>
      <c r="F97" s="1"/>
      <c r="G97" s="5">
        <v>45647</v>
      </c>
      <c r="H97" s="4">
        <v>300</v>
      </c>
      <c r="I97" s="4"/>
      <c r="J97" s="5">
        <v>45647</v>
      </c>
      <c r="K97" s="4">
        <v>330</v>
      </c>
      <c r="L97" s="8">
        <v>30</v>
      </c>
      <c r="M97" s="6" t="s">
        <v>19</v>
      </c>
    </row>
    <row r="98" spans="1:13" x14ac:dyDescent="0.3">
      <c r="A98" s="23" t="s">
        <v>16</v>
      </c>
      <c r="B98" s="6" t="s">
        <v>407</v>
      </c>
      <c r="C98" s="1" t="s">
        <v>65</v>
      </c>
      <c r="D98" s="1" t="s">
        <v>15</v>
      </c>
      <c r="E98" s="3">
        <v>352045131187147</v>
      </c>
      <c r="F98" s="1"/>
      <c r="G98" s="5">
        <v>45608</v>
      </c>
      <c r="H98" s="4">
        <v>220</v>
      </c>
      <c r="I98" s="4"/>
      <c r="J98" s="5">
        <v>45648</v>
      </c>
      <c r="K98" s="4">
        <v>260</v>
      </c>
      <c r="L98" s="8">
        <v>40</v>
      </c>
      <c r="M98" s="6" t="s">
        <v>408</v>
      </c>
    </row>
    <row r="99" spans="1:13" x14ac:dyDescent="0.3">
      <c r="A99" s="23" t="s">
        <v>13</v>
      </c>
      <c r="B99" s="6" t="s">
        <v>370</v>
      </c>
      <c r="C99" s="1" t="s">
        <v>21</v>
      </c>
      <c r="D99" s="1" t="s">
        <v>15</v>
      </c>
      <c r="E99" s="3">
        <v>354619980803075</v>
      </c>
      <c r="F99" s="1"/>
      <c r="G99" s="5">
        <v>45628</v>
      </c>
      <c r="H99" s="4">
        <v>345</v>
      </c>
      <c r="I99" s="4">
        <v>11</v>
      </c>
      <c r="J99" s="5">
        <v>45648</v>
      </c>
      <c r="K99" s="4">
        <v>400</v>
      </c>
      <c r="L99" s="8">
        <v>44</v>
      </c>
      <c r="M99" s="6" t="s">
        <v>147</v>
      </c>
    </row>
    <row r="100" spans="1:13" x14ac:dyDescent="0.3">
      <c r="A100" s="23" t="s">
        <v>16</v>
      </c>
      <c r="B100" s="6" t="s">
        <v>639</v>
      </c>
      <c r="C100" s="1" t="s">
        <v>35</v>
      </c>
      <c r="D100" s="1" t="s">
        <v>22</v>
      </c>
      <c r="E100" s="3">
        <v>350321531055131</v>
      </c>
      <c r="F100" s="1"/>
      <c r="G100" s="5">
        <v>45641</v>
      </c>
      <c r="H100" s="4">
        <v>500</v>
      </c>
      <c r="I100" s="4"/>
      <c r="J100" s="5">
        <v>45648</v>
      </c>
      <c r="K100" s="4">
        <v>650</v>
      </c>
      <c r="L100" s="8">
        <v>150</v>
      </c>
      <c r="M100" s="6" t="s">
        <v>640</v>
      </c>
    </row>
    <row r="101" spans="1:13" x14ac:dyDescent="0.3">
      <c r="A101" s="23" t="s">
        <v>16</v>
      </c>
      <c r="B101" s="6" t="s">
        <v>643</v>
      </c>
      <c r="C101" s="1" t="s">
        <v>97</v>
      </c>
      <c r="D101" s="1" t="s">
        <v>22</v>
      </c>
      <c r="E101" s="3">
        <v>353919108101787</v>
      </c>
      <c r="F101" s="1"/>
      <c r="G101" s="5">
        <v>45645</v>
      </c>
      <c r="H101" s="4">
        <v>250</v>
      </c>
      <c r="I101" s="4"/>
      <c r="J101" s="5">
        <v>45648</v>
      </c>
      <c r="K101" s="4">
        <v>300</v>
      </c>
      <c r="L101" s="8">
        <v>50</v>
      </c>
      <c r="M101" s="6" t="s">
        <v>648</v>
      </c>
    </row>
    <row r="102" spans="1:13" x14ac:dyDescent="0.3">
      <c r="A102" s="23" t="s">
        <v>13</v>
      </c>
      <c r="B102" s="6" t="s">
        <v>653</v>
      </c>
      <c r="C102" s="1" t="s">
        <v>18</v>
      </c>
      <c r="D102" s="1" t="s">
        <v>15</v>
      </c>
      <c r="E102" s="3">
        <v>350865891537492</v>
      </c>
      <c r="F102" s="1"/>
      <c r="G102" s="5">
        <v>45647</v>
      </c>
      <c r="H102" s="4">
        <v>300</v>
      </c>
      <c r="I102" s="4"/>
      <c r="J102" s="5">
        <v>45648</v>
      </c>
      <c r="K102" s="4">
        <v>330</v>
      </c>
      <c r="L102" s="8">
        <v>30</v>
      </c>
      <c r="M102" s="6" t="s">
        <v>19</v>
      </c>
    </row>
    <row r="103" spans="1:13" x14ac:dyDescent="0.3">
      <c r="A103" s="23" t="s">
        <v>16</v>
      </c>
      <c r="B103" s="6" t="s">
        <v>657</v>
      </c>
      <c r="C103" s="1" t="s">
        <v>18</v>
      </c>
      <c r="D103" s="1" t="s">
        <v>15</v>
      </c>
      <c r="E103" s="3">
        <v>353006119907376</v>
      </c>
      <c r="F103" s="1" t="s">
        <v>556</v>
      </c>
      <c r="G103" s="5">
        <v>45647</v>
      </c>
      <c r="H103" s="4">
        <v>240</v>
      </c>
      <c r="I103" s="4"/>
      <c r="J103" s="5">
        <v>45648</v>
      </c>
      <c r="K103" s="4">
        <v>270</v>
      </c>
      <c r="L103" s="8">
        <v>30</v>
      </c>
      <c r="M103" s="6" t="s">
        <v>262</v>
      </c>
    </row>
    <row r="104" spans="1:13" x14ac:dyDescent="0.3">
      <c r="A104" s="23" t="s">
        <v>16</v>
      </c>
      <c r="B104" s="6" t="s">
        <v>25</v>
      </c>
      <c r="C104" s="1" t="s">
        <v>26</v>
      </c>
      <c r="D104" s="1" t="s">
        <v>22</v>
      </c>
      <c r="E104" s="3">
        <v>359162413030862</v>
      </c>
      <c r="F104" s="1"/>
      <c r="G104" s="5">
        <v>45648</v>
      </c>
      <c r="H104" s="4">
        <v>780</v>
      </c>
      <c r="I104" s="4"/>
      <c r="J104" s="5">
        <v>45648</v>
      </c>
      <c r="K104" s="4">
        <v>830</v>
      </c>
      <c r="L104" s="8">
        <v>50</v>
      </c>
      <c r="M104" s="6" t="s">
        <v>661</v>
      </c>
    </row>
    <row r="105" spans="1:13" x14ac:dyDescent="0.3">
      <c r="A105" s="23" t="s">
        <v>664</v>
      </c>
      <c r="B105" s="38" t="s">
        <v>662</v>
      </c>
      <c r="C105" s="1" t="s">
        <v>18</v>
      </c>
      <c r="D105" s="1" t="s">
        <v>22</v>
      </c>
      <c r="E105" s="3"/>
      <c r="F105" s="1"/>
      <c r="G105" s="5">
        <v>45648</v>
      </c>
      <c r="H105" s="4">
        <v>600</v>
      </c>
      <c r="I105" s="4"/>
      <c r="J105" s="5">
        <v>45648</v>
      </c>
      <c r="K105" s="4">
        <v>650</v>
      </c>
      <c r="L105" s="8">
        <v>50</v>
      </c>
      <c r="M105" s="6" t="s">
        <v>663</v>
      </c>
    </row>
    <row r="106" spans="1:13" x14ac:dyDescent="0.3">
      <c r="A106" s="23" t="s">
        <v>16</v>
      </c>
      <c r="B106" s="6" t="s">
        <v>312</v>
      </c>
      <c r="C106" s="1" t="s">
        <v>18</v>
      </c>
      <c r="D106" s="1" t="s">
        <v>15</v>
      </c>
      <c r="E106" s="3">
        <v>357569692245759</v>
      </c>
      <c r="F106" s="1"/>
      <c r="G106" s="5">
        <v>45619</v>
      </c>
      <c r="H106" s="4">
        <v>500</v>
      </c>
      <c r="I106" s="4"/>
      <c r="J106" s="5">
        <v>45649</v>
      </c>
      <c r="K106" s="4">
        <v>600</v>
      </c>
      <c r="L106" s="8">
        <v>100</v>
      </c>
      <c r="M106" s="6" t="s">
        <v>147</v>
      </c>
    </row>
    <row r="107" spans="1:13" x14ac:dyDescent="0.3">
      <c r="A107" s="23" t="s">
        <v>13</v>
      </c>
      <c r="B107" s="6" t="s">
        <v>513</v>
      </c>
      <c r="C107" s="1"/>
      <c r="D107" s="1" t="s">
        <v>15</v>
      </c>
      <c r="E107" s="3">
        <v>351562310728492</v>
      </c>
      <c r="F107" s="1"/>
      <c r="G107" s="5">
        <v>45630</v>
      </c>
      <c r="H107" s="4">
        <v>415</v>
      </c>
      <c r="I107" s="4">
        <v>11</v>
      </c>
      <c r="J107" s="5">
        <v>45649</v>
      </c>
      <c r="K107" s="4">
        <v>460</v>
      </c>
      <c r="L107" s="8">
        <v>34</v>
      </c>
      <c r="M107" s="6" t="s">
        <v>19</v>
      </c>
    </row>
    <row r="108" spans="1:13" x14ac:dyDescent="0.3">
      <c r="A108" s="23" t="s">
        <v>16</v>
      </c>
      <c r="B108" s="6" t="s">
        <v>104</v>
      </c>
      <c r="C108" s="1" t="s">
        <v>65</v>
      </c>
      <c r="D108" s="1" t="s">
        <v>22</v>
      </c>
      <c r="E108" s="3">
        <v>355060586918372</v>
      </c>
      <c r="F108" s="1"/>
      <c r="G108" s="5">
        <v>45634</v>
      </c>
      <c r="H108" s="4">
        <v>400</v>
      </c>
      <c r="I108" s="4"/>
      <c r="J108" s="5">
        <v>45649</v>
      </c>
      <c r="K108" s="4">
        <v>450</v>
      </c>
      <c r="L108" s="8">
        <v>50</v>
      </c>
      <c r="M108" s="6" t="s">
        <v>607</v>
      </c>
    </row>
    <row r="109" spans="1:13" x14ac:dyDescent="0.3">
      <c r="A109" s="23" t="s">
        <v>16</v>
      </c>
      <c r="B109" s="6" t="s">
        <v>74</v>
      </c>
      <c r="C109" s="1" t="s">
        <v>35</v>
      </c>
      <c r="D109" s="1" t="s">
        <v>22</v>
      </c>
      <c r="E109" s="3">
        <v>352149876118653</v>
      </c>
      <c r="F109" s="1"/>
      <c r="G109" s="5">
        <v>45648</v>
      </c>
      <c r="H109" s="4">
        <v>500</v>
      </c>
      <c r="I109" s="4"/>
      <c r="J109" s="5">
        <v>45649</v>
      </c>
      <c r="K109" s="4">
        <v>640</v>
      </c>
      <c r="L109" s="8">
        <v>140</v>
      </c>
      <c r="M109" s="6" t="s">
        <v>665</v>
      </c>
    </row>
    <row r="110" spans="1:13" x14ac:dyDescent="0.3">
      <c r="A110" s="23" t="s">
        <v>16</v>
      </c>
      <c r="B110" s="6" t="s">
        <v>404</v>
      </c>
      <c r="C110" s="1" t="s">
        <v>45</v>
      </c>
      <c r="D110" s="1" t="s">
        <v>15</v>
      </c>
      <c r="E110" s="3">
        <v>353162101367945</v>
      </c>
      <c r="F110" s="1"/>
      <c r="G110" s="5">
        <v>45648</v>
      </c>
      <c r="H110" s="4">
        <v>120</v>
      </c>
      <c r="I110" s="4"/>
      <c r="J110" s="5">
        <v>45650</v>
      </c>
      <c r="K110" s="4">
        <v>170</v>
      </c>
      <c r="L110" s="8">
        <v>50</v>
      </c>
      <c r="M110" s="6" t="s">
        <v>660</v>
      </c>
    </row>
    <row r="111" spans="1:13" x14ac:dyDescent="0.3">
      <c r="A111" s="23" t="s">
        <v>16</v>
      </c>
      <c r="B111" s="6" t="s">
        <v>148</v>
      </c>
      <c r="C111" s="1" t="s">
        <v>21</v>
      </c>
      <c r="D111" s="1" t="s">
        <v>15</v>
      </c>
      <c r="E111" s="3">
        <v>358522143024058</v>
      </c>
      <c r="F111" s="1"/>
      <c r="G111" s="5">
        <v>45648</v>
      </c>
      <c r="H111" s="4">
        <v>240</v>
      </c>
      <c r="I111" s="4"/>
      <c r="J111" s="5">
        <v>45650</v>
      </c>
      <c r="K111" s="4">
        <v>315</v>
      </c>
      <c r="L111" s="8">
        <v>75</v>
      </c>
      <c r="M111" s="6" t="s">
        <v>666</v>
      </c>
    </row>
    <row r="112" spans="1:13" x14ac:dyDescent="0.3">
      <c r="A112" s="23" t="s">
        <v>16</v>
      </c>
      <c r="B112" s="6" t="s">
        <v>34</v>
      </c>
      <c r="C112" s="1" t="s">
        <v>35</v>
      </c>
      <c r="D112" s="1" t="s">
        <v>22</v>
      </c>
      <c r="E112" s="3">
        <v>355281430398823</v>
      </c>
      <c r="F112" s="1"/>
      <c r="G112" s="5">
        <v>45629</v>
      </c>
      <c r="H112" s="4">
        <v>750</v>
      </c>
      <c r="I112" s="4"/>
      <c r="J112" s="5">
        <v>45650</v>
      </c>
      <c r="K112" s="4">
        <v>835</v>
      </c>
      <c r="L112" s="8">
        <v>85</v>
      </c>
      <c r="M112" s="6" t="s">
        <v>577</v>
      </c>
    </row>
    <row r="113" spans="1:13" x14ac:dyDescent="0.3">
      <c r="A113" s="23" t="s">
        <v>207</v>
      </c>
      <c r="B113" s="23" t="s">
        <v>679</v>
      </c>
      <c r="C113" s="5" t="s">
        <v>21</v>
      </c>
      <c r="D113" s="1" t="s">
        <v>15</v>
      </c>
      <c r="E113" s="36"/>
      <c r="F113" s="4"/>
      <c r="G113" s="5"/>
      <c r="H113" s="4">
        <v>138</v>
      </c>
      <c r="I113" s="4"/>
      <c r="J113" s="5">
        <v>45650</v>
      </c>
      <c r="K113" s="4">
        <v>150</v>
      </c>
      <c r="L113" s="8">
        <v>12</v>
      </c>
      <c r="M113" s="6"/>
    </row>
    <row r="114" spans="1:13" x14ac:dyDescent="0.3">
      <c r="A114" s="23" t="s">
        <v>16</v>
      </c>
      <c r="B114" s="6" t="s">
        <v>25</v>
      </c>
      <c r="C114" s="1" t="s">
        <v>26</v>
      </c>
      <c r="D114" s="1" t="s">
        <v>22</v>
      </c>
      <c r="E114" s="3">
        <v>356840678698712</v>
      </c>
      <c r="F114" s="1"/>
      <c r="G114" s="5">
        <v>45651</v>
      </c>
      <c r="H114" s="4">
        <v>750</v>
      </c>
      <c r="I114" s="4"/>
      <c r="J114" s="5">
        <v>45651</v>
      </c>
      <c r="K114" s="4">
        <v>800</v>
      </c>
      <c r="L114" s="8">
        <v>50</v>
      </c>
      <c r="M114" s="6" t="s">
        <v>681</v>
      </c>
    </row>
    <row r="115" spans="1:13" x14ac:dyDescent="0.3">
      <c r="A115" s="23" t="s">
        <v>16</v>
      </c>
      <c r="B115" s="6" t="s">
        <v>128</v>
      </c>
      <c r="C115" s="1" t="s">
        <v>18</v>
      </c>
      <c r="D115" s="1" t="s">
        <v>15</v>
      </c>
      <c r="E115" s="3">
        <v>351080479249432</v>
      </c>
      <c r="F115" s="1"/>
      <c r="G115" s="5">
        <v>45575</v>
      </c>
      <c r="H115" s="4">
        <v>760</v>
      </c>
      <c r="I115" s="4">
        <v>13</v>
      </c>
      <c r="J115" s="5">
        <v>45651</v>
      </c>
      <c r="K115" s="4">
        <v>800</v>
      </c>
      <c r="L115" s="8">
        <v>27</v>
      </c>
      <c r="M115" s="6" t="s">
        <v>147</v>
      </c>
    </row>
    <row r="116" spans="1:13" x14ac:dyDescent="0.3">
      <c r="A116" s="23" t="s">
        <v>16</v>
      </c>
      <c r="B116" s="23" t="s">
        <v>25</v>
      </c>
      <c r="C116" s="28" t="s">
        <v>26</v>
      </c>
      <c r="D116" s="1" t="s">
        <v>22</v>
      </c>
      <c r="E116" s="3">
        <v>353134988630323</v>
      </c>
      <c r="F116" s="4"/>
      <c r="G116" s="5">
        <v>45651</v>
      </c>
      <c r="H116" s="4">
        <v>860</v>
      </c>
      <c r="I116" s="4">
        <v>20</v>
      </c>
      <c r="J116" s="5">
        <v>45651</v>
      </c>
      <c r="K116" s="4">
        <v>980</v>
      </c>
      <c r="L116" s="8">
        <v>100</v>
      </c>
      <c r="M116" s="6" t="s">
        <v>683</v>
      </c>
    </row>
    <row r="117" spans="1:13" x14ac:dyDescent="0.3">
      <c r="A117" s="23" t="s">
        <v>16</v>
      </c>
      <c r="B117" s="6" t="s">
        <v>81</v>
      </c>
      <c r="C117" s="1" t="s">
        <v>65</v>
      </c>
      <c r="D117" s="1" t="s">
        <v>22</v>
      </c>
      <c r="E117" s="3">
        <v>353929796884222</v>
      </c>
      <c r="F117" s="1"/>
      <c r="G117" s="5">
        <v>45645</v>
      </c>
      <c r="H117" s="4">
        <v>385</v>
      </c>
      <c r="I117" s="4"/>
      <c r="J117" s="5">
        <v>45652</v>
      </c>
      <c r="K117" s="4">
        <v>500</v>
      </c>
      <c r="L117" s="8">
        <v>115</v>
      </c>
      <c r="M117" s="6" t="s">
        <v>647</v>
      </c>
    </row>
    <row r="118" spans="1:13" x14ac:dyDescent="0.3">
      <c r="A118" s="23" t="s">
        <v>13</v>
      </c>
      <c r="B118" s="6" t="s">
        <v>115</v>
      </c>
      <c r="C118" s="1" t="s">
        <v>89</v>
      </c>
      <c r="D118" s="1" t="s">
        <v>15</v>
      </c>
      <c r="E118" s="3">
        <v>351376411162737</v>
      </c>
      <c r="F118" s="1"/>
      <c r="G118" s="5">
        <v>45639</v>
      </c>
      <c r="H118" s="4">
        <v>160</v>
      </c>
      <c r="I118" s="4"/>
      <c r="J118" s="5">
        <v>45652</v>
      </c>
      <c r="K118" s="4">
        <v>210</v>
      </c>
      <c r="L118" s="8">
        <v>50</v>
      </c>
      <c r="M118" s="6" t="s">
        <v>147</v>
      </c>
    </row>
    <row r="119" spans="1:13" x14ac:dyDescent="0.3">
      <c r="A119" s="23" t="s">
        <v>16</v>
      </c>
      <c r="B119" s="6" t="s">
        <v>600</v>
      </c>
      <c r="C119" s="1" t="s">
        <v>65</v>
      </c>
      <c r="D119" s="1" t="s">
        <v>22</v>
      </c>
      <c r="E119" s="3">
        <v>357677121003473</v>
      </c>
      <c r="F119" s="1"/>
      <c r="G119" s="5">
        <v>45638</v>
      </c>
      <c r="H119" s="4">
        <v>360</v>
      </c>
      <c r="I119" s="4"/>
      <c r="J119" s="5">
        <v>45652</v>
      </c>
      <c r="K119" s="4">
        <v>400</v>
      </c>
      <c r="L119" s="8">
        <v>40</v>
      </c>
      <c r="M119" s="6" t="s">
        <v>629</v>
      </c>
    </row>
    <row r="120" spans="1:13" x14ac:dyDescent="0.3">
      <c r="A120" s="23" t="s">
        <v>13</v>
      </c>
      <c r="B120" s="6" t="s">
        <v>455</v>
      </c>
      <c r="C120" s="1" t="s">
        <v>21</v>
      </c>
      <c r="D120" s="1" t="s">
        <v>15</v>
      </c>
      <c r="E120" s="3">
        <v>352412371631988</v>
      </c>
      <c r="F120" s="1"/>
      <c r="G120" s="5">
        <v>45643</v>
      </c>
      <c r="H120" s="4">
        <v>220</v>
      </c>
      <c r="I120" s="4"/>
      <c r="J120" s="5">
        <v>45652</v>
      </c>
      <c r="K120" s="4">
        <v>310</v>
      </c>
      <c r="L120" s="8">
        <v>90</v>
      </c>
      <c r="M120" s="6" t="s">
        <v>642</v>
      </c>
    </row>
    <row r="121" spans="1:13" x14ac:dyDescent="0.3">
      <c r="A121" s="23" t="s">
        <v>604</v>
      </c>
      <c r="B121" s="6" t="s">
        <v>605</v>
      </c>
      <c r="C121" s="1" t="s">
        <v>65</v>
      </c>
      <c r="D121" s="1" t="s">
        <v>22</v>
      </c>
      <c r="E121" s="3">
        <v>869718058467173</v>
      </c>
      <c r="F121" s="1" t="s">
        <v>98</v>
      </c>
      <c r="G121" s="5">
        <v>45634</v>
      </c>
      <c r="H121" s="4">
        <v>16</v>
      </c>
      <c r="I121" s="4">
        <v>8</v>
      </c>
      <c r="J121" s="5">
        <v>45652</v>
      </c>
      <c r="K121" s="4">
        <v>42</v>
      </c>
      <c r="L121" s="8">
        <v>18</v>
      </c>
      <c r="M121" s="6" t="s">
        <v>606</v>
      </c>
    </row>
    <row r="122" spans="1:13" x14ac:dyDescent="0.3">
      <c r="A122" s="23" t="s">
        <v>13</v>
      </c>
      <c r="B122" s="6" t="s">
        <v>325</v>
      </c>
      <c r="C122" s="1" t="s">
        <v>26</v>
      </c>
      <c r="D122" s="1" t="s">
        <v>22</v>
      </c>
      <c r="E122" s="3">
        <v>350683210250865</v>
      </c>
      <c r="F122" s="1"/>
      <c r="G122" s="5">
        <v>45649</v>
      </c>
      <c r="H122" s="4">
        <v>720</v>
      </c>
      <c r="I122" s="4"/>
      <c r="J122" s="5">
        <v>45652</v>
      </c>
      <c r="K122" s="4">
        <v>750</v>
      </c>
      <c r="L122" s="8">
        <v>30</v>
      </c>
      <c r="M122" s="6" t="s">
        <v>667</v>
      </c>
    </row>
    <row r="123" spans="1:13" x14ac:dyDescent="0.3">
      <c r="A123" s="23" t="s">
        <v>16</v>
      </c>
      <c r="B123" s="6" t="s">
        <v>25</v>
      </c>
      <c r="C123" s="1" t="s">
        <v>26</v>
      </c>
      <c r="D123" s="1" t="s">
        <v>22</v>
      </c>
      <c r="E123" s="3">
        <v>350727302575026</v>
      </c>
      <c r="F123" s="1" t="s">
        <v>27</v>
      </c>
      <c r="G123" s="5">
        <v>45647</v>
      </c>
      <c r="H123" s="4">
        <v>680</v>
      </c>
      <c r="I123" s="4"/>
      <c r="J123" s="5">
        <v>45652</v>
      </c>
      <c r="K123" s="4">
        <v>730</v>
      </c>
      <c r="L123" s="8">
        <v>50</v>
      </c>
      <c r="M123" s="6" t="s">
        <v>658</v>
      </c>
    </row>
    <row r="124" spans="1:13" x14ac:dyDescent="0.3">
      <c r="A124" s="23" t="s">
        <v>13</v>
      </c>
      <c r="B124" s="6" t="s">
        <v>513</v>
      </c>
      <c r="C124" s="1"/>
      <c r="D124" s="1" t="s">
        <v>15</v>
      </c>
      <c r="E124" s="3">
        <v>3915</v>
      </c>
      <c r="F124" s="1"/>
      <c r="G124" s="5">
        <v>45630</v>
      </c>
      <c r="H124" s="4">
        <v>415</v>
      </c>
      <c r="I124" s="4">
        <v>11</v>
      </c>
      <c r="J124" s="5">
        <v>45652</v>
      </c>
      <c r="K124" s="4">
        <v>450</v>
      </c>
      <c r="L124" s="8">
        <v>24</v>
      </c>
      <c r="M124" s="6" t="s">
        <v>19</v>
      </c>
    </row>
    <row r="125" spans="1:13" x14ac:dyDescent="0.3">
      <c r="A125" s="23" t="s">
        <v>16</v>
      </c>
      <c r="B125" s="6" t="s">
        <v>643</v>
      </c>
      <c r="C125" s="1" t="s">
        <v>97</v>
      </c>
      <c r="D125" s="1" t="s">
        <v>15</v>
      </c>
      <c r="E125" s="3">
        <v>353919102726803</v>
      </c>
      <c r="F125" s="1"/>
      <c r="G125" s="5">
        <v>45650</v>
      </c>
      <c r="H125" s="4">
        <v>180</v>
      </c>
      <c r="I125" s="4">
        <v>18</v>
      </c>
      <c r="J125" s="5">
        <v>45652</v>
      </c>
      <c r="K125" s="4">
        <v>240</v>
      </c>
      <c r="L125" s="8">
        <v>42</v>
      </c>
      <c r="M125" s="6" t="s">
        <v>147</v>
      </c>
    </row>
    <row r="126" spans="1:13" x14ac:dyDescent="0.3">
      <c r="A126" s="23" t="s">
        <v>16</v>
      </c>
      <c r="B126" s="6" t="s">
        <v>404</v>
      </c>
      <c r="C126" s="1" t="s">
        <v>21</v>
      </c>
      <c r="D126" s="1" t="s">
        <v>15</v>
      </c>
      <c r="E126" s="3">
        <v>357210096855402</v>
      </c>
      <c r="F126" s="1" t="s">
        <v>376</v>
      </c>
      <c r="G126" s="5">
        <v>45647</v>
      </c>
      <c r="H126" s="4">
        <v>100</v>
      </c>
      <c r="I126" s="4"/>
      <c r="J126" s="5">
        <v>45653</v>
      </c>
      <c r="K126" s="4">
        <v>127</v>
      </c>
      <c r="L126" s="8">
        <v>27</v>
      </c>
      <c r="M126" s="6" t="s">
        <v>659</v>
      </c>
    </row>
    <row r="127" spans="1:13" x14ac:dyDescent="0.3">
      <c r="A127" s="23" t="s">
        <v>142</v>
      </c>
      <c r="B127" s="6" t="s">
        <v>143</v>
      </c>
      <c r="C127" s="1" t="s">
        <v>21</v>
      </c>
      <c r="D127" s="1" t="s">
        <v>15</v>
      </c>
      <c r="E127" s="3">
        <v>863357060618709</v>
      </c>
      <c r="F127" s="1"/>
      <c r="G127" s="5">
        <v>45647</v>
      </c>
      <c r="H127" s="4">
        <v>115</v>
      </c>
      <c r="I127" s="4"/>
      <c r="J127" s="5">
        <v>45653</v>
      </c>
      <c r="K127" s="4">
        <v>140</v>
      </c>
      <c r="L127" s="8">
        <v>25</v>
      </c>
      <c r="M127" s="6" t="s">
        <v>652</v>
      </c>
    </row>
    <row r="128" spans="1:13" x14ac:dyDescent="0.3">
      <c r="A128" s="23" t="s">
        <v>13</v>
      </c>
      <c r="B128" s="6" t="s">
        <v>115</v>
      </c>
      <c r="C128" s="1" t="s">
        <v>93</v>
      </c>
      <c r="D128" s="1" t="s">
        <v>15</v>
      </c>
      <c r="E128" s="3">
        <v>351376417100038</v>
      </c>
      <c r="F128" s="1"/>
      <c r="G128" s="5">
        <v>45628</v>
      </c>
      <c r="H128" s="4">
        <v>170</v>
      </c>
      <c r="I128" s="4">
        <v>11</v>
      </c>
      <c r="J128" s="5">
        <v>45653</v>
      </c>
      <c r="K128" s="4">
        <v>220</v>
      </c>
      <c r="L128" s="8">
        <v>39</v>
      </c>
      <c r="M128" s="6" t="s">
        <v>147</v>
      </c>
    </row>
    <row r="129" spans="1:13" x14ac:dyDescent="0.3">
      <c r="A129" s="23" t="s">
        <v>16</v>
      </c>
      <c r="B129" s="6" t="s">
        <v>680</v>
      </c>
      <c r="C129" s="1" t="s">
        <v>18</v>
      </c>
      <c r="D129" s="1" t="s">
        <v>15</v>
      </c>
      <c r="E129" s="3">
        <v>355877338137294</v>
      </c>
      <c r="F129" s="1"/>
      <c r="G129" s="5">
        <v>45650</v>
      </c>
      <c r="H129" s="4">
        <v>220</v>
      </c>
      <c r="I129" s="4">
        <v>18</v>
      </c>
      <c r="J129" s="5">
        <v>45653</v>
      </c>
      <c r="K129" s="4">
        <v>295</v>
      </c>
      <c r="L129" s="8">
        <v>57</v>
      </c>
      <c r="M129" s="6" t="s">
        <v>147</v>
      </c>
    </row>
    <row r="130" spans="1:13" x14ac:dyDescent="0.3">
      <c r="A130" s="23" t="s">
        <v>16</v>
      </c>
      <c r="B130" s="6" t="s">
        <v>74</v>
      </c>
      <c r="C130" s="1" t="s">
        <v>21</v>
      </c>
      <c r="D130" s="1" t="s">
        <v>15</v>
      </c>
      <c r="E130" s="3">
        <v>359455905807072</v>
      </c>
      <c r="F130" s="1"/>
      <c r="G130" s="5">
        <v>45624</v>
      </c>
      <c r="H130" s="4">
        <v>500</v>
      </c>
      <c r="I130" s="4"/>
      <c r="J130" s="5">
        <v>45653</v>
      </c>
      <c r="K130" s="4">
        <v>590</v>
      </c>
      <c r="L130" s="8">
        <v>90</v>
      </c>
      <c r="M130" s="6" t="s">
        <v>530</v>
      </c>
    </row>
    <row r="131" spans="1:13" x14ac:dyDescent="0.3">
      <c r="A131" s="23" t="s">
        <v>13</v>
      </c>
      <c r="B131" s="6" t="s">
        <v>115</v>
      </c>
      <c r="C131" s="1" t="s">
        <v>21</v>
      </c>
      <c r="D131" s="1" t="s">
        <v>15</v>
      </c>
      <c r="E131" s="3">
        <v>354773804419855</v>
      </c>
      <c r="F131" s="1"/>
      <c r="G131" s="5">
        <v>45541</v>
      </c>
      <c r="H131" s="4">
        <v>200</v>
      </c>
      <c r="I131" s="4">
        <v>12</v>
      </c>
      <c r="J131" s="5">
        <v>45654</v>
      </c>
      <c r="K131" s="4">
        <v>240</v>
      </c>
      <c r="L131" s="8">
        <v>28</v>
      </c>
      <c r="M131" s="6" t="s">
        <v>19</v>
      </c>
    </row>
    <row r="132" spans="1:13" x14ac:dyDescent="0.3">
      <c r="A132" s="23" t="s">
        <v>16</v>
      </c>
      <c r="B132" s="6" t="s">
        <v>149</v>
      </c>
      <c r="C132" s="1" t="s">
        <v>18</v>
      </c>
      <c r="D132" s="1" t="s">
        <v>15</v>
      </c>
      <c r="E132" s="3">
        <v>355608708583712</v>
      </c>
      <c r="F132" s="1" t="s">
        <v>531</v>
      </c>
      <c r="G132" s="5">
        <v>45650</v>
      </c>
      <c r="H132" s="4">
        <v>117</v>
      </c>
      <c r="I132" s="4"/>
      <c r="J132" s="5">
        <v>45654</v>
      </c>
      <c r="K132" s="4">
        <v>150</v>
      </c>
      <c r="L132" s="8">
        <v>33</v>
      </c>
      <c r="M132" s="6" t="s">
        <v>674</v>
      </c>
    </row>
    <row r="133" spans="1:13" x14ac:dyDescent="0.3">
      <c r="A133" s="23" t="s">
        <v>16</v>
      </c>
      <c r="B133" s="6" t="s">
        <v>77</v>
      </c>
      <c r="C133" s="1" t="s">
        <v>35</v>
      </c>
      <c r="D133" s="1" t="s">
        <v>22</v>
      </c>
      <c r="E133" s="3">
        <v>350873982128908</v>
      </c>
      <c r="F133" s="1"/>
      <c r="G133" s="5">
        <v>45647</v>
      </c>
      <c r="H133" s="4">
        <v>550</v>
      </c>
      <c r="I133" s="4">
        <v>20</v>
      </c>
      <c r="J133" s="5">
        <v>45654</v>
      </c>
      <c r="K133" s="4">
        <v>680</v>
      </c>
      <c r="L133" s="8">
        <v>110</v>
      </c>
      <c r="M133" s="6" t="s">
        <v>650</v>
      </c>
    </row>
    <row r="134" spans="1:13" x14ac:dyDescent="0.3">
      <c r="A134" s="23" t="s">
        <v>13</v>
      </c>
      <c r="B134" s="6" t="s">
        <v>455</v>
      </c>
      <c r="C134" s="1" t="s">
        <v>21</v>
      </c>
      <c r="D134" s="1" t="s">
        <v>15</v>
      </c>
      <c r="E134" s="3">
        <v>352412374507805</v>
      </c>
      <c r="F134" s="1" t="s">
        <v>456</v>
      </c>
      <c r="G134" s="5">
        <v>45614</v>
      </c>
      <c r="H134" s="4">
        <v>205</v>
      </c>
      <c r="I134" s="4">
        <v>29</v>
      </c>
      <c r="J134" s="5">
        <v>45654</v>
      </c>
      <c r="K134" s="4">
        <v>301</v>
      </c>
      <c r="L134" s="8">
        <v>67</v>
      </c>
      <c r="M134" s="6" t="s">
        <v>457</v>
      </c>
    </row>
    <row r="135" spans="1:13" x14ac:dyDescent="0.3">
      <c r="A135" s="23" t="s">
        <v>16</v>
      </c>
      <c r="B135" s="6" t="s">
        <v>39</v>
      </c>
      <c r="C135" s="1" t="s">
        <v>21</v>
      </c>
      <c r="D135" s="1" t="s">
        <v>22</v>
      </c>
      <c r="E135" s="3">
        <v>357006623385354</v>
      </c>
      <c r="F135" s="1"/>
      <c r="G135" s="5">
        <v>45637</v>
      </c>
      <c r="H135" s="4">
        <v>600</v>
      </c>
      <c r="I135" s="4"/>
      <c r="J135" s="5">
        <v>45654</v>
      </c>
      <c r="K135" s="4">
        <v>660</v>
      </c>
      <c r="L135" s="8">
        <v>60</v>
      </c>
      <c r="M135" s="6" t="s">
        <v>624</v>
      </c>
    </row>
    <row r="136" spans="1:13" x14ac:dyDescent="0.3">
      <c r="A136" s="23" t="s">
        <v>13</v>
      </c>
      <c r="B136" s="6" t="s">
        <v>653</v>
      </c>
      <c r="C136" s="1" t="s">
        <v>21</v>
      </c>
      <c r="D136" s="1" t="s">
        <v>15</v>
      </c>
      <c r="E136" s="3">
        <v>350865892544208</v>
      </c>
      <c r="F136" s="1"/>
      <c r="G136" s="5">
        <v>45647</v>
      </c>
      <c r="H136" s="4">
        <v>300</v>
      </c>
      <c r="I136" s="4"/>
      <c r="J136" s="5">
        <v>45654</v>
      </c>
      <c r="K136" s="4">
        <v>350</v>
      </c>
      <c r="L136" s="8">
        <v>50</v>
      </c>
      <c r="M136" s="6" t="s">
        <v>19</v>
      </c>
    </row>
    <row r="137" spans="1:13" x14ac:dyDescent="0.3">
      <c r="A137" s="23" t="s">
        <v>13</v>
      </c>
      <c r="B137" s="6" t="s">
        <v>654</v>
      </c>
      <c r="C137" s="1" t="s">
        <v>21</v>
      </c>
      <c r="D137" s="1" t="s">
        <v>22</v>
      </c>
      <c r="E137" s="3">
        <v>352737402362074</v>
      </c>
      <c r="F137" s="1"/>
      <c r="G137" s="5">
        <v>45647</v>
      </c>
      <c r="H137" s="4">
        <v>542</v>
      </c>
      <c r="I137" s="4"/>
      <c r="J137" s="5">
        <v>45654</v>
      </c>
      <c r="K137" s="4">
        <v>607</v>
      </c>
      <c r="L137" s="8">
        <v>65</v>
      </c>
      <c r="M137" s="6" t="s">
        <v>655</v>
      </c>
    </row>
    <row r="138" spans="1:13" x14ac:dyDescent="0.3">
      <c r="A138" s="23" t="s">
        <v>13</v>
      </c>
      <c r="B138" s="6" t="s">
        <v>633</v>
      </c>
      <c r="C138" s="1" t="s">
        <v>21</v>
      </c>
      <c r="D138" s="1" t="s">
        <v>22</v>
      </c>
      <c r="E138" s="3">
        <v>359185441219421</v>
      </c>
      <c r="F138" s="1"/>
      <c r="G138" s="5">
        <v>45638</v>
      </c>
      <c r="H138" s="4">
        <v>380</v>
      </c>
      <c r="I138" s="4"/>
      <c r="J138" s="5">
        <v>45654</v>
      </c>
      <c r="K138" s="4">
        <v>450</v>
      </c>
      <c r="L138" s="8">
        <v>70</v>
      </c>
      <c r="M138" s="6" t="s">
        <v>634</v>
      </c>
    </row>
    <row r="139" spans="1:13" x14ac:dyDescent="0.3">
      <c r="A139" s="23" t="s">
        <v>16</v>
      </c>
      <c r="B139" s="6" t="s">
        <v>692</v>
      </c>
      <c r="C139" s="1" t="s">
        <v>26</v>
      </c>
      <c r="D139" s="1" t="s">
        <v>22</v>
      </c>
      <c r="E139" s="3">
        <v>354449447089849</v>
      </c>
      <c r="F139" s="1"/>
      <c r="G139" s="5">
        <v>45653</v>
      </c>
      <c r="H139" s="4">
        <v>750</v>
      </c>
      <c r="I139" s="4"/>
      <c r="J139" s="5">
        <v>45655</v>
      </c>
      <c r="K139" s="4">
        <v>850</v>
      </c>
      <c r="L139" s="8">
        <v>100</v>
      </c>
      <c r="M139" s="25" t="s">
        <v>693</v>
      </c>
    </row>
    <row r="140" spans="1:13" x14ac:dyDescent="0.3">
      <c r="A140" s="23" t="s">
        <v>207</v>
      </c>
      <c r="B140" s="6" t="s">
        <v>488</v>
      </c>
      <c r="C140" s="1" t="s">
        <v>21</v>
      </c>
      <c r="D140" s="1" t="s">
        <v>22</v>
      </c>
      <c r="E140" s="3"/>
      <c r="F140" s="1"/>
      <c r="G140" s="5">
        <v>45618</v>
      </c>
      <c r="H140" s="4">
        <v>138</v>
      </c>
      <c r="I140" s="4"/>
      <c r="J140" s="5">
        <v>45656</v>
      </c>
      <c r="K140" s="4">
        <v>176</v>
      </c>
      <c r="L140" s="8">
        <v>38</v>
      </c>
      <c r="M140" s="6" t="s">
        <v>489</v>
      </c>
    </row>
    <row r="141" spans="1:13" x14ac:dyDescent="0.3">
      <c r="A141" s="23" t="s">
        <v>16</v>
      </c>
      <c r="B141" s="6" t="s">
        <v>34</v>
      </c>
      <c r="C141" s="1" t="s">
        <v>35</v>
      </c>
      <c r="D141" s="1" t="s">
        <v>22</v>
      </c>
      <c r="E141" s="3">
        <v>351088769863218</v>
      </c>
      <c r="F141" s="1"/>
      <c r="G141" s="5">
        <v>45633</v>
      </c>
      <c r="H141" s="4">
        <v>620</v>
      </c>
      <c r="I141" s="4"/>
      <c r="J141" s="5">
        <v>45656</v>
      </c>
      <c r="K141" s="4">
        <v>750</v>
      </c>
      <c r="L141" s="8">
        <v>130</v>
      </c>
      <c r="M141" s="6" t="s">
        <v>592</v>
      </c>
    </row>
    <row r="142" spans="1:13" x14ac:dyDescent="0.3">
      <c r="A142" s="23" t="s">
        <v>16</v>
      </c>
      <c r="B142" s="23" t="s">
        <v>149</v>
      </c>
      <c r="C142" s="28" t="s">
        <v>21</v>
      </c>
      <c r="D142" s="1" t="s">
        <v>15</v>
      </c>
      <c r="E142" s="36">
        <v>5663</v>
      </c>
      <c r="F142" s="4"/>
      <c r="G142" s="5"/>
      <c r="H142" s="4">
        <v>190</v>
      </c>
      <c r="I142" s="4"/>
      <c r="J142" s="5">
        <v>45656</v>
      </c>
      <c r="K142" s="4">
        <v>250</v>
      </c>
      <c r="L142" s="8">
        <v>60</v>
      </c>
      <c r="M142" s="25"/>
    </row>
    <row r="143" spans="1:13" x14ac:dyDescent="0.3">
      <c r="A143" s="23" t="s">
        <v>13</v>
      </c>
      <c r="B143" s="6" t="s">
        <v>502</v>
      </c>
      <c r="C143" s="1" t="s">
        <v>18</v>
      </c>
      <c r="D143" s="1" t="s">
        <v>22</v>
      </c>
      <c r="E143" s="3">
        <v>351747954986783</v>
      </c>
      <c r="F143" s="1"/>
      <c r="G143" s="5">
        <v>45651</v>
      </c>
      <c r="H143" s="4">
        <v>516</v>
      </c>
      <c r="I143" s="4"/>
      <c r="J143" s="5">
        <v>45656</v>
      </c>
      <c r="K143" s="4">
        <v>600</v>
      </c>
      <c r="L143" s="8">
        <v>84</v>
      </c>
      <c r="M143" s="6" t="s">
        <v>682</v>
      </c>
    </row>
    <row r="144" spans="1:13" x14ac:dyDescent="0.3">
      <c r="A144" s="23" t="s">
        <v>13</v>
      </c>
      <c r="B144" s="6" t="s">
        <v>502</v>
      </c>
      <c r="C144" s="1" t="s">
        <v>21</v>
      </c>
      <c r="D144" s="1" t="s">
        <v>22</v>
      </c>
      <c r="E144" s="3">
        <v>351552170563212</v>
      </c>
      <c r="F144" s="1"/>
      <c r="G144" s="5">
        <v>45646</v>
      </c>
      <c r="H144" s="4">
        <v>580</v>
      </c>
      <c r="I144" s="4"/>
      <c r="J144" s="5">
        <v>45657</v>
      </c>
      <c r="K144" s="4">
        <v>648</v>
      </c>
      <c r="L144" s="8">
        <v>68</v>
      </c>
      <c r="M144" s="6" t="s">
        <v>649</v>
      </c>
    </row>
    <row r="145" spans="1:13" x14ac:dyDescent="0.3">
      <c r="A145" s="23" t="s">
        <v>13</v>
      </c>
      <c r="B145" s="6" t="s">
        <v>115</v>
      </c>
      <c r="C145" s="1" t="s">
        <v>93</v>
      </c>
      <c r="D145" s="1" t="s">
        <v>15</v>
      </c>
      <c r="E145" s="3">
        <v>351376415286441</v>
      </c>
      <c r="F145" s="1"/>
      <c r="G145" s="5">
        <v>45566</v>
      </c>
      <c r="H145" s="4">
        <v>200</v>
      </c>
      <c r="I145" s="4">
        <v>12</v>
      </c>
      <c r="J145" s="5"/>
      <c r="K145" s="4">
        <v>212</v>
      </c>
      <c r="L145" s="8">
        <v>0</v>
      </c>
      <c r="M145" s="6" t="s">
        <v>19</v>
      </c>
    </row>
    <row r="146" spans="1:13" x14ac:dyDescent="0.3">
      <c r="A146" s="23" t="s">
        <v>16</v>
      </c>
      <c r="B146" s="6" t="s">
        <v>148</v>
      </c>
      <c r="C146" s="1" t="s">
        <v>18</v>
      </c>
      <c r="D146" s="1" t="s">
        <v>15</v>
      </c>
      <c r="E146" s="3">
        <v>357171856139579</v>
      </c>
      <c r="F146" s="1"/>
      <c r="G146" s="5">
        <v>45576</v>
      </c>
      <c r="H146" s="4">
        <v>340</v>
      </c>
      <c r="I146" s="4">
        <v>9</v>
      </c>
      <c r="J146" s="5"/>
      <c r="K146" s="4">
        <v>349</v>
      </c>
      <c r="L146" s="8">
        <v>0</v>
      </c>
      <c r="M146" s="6" t="s">
        <v>156</v>
      </c>
    </row>
    <row r="147" spans="1:13" x14ac:dyDescent="0.3">
      <c r="A147" s="23" t="s">
        <v>13</v>
      </c>
      <c r="B147" s="6" t="s">
        <v>115</v>
      </c>
      <c r="C147" s="1" t="s">
        <v>93</v>
      </c>
      <c r="D147" s="1" t="s">
        <v>15</v>
      </c>
      <c r="E147" s="3">
        <v>351376412409228</v>
      </c>
      <c r="F147" s="1"/>
      <c r="G147" s="5">
        <v>45628</v>
      </c>
      <c r="H147" s="4">
        <v>170</v>
      </c>
      <c r="I147" s="4"/>
      <c r="J147" s="5"/>
      <c r="K147" s="4">
        <v>170</v>
      </c>
      <c r="L147" s="8">
        <v>0</v>
      </c>
      <c r="M147" s="6" t="s">
        <v>147</v>
      </c>
    </row>
    <row r="148" spans="1:13" x14ac:dyDescent="0.3">
      <c r="A148" s="23"/>
      <c r="B148" s="23"/>
      <c r="C148" s="28"/>
      <c r="D148" s="1"/>
      <c r="E148" s="36"/>
      <c r="F148" s="4"/>
      <c r="G148" s="5"/>
      <c r="H148" s="4"/>
      <c r="I148" s="4"/>
      <c r="J148" s="5"/>
      <c r="K148" s="4"/>
      <c r="L148" s="8"/>
      <c r="M148" s="6"/>
    </row>
    <row r="149" spans="1:13" x14ac:dyDescent="0.3">
      <c r="A149" s="23"/>
      <c r="B149" s="6"/>
      <c r="C149" s="1"/>
      <c r="D149" s="1"/>
      <c r="E149" s="3"/>
      <c r="F149" s="1"/>
      <c r="G149" s="5"/>
      <c r="H149" s="4"/>
      <c r="I149" s="4"/>
      <c r="J149" s="5"/>
      <c r="K149" s="4"/>
      <c r="L149" s="8"/>
      <c r="M149" s="6"/>
    </row>
    <row r="150" spans="1:13" x14ac:dyDescent="0.3">
      <c r="A150" s="23"/>
      <c r="B150" s="23"/>
      <c r="C150" s="28"/>
      <c r="D150" s="1"/>
      <c r="E150" s="34" t="s">
        <v>237</v>
      </c>
      <c r="F150" s="35" t="s">
        <v>238</v>
      </c>
      <c r="G150" s="5"/>
      <c r="H150" s="4"/>
      <c r="I150" s="4"/>
      <c r="J150" s="5"/>
      <c r="K150" s="4"/>
      <c r="L150" s="8"/>
      <c r="M150" s="6"/>
    </row>
    <row r="151" spans="1:13" x14ac:dyDescent="0.3">
      <c r="A151" s="23"/>
      <c r="B151" s="6"/>
      <c r="C151" s="23"/>
      <c r="D151" s="1"/>
      <c r="E151" s="17" t="s">
        <v>572</v>
      </c>
      <c r="F151" s="18">
        <v>217</v>
      </c>
      <c r="G151" s="1"/>
      <c r="H151" s="4"/>
      <c r="I151" s="4"/>
      <c r="J151" s="5"/>
      <c r="K151" s="4"/>
      <c r="L151" s="8"/>
      <c r="M151" s="6"/>
    </row>
    <row r="152" spans="1:13" x14ac:dyDescent="0.3">
      <c r="A152" s="23"/>
      <c r="B152" s="6"/>
      <c r="C152" s="23"/>
      <c r="D152" s="1"/>
      <c r="E152" s="17" t="s">
        <v>573</v>
      </c>
      <c r="F152" s="18">
        <v>290</v>
      </c>
      <c r="G152" s="1"/>
      <c r="H152" s="4"/>
      <c r="I152" s="4"/>
      <c r="J152" s="5"/>
      <c r="K152" s="4"/>
      <c r="L152" s="8"/>
      <c r="M152" s="6"/>
    </row>
    <row r="153" spans="1:13" x14ac:dyDescent="0.3">
      <c r="A153" s="23"/>
      <c r="B153" s="23"/>
      <c r="C153" s="28"/>
      <c r="D153" s="1"/>
      <c r="E153" s="19" t="s">
        <v>574</v>
      </c>
      <c r="F153" s="21">
        <v>23</v>
      </c>
      <c r="G153" s="5"/>
      <c r="H153" s="4"/>
      <c r="I153" s="4"/>
      <c r="J153" s="5"/>
      <c r="K153" s="4"/>
      <c r="L153" s="8"/>
      <c r="M153" s="6"/>
    </row>
    <row r="154" spans="1:13" x14ac:dyDescent="0.3">
      <c r="A154" s="23"/>
      <c r="B154" s="23"/>
      <c r="C154" s="28"/>
      <c r="D154" s="1"/>
      <c r="E154" s="19" t="s">
        <v>710</v>
      </c>
      <c r="F154" s="21">
        <v>700</v>
      </c>
      <c r="G154" s="5"/>
      <c r="H154" s="4"/>
      <c r="I154" s="4"/>
      <c r="J154" s="5"/>
      <c r="K154" s="4"/>
      <c r="L154" s="8"/>
      <c r="M154" s="6"/>
    </row>
    <row r="155" spans="1:13" x14ac:dyDescent="0.3">
      <c r="A155" s="23"/>
      <c r="B155" s="23"/>
      <c r="C155" s="28"/>
      <c r="D155" s="1"/>
      <c r="E155" s="33" t="s">
        <v>710</v>
      </c>
      <c r="F155" s="21">
        <v>300</v>
      </c>
      <c r="G155" s="5"/>
      <c r="H155" s="4"/>
      <c r="I155" s="4"/>
      <c r="J155" s="5"/>
      <c r="K155" s="4"/>
      <c r="L155" s="8"/>
      <c r="M155" s="6"/>
    </row>
    <row r="156" spans="1:13" x14ac:dyDescent="0.3">
      <c r="A156" s="23"/>
      <c r="B156" s="23"/>
      <c r="C156" s="28"/>
      <c r="D156" s="1"/>
      <c r="E156" s="33"/>
      <c r="F156" s="21"/>
      <c r="G156" s="5"/>
      <c r="H156" s="4"/>
      <c r="I156" s="4"/>
      <c r="J156" s="5"/>
      <c r="K156" s="4"/>
      <c r="L156" s="8"/>
      <c r="M156" s="6"/>
    </row>
    <row r="157" spans="1:13" x14ac:dyDescent="0.3">
      <c r="A157" s="23"/>
      <c r="B157" s="23"/>
      <c r="C157" s="28"/>
      <c r="D157" s="1"/>
      <c r="E157" s="33"/>
      <c r="F157" s="21"/>
      <c r="G157" s="5"/>
      <c r="H157" s="4"/>
      <c r="I157" s="4"/>
      <c r="J157" s="5"/>
      <c r="K157" s="4"/>
      <c r="L157" s="8"/>
      <c r="M157" s="6"/>
    </row>
    <row r="158" spans="1:13" x14ac:dyDescent="0.3">
      <c r="A158" s="23"/>
      <c r="B158" s="23"/>
      <c r="C158" s="28"/>
      <c r="D158" s="1"/>
      <c r="E158" s="33"/>
      <c r="F158" s="21"/>
      <c r="G158" s="5"/>
      <c r="H158" s="4"/>
      <c r="I158" s="4"/>
      <c r="J158" s="5"/>
      <c r="K158" s="4"/>
      <c r="L158" s="8"/>
      <c r="M158" s="6"/>
    </row>
    <row r="159" spans="1:13" x14ac:dyDescent="0.3">
      <c r="A159" s="23"/>
      <c r="B159" s="23"/>
      <c r="C159" s="28"/>
      <c r="D159" s="1"/>
      <c r="E159" s="33"/>
      <c r="F159" s="21"/>
      <c r="G159" s="5"/>
      <c r="H159" s="4"/>
      <c r="I159" s="4"/>
      <c r="J159" s="5"/>
      <c r="K159" s="4"/>
      <c r="L159" s="8"/>
      <c r="M159" s="6"/>
    </row>
    <row r="160" spans="1:13" x14ac:dyDescent="0.3">
      <c r="A160" s="23"/>
      <c r="B160" s="23"/>
      <c r="C160" s="28"/>
      <c r="D160" s="1"/>
      <c r="E160" s="33"/>
      <c r="F160" s="21"/>
      <c r="G160" s="5"/>
      <c r="H160" s="4"/>
      <c r="I160" s="4"/>
      <c r="J160" s="5"/>
      <c r="K160" s="4"/>
      <c r="L160" s="8"/>
      <c r="M160" s="6"/>
    </row>
    <row r="161" spans="1:13" x14ac:dyDescent="0.3">
      <c r="A161" s="23"/>
      <c r="B161" s="23"/>
      <c r="C161" s="28"/>
      <c r="D161" s="1"/>
      <c r="E161" s="33"/>
      <c r="F161" s="21"/>
      <c r="G161" s="5"/>
      <c r="H161" s="4"/>
      <c r="I161" s="4"/>
      <c r="J161" s="5"/>
      <c r="K161" s="4"/>
      <c r="L161" s="8"/>
      <c r="M161" s="6"/>
    </row>
    <row r="162" spans="1:13" x14ac:dyDescent="0.3">
      <c r="A162" s="23"/>
      <c r="B162" s="23"/>
      <c r="C162" s="28"/>
      <c r="D162" s="1"/>
      <c r="E162" s="19"/>
      <c r="F162" s="21"/>
      <c r="G162" s="5"/>
      <c r="H162" s="4"/>
      <c r="I162" s="4"/>
      <c r="J162" s="5"/>
      <c r="K162" s="4"/>
      <c r="L162" s="8"/>
      <c r="M162" s="6"/>
    </row>
    <row r="163" spans="1:13" x14ac:dyDescent="0.3">
      <c r="A163" s="23"/>
      <c r="B163" s="23"/>
      <c r="C163" s="28"/>
      <c r="D163" s="1"/>
      <c r="E163" s="19" t="s">
        <v>575</v>
      </c>
      <c r="F163" s="21">
        <v>400</v>
      </c>
      <c r="G163" s="5"/>
      <c r="H163" s="4"/>
      <c r="I163" s="4"/>
      <c r="J163" s="5"/>
      <c r="K163" s="4"/>
      <c r="L163" s="8"/>
      <c r="M163" s="6"/>
    </row>
    <row r="164" spans="1:13" x14ac:dyDescent="0.3">
      <c r="A164" s="23"/>
      <c r="B164" s="23"/>
      <c r="C164" s="28"/>
      <c r="D164" s="1"/>
      <c r="E164" s="33" t="s">
        <v>226</v>
      </c>
      <c r="F164" s="21">
        <v>2000</v>
      </c>
      <c r="G164" s="5"/>
      <c r="H164" s="4"/>
      <c r="I164" s="4"/>
      <c r="J164" s="5"/>
      <c r="K164" s="4"/>
      <c r="L164" s="8"/>
      <c r="M164" s="6"/>
    </row>
    <row r="165" spans="1:13" x14ac:dyDescent="0.3">
      <c r="A165" s="23"/>
      <c r="B165" s="23"/>
      <c r="C165" s="28"/>
      <c r="D165" s="1"/>
      <c r="E165" s="19"/>
      <c r="F165" s="21"/>
      <c r="G165" s="5"/>
      <c r="H165" s="4"/>
      <c r="I165" s="4"/>
      <c r="J165" s="5"/>
      <c r="K165" s="4"/>
      <c r="L165" s="8"/>
      <c r="M165" s="6"/>
    </row>
    <row r="166" spans="1:13" x14ac:dyDescent="0.3">
      <c r="A166" s="23"/>
      <c r="B166" s="23"/>
      <c r="C166" s="28"/>
      <c r="D166" s="1"/>
      <c r="E166" s="19"/>
      <c r="F166" s="21"/>
      <c r="G166" s="5"/>
      <c r="H166" s="4"/>
      <c r="I166" s="4"/>
      <c r="J166" s="5"/>
      <c r="K166" s="4"/>
      <c r="L166" s="8"/>
      <c r="M166" s="6"/>
    </row>
    <row r="167" spans="1:13" x14ac:dyDescent="0.3">
      <c r="A167" s="23"/>
      <c r="B167" s="23"/>
      <c r="C167" s="28"/>
      <c r="D167" s="1"/>
      <c r="E167" s="19"/>
      <c r="F167" s="21"/>
      <c r="G167" s="5"/>
      <c r="H167" s="4"/>
      <c r="I167" s="4"/>
      <c r="J167" s="5"/>
      <c r="K167" s="4"/>
      <c r="L167" s="8"/>
      <c r="M167" s="6"/>
    </row>
    <row r="168" spans="1:13" x14ac:dyDescent="0.3">
      <c r="A168" s="23"/>
      <c r="B168" s="23"/>
      <c r="C168" s="28"/>
      <c r="D168" s="1"/>
      <c r="E168" s="19"/>
      <c r="F168" s="21"/>
      <c r="G168" s="5"/>
      <c r="H168" s="4"/>
      <c r="I168" s="4"/>
      <c r="J168" s="5"/>
      <c r="K168" s="4"/>
      <c r="L168" s="8"/>
      <c r="M168" s="6"/>
    </row>
    <row r="169" spans="1:13" x14ac:dyDescent="0.3">
      <c r="A169" s="23"/>
      <c r="B169" s="23"/>
      <c r="C169" s="28"/>
      <c r="D169" s="1"/>
      <c r="E169" s="19"/>
      <c r="F169" s="21"/>
      <c r="G169" s="5"/>
      <c r="H169" s="4">
        <f>SUM(H2:H168)</f>
        <v>60305</v>
      </c>
      <c r="I169" s="4">
        <f>SUM(I2:I168)</f>
        <v>486</v>
      </c>
      <c r="J169" s="5"/>
      <c r="K169" s="4">
        <f>SUM(K2:K168)</f>
        <v>69781</v>
      </c>
      <c r="L169" s="8">
        <f>SUM(L2:L168)</f>
        <v>8990</v>
      </c>
      <c r="M169" s="6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762B5-18BA-4807-A143-3FF213A1E2A2}">
  <sheetPr codeName="Лист13"/>
  <dimension ref="A1:M195"/>
  <sheetViews>
    <sheetView topLeftCell="A176" zoomScale="73" zoomScaleNormal="73" workbookViewId="0">
      <selection activeCell="H190" sqref="H190"/>
    </sheetView>
  </sheetViews>
  <sheetFormatPr defaultRowHeight="14.4" x14ac:dyDescent="0.3"/>
  <cols>
    <col min="1" max="1" width="13.6640625" bestFit="1" customWidth="1"/>
    <col min="2" max="2" width="24.109375" customWidth="1"/>
    <col min="3" max="3" width="13.44140625" customWidth="1"/>
    <col min="4" max="4" width="16.44140625" bestFit="1" customWidth="1"/>
    <col min="5" max="5" width="20.33203125" customWidth="1"/>
    <col min="6" max="6" width="19.109375" customWidth="1"/>
    <col min="7" max="7" width="21.44140625" customWidth="1"/>
    <col min="8" max="8" width="23.88671875" bestFit="1" customWidth="1"/>
    <col min="9" max="9" width="15" bestFit="1" customWidth="1"/>
    <col min="10" max="10" width="22.33203125" style="4" bestFit="1" customWidth="1"/>
    <col min="11" max="11" width="22.88671875" bestFit="1" customWidth="1"/>
    <col min="12" max="12" width="13.88671875" style="9" bestFit="1" customWidth="1"/>
    <col min="13" max="13" width="24.109375" customWidth="1"/>
  </cols>
  <sheetData>
    <row r="1" spans="1:13" x14ac:dyDescent="0.3">
      <c r="A1" s="1" t="s">
        <v>0</v>
      </c>
      <c r="B1" s="6" t="s">
        <v>2</v>
      </c>
      <c r="C1" s="1" t="s">
        <v>1</v>
      </c>
      <c r="D1" s="1" t="s">
        <v>3</v>
      </c>
      <c r="E1" s="3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10</v>
      </c>
      <c r="K1" s="1" t="s">
        <v>9</v>
      </c>
      <c r="L1" s="1" t="s">
        <v>11</v>
      </c>
      <c r="M1" s="1" t="s">
        <v>12</v>
      </c>
    </row>
    <row r="2" spans="1:13" x14ac:dyDescent="0.3">
      <c r="A2" s="23" t="s">
        <v>16</v>
      </c>
      <c r="B2" s="6" t="s">
        <v>34</v>
      </c>
      <c r="C2" s="23" t="s">
        <v>21</v>
      </c>
      <c r="D2" s="1" t="s">
        <v>22</v>
      </c>
      <c r="E2" s="3">
        <v>351914966098573</v>
      </c>
      <c r="F2" s="1" t="s">
        <v>50</v>
      </c>
      <c r="G2" s="5">
        <v>45546</v>
      </c>
      <c r="H2" s="4">
        <v>670</v>
      </c>
      <c r="I2" s="4">
        <v>47</v>
      </c>
      <c r="J2" s="5">
        <v>45597</v>
      </c>
      <c r="K2" s="4">
        <v>780</v>
      </c>
      <c r="L2" s="8">
        <v>63</v>
      </c>
      <c r="M2" s="6" t="s">
        <v>31</v>
      </c>
    </row>
    <row r="3" spans="1:13" x14ac:dyDescent="0.3">
      <c r="A3" s="23" t="s">
        <v>16</v>
      </c>
      <c r="B3" s="6" t="s">
        <v>74</v>
      </c>
      <c r="C3" s="23" t="s">
        <v>97</v>
      </c>
      <c r="D3" s="1" t="s">
        <v>22</v>
      </c>
      <c r="E3" s="3">
        <v>351942131808667</v>
      </c>
      <c r="F3" s="1" t="s">
        <v>181</v>
      </c>
      <c r="G3" s="5">
        <v>45578</v>
      </c>
      <c r="H3" s="4">
        <v>560</v>
      </c>
      <c r="I3" s="4"/>
      <c r="J3" s="5">
        <v>45597</v>
      </c>
      <c r="K3" s="4">
        <v>600</v>
      </c>
      <c r="L3" s="8">
        <v>40</v>
      </c>
      <c r="M3" s="6" t="s">
        <v>182</v>
      </c>
    </row>
    <row r="4" spans="1:13" x14ac:dyDescent="0.3">
      <c r="A4" s="23" t="s">
        <v>16</v>
      </c>
      <c r="B4" s="6" t="s">
        <v>173</v>
      </c>
      <c r="C4" s="23" t="s">
        <v>21</v>
      </c>
      <c r="D4" s="1" t="s">
        <v>15</v>
      </c>
      <c r="E4" s="3">
        <v>359406088647256</v>
      </c>
      <c r="F4" s="1" t="s">
        <v>203</v>
      </c>
      <c r="G4" s="5">
        <v>45595</v>
      </c>
      <c r="H4" s="4">
        <v>100</v>
      </c>
      <c r="I4" s="4"/>
      <c r="J4" s="5">
        <v>45597</v>
      </c>
      <c r="K4" s="4">
        <v>130</v>
      </c>
      <c r="L4" s="8">
        <v>30</v>
      </c>
      <c r="M4" s="6" t="s">
        <v>305</v>
      </c>
    </row>
    <row r="5" spans="1:13" x14ac:dyDescent="0.3">
      <c r="A5" s="23" t="s">
        <v>16</v>
      </c>
      <c r="B5" s="6" t="s">
        <v>62</v>
      </c>
      <c r="C5" s="23" t="s">
        <v>18</v>
      </c>
      <c r="D5" s="1" t="s">
        <v>15</v>
      </c>
      <c r="E5" s="3">
        <v>355908668111466</v>
      </c>
      <c r="F5" s="1" t="s">
        <v>63</v>
      </c>
      <c r="G5" s="5">
        <v>45561</v>
      </c>
      <c r="H5" s="4">
        <v>595</v>
      </c>
      <c r="I5" s="4">
        <v>12</v>
      </c>
      <c r="J5" s="5">
        <v>45598</v>
      </c>
      <c r="K5" s="4">
        <v>650</v>
      </c>
      <c r="L5" s="8">
        <v>43</v>
      </c>
      <c r="M5" s="6" t="s">
        <v>64</v>
      </c>
    </row>
    <row r="6" spans="1:13" x14ac:dyDescent="0.3">
      <c r="A6" s="23" t="s">
        <v>16</v>
      </c>
      <c r="B6" s="6" t="s">
        <v>259</v>
      </c>
      <c r="C6" s="23" t="s">
        <v>18</v>
      </c>
      <c r="D6" s="1" t="s">
        <v>15</v>
      </c>
      <c r="E6" s="3">
        <v>353018110271686</v>
      </c>
      <c r="F6" s="1"/>
      <c r="G6" s="5">
        <v>45592</v>
      </c>
      <c r="H6" s="4">
        <v>101</v>
      </c>
      <c r="I6" s="4"/>
      <c r="J6" s="5">
        <v>45598</v>
      </c>
      <c r="K6" s="4">
        <v>175</v>
      </c>
      <c r="L6" s="8">
        <v>74</v>
      </c>
      <c r="M6" s="6" t="s">
        <v>280</v>
      </c>
    </row>
    <row r="7" spans="1:13" x14ac:dyDescent="0.3">
      <c r="A7" s="23" t="s">
        <v>16</v>
      </c>
      <c r="B7" s="6" t="s">
        <v>17</v>
      </c>
      <c r="C7" s="23" t="s">
        <v>45</v>
      </c>
      <c r="D7" s="1" t="s">
        <v>15</v>
      </c>
      <c r="E7" s="3">
        <v>353242103254166</v>
      </c>
      <c r="F7" s="1" t="s">
        <v>138</v>
      </c>
      <c r="G7" s="5">
        <v>45592</v>
      </c>
      <c r="H7" s="4">
        <v>200</v>
      </c>
      <c r="I7" s="4"/>
      <c r="J7" s="5">
        <v>45598</v>
      </c>
      <c r="K7" s="4">
        <v>260</v>
      </c>
      <c r="L7" s="8">
        <v>60</v>
      </c>
      <c r="M7" s="6" t="s">
        <v>287</v>
      </c>
    </row>
    <row r="8" spans="1:13" x14ac:dyDescent="0.3">
      <c r="A8" s="23"/>
      <c r="B8" s="6" t="s">
        <v>323</v>
      </c>
      <c r="C8" s="23"/>
      <c r="D8" s="1"/>
      <c r="E8" s="3"/>
      <c r="F8" s="1"/>
      <c r="G8" s="5"/>
      <c r="H8" s="4"/>
      <c r="I8" s="4"/>
      <c r="J8" s="5">
        <v>45598</v>
      </c>
      <c r="K8" s="4">
        <v>5</v>
      </c>
      <c r="L8" s="8">
        <v>5</v>
      </c>
      <c r="M8" s="6"/>
    </row>
    <row r="9" spans="1:13" x14ac:dyDescent="0.3">
      <c r="A9" s="23" t="s">
        <v>16</v>
      </c>
      <c r="B9" s="6" t="s">
        <v>34</v>
      </c>
      <c r="C9" s="23" t="s">
        <v>35</v>
      </c>
      <c r="D9" s="1" t="s">
        <v>15</v>
      </c>
      <c r="E9" s="3">
        <v>355281436702309</v>
      </c>
      <c r="F9" s="1"/>
      <c r="G9" s="5">
        <v>45562</v>
      </c>
      <c r="H9" s="4">
        <v>730</v>
      </c>
      <c r="I9" s="4">
        <v>9</v>
      </c>
      <c r="J9" s="5">
        <v>45598</v>
      </c>
      <c r="K9" s="4">
        <v>780</v>
      </c>
      <c r="L9" s="8">
        <v>41</v>
      </c>
      <c r="M9" s="6" t="s">
        <v>29</v>
      </c>
    </row>
    <row r="10" spans="1:13" x14ac:dyDescent="0.3">
      <c r="A10" s="23" t="s">
        <v>324</v>
      </c>
      <c r="B10" s="6" t="s">
        <v>325</v>
      </c>
      <c r="C10" s="23" t="s">
        <v>26</v>
      </c>
      <c r="D10" s="1" t="s">
        <v>22</v>
      </c>
      <c r="E10" s="3">
        <v>352945212328215</v>
      </c>
      <c r="F10" s="1"/>
      <c r="G10" s="5">
        <v>45596</v>
      </c>
      <c r="H10" s="4">
        <v>770</v>
      </c>
      <c r="I10" s="4"/>
      <c r="J10" s="5">
        <v>45598</v>
      </c>
      <c r="K10" s="4">
        <v>808</v>
      </c>
      <c r="L10" s="8">
        <v>38</v>
      </c>
      <c r="M10" s="6"/>
    </row>
    <row r="11" spans="1:13" x14ac:dyDescent="0.3">
      <c r="A11" s="23" t="s">
        <v>16</v>
      </c>
      <c r="B11" s="6" t="s">
        <v>101</v>
      </c>
      <c r="C11" s="23" t="s">
        <v>21</v>
      </c>
      <c r="D11" s="1" t="s">
        <v>15</v>
      </c>
      <c r="E11" s="3">
        <v>353913108545119</v>
      </c>
      <c r="F11" s="1" t="s">
        <v>249</v>
      </c>
      <c r="G11" s="5">
        <v>45589</v>
      </c>
      <c r="H11" s="4">
        <v>260</v>
      </c>
      <c r="I11" s="4">
        <v>27</v>
      </c>
      <c r="J11" s="5">
        <v>45598</v>
      </c>
      <c r="K11" s="4">
        <v>300</v>
      </c>
      <c r="L11" s="8">
        <v>13</v>
      </c>
      <c r="M11" s="6"/>
    </row>
    <row r="12" spans="1:13" x14ac:dyDescent="0.3">
      <c r="A12" s="23" t="s">
        <v>16</v>
      </c>
      <c r="B12" s="6" t="s">
        <v>106</v>
      </c>
      <c r="C12" s="23" t="s">
        <v>93</v>
      </c>
      <c r="D12" s="1" t="s">
        <v>15</v>
      </c>
      <c r="E12" s="3">
        <v>356548106506817</v>
      </c>
      <c r="F12" s="1"/>
      <c r="G12" s="5">
        <v>45595</v>
      </c>
      <c r="H12" s="4">
        <v>210</v>
      </c>
      <c r="I12" s="4"/>
      <c r="J12" s="5">
        <v>45598</v>
      </c>
      <c r="K12" s="4">
        <v>270</v>
      </c>
      <c r="L12" s="8">
        <v>60</v>
      </c>
      <c r="M12" s="6" t="s">
        <v>305</v>
      </c>
    </row>
    <row r="13" spans="1:13" x14ac:dyDescent="0.3">
      <c r="A13" s="23" t="s">
        <v>16</v>
      </c>
      <c r="B13" s="6" t="s">
        <v>111</v>
      </c>
      <c r="C13" s="23" t="s">
        <v>21</v>
      </c>
      <c r="D13" s="1" t="s">
        <v>22</v>
      </c>
      <c r="E13" s="3">
        <v>357590496381863</v>
      </c>
      <c r="F13" s="1" t="s">
        <v>113</v>
      </c>
      <c r="G13" s="5">
        <v>45566</v>
      </c>
      <c r="H13" s="4">
        <v>240</v>
      </c>
      <c r="I13" s="4"/>
      <c r="J13" s="5">
        <v>45599</v>
      </c>
      <c r="K13" s="4">
        <v>280</v>
      </c>
      <c r="L13" s="8">
        <v>40</v>
      </c>
      <c r="M13" s="6" t="s">
        <v>114</v>
      </c>
    </row>
    <row r="14" spans="1:13" x14ac:dyDescent="0.3">
      <c r="A14" s="23" t="s">
        <v>13</v>
      </c>
      <c r="B14" s="6" t="s">
        <v>272</v>
      </c>
      <c r="C14" s="23" t="s">
        <v>20</v>
      </c>
      <c r="D14" s="1" t="s">
        <v>15</v>
      </c>
      <c r="E14" s="3">
        <v>352730631009319</v>
      </c>
      <c r="F14" s="1"/>
      <c r="G14" s="5">
        <v>45591</v>
      </c>
      <c r="H14" s="4">
        <v>400</v>
      </c>
      <c r="I14" s="4"/>
      <c r="J14" s="5">
        <v>45599</v>
      </c>
      <c r="K14" s="4">
        <v>470</v>
      </c>
      <c r="L14" s="8">
        <v>70</v>
      </c>
      <c r="M14" s="6" t="s">
        <v>273</v>
      </c>
    </row>
    <row r="15" spans="1:13" x14ac:dyDescent="0.3">
      <c r="A15" s="23" t="s">
        <v>16</v>
      </c>
      <c r="B15" s="6" t="s">
        <v>128</v>
      </c>
      <c r="C15" s="23" t="s">
        <v>26</v>
      </c>
      <c r="D15" s="1" t="s">
        <v>22</v>
      </c>
      <c r="E15" s="3">
        <v>351135560014481</v>
      </c>
      <c r="F15" s="1"/>
      <c r="G15" s="5">
        <v>45591</v>
      </c>
      <c r="H15" s="4">
        <v>780</v>
      </c>
      <c r="I15" s="4"/>
      <c r="J15" s="5">
        <v>45599</v>
      </c>
      <c r="K15" s="4">
        <v>840</v>
      </c>
      <c r="L15" s="8">
        <v>60</v>
      </c>
      <c r="M15" s="6" t="s">
        <v>274</v>
      </c>
    </row>
    <row r="16" spans="1:13" x14ac:dyDescent="0.3">
      <c r="A16" s="23" t="s">
        <v>16</v>
      </c>
      <c r="B16" s="6" t="s">
        <v>312</v>
      </c>
      <c r="C16" s="23" t="s">
        <v>65</v>
      </c>
      <c r="D16" s="1" t="s">
        <v>22</v>
      </c>
      <c r="E16" s="3">
        <v>359272530495011</v>
      </c>
      <c r="F16" s="1" t="s">
        <v>66</v>
      </c>
      <c r="G16" s="5">
        <v>45596</v>
      </c>
      <c r="H16" s="4">
        <v>400</v>
      </c>
      <c r="I16" s="4"/>
      <c r="J16" s="5">
        <v>45599</v>
      </c>
      <c r="K16" s="4">
        <v>475</v>
      </c>
      <c r="L16" s="8">
        <v>75</v>
      </c>
      <c r="M16" s="6" t="s">
        <v>313</v>
      </c>
    </row>
    <row r="17" spans="1:13" x14ac:dyDescent="0.3">
      <c r="A17" s="23" t="s">
        <v>16</v>
      </c>
      <c r="B17" s="6" t="s">
        <v>83</v>
      </c>
      <c r="C17" s="23" t="s">
        <v>65</v>
      </c>
      <c r="D17" s="1" t="s">
        <v>15</v>
      </c>
      <c r="E17" s="3">
        <v>350367276559282</v>
      </c>
      <c r="F17" s="1"/>
      <c r="G17" s="5">
        <v>45595</v>
      </c>
      <c r="H17" s="4">
        <v>480</v>
      </c>
      <c r="I17" s="4"/>
      <c r="J17" s="5">
        <v>45599</v>
      </c>
      <c r="K17" s="4">
        <v>480</v>
      </c>
      <c r="L17" s="8">
        <v>0</v>
      </c>
      <c r="M17" s="6" t="s">
        <v>262</v>
      </c>
    </row>
    <row r="18" spans="1:13" x14ac:dyDescent="0.3">
      <c r="A18" s="23" t="s">
        <v>16</v>
      </c>
      <c r="B18" s="6" t="s">
        <v>51</v>
      </c>
      <c r="C18" s="23" t="s">
        <v>97</v>
      </c>
      <c r="D18" s="1" t="s">
        <v>15</v>
      </c>
      <c r="E18" s="3">
        <v>351747950541863</v>
      </c>
      <c r="F18" s="1"/>
      <c r="G18" s="5">
        <v>45584</v>
      </c>
      <c r="H18" s="4">
        <v>560</v>
      </c>
      <c r="I18" s="4"/>
      <c r="J18" s="5">
        <v>45600</v>
      </c>
      <c r="K18" s="4">
        <v>615</v>
      </c>
      <c r="L18" s="8">
        <v>55</v>
      </c>
      <c r="M18" s="6" t="s">
        <v>213</v>
      </c>
    </row>
    <row r="19" spans="1:13" x14ac:dyDescent="0.3">
      <c r="A19" s="23" t="s">
        <v>16</v>
      </c>
      <c r="B19" s="6" t="s">
        <v>96</v>
      </c>
      <c r="C19" s="23" t="s">
        <v>97</v>
      </c>
      <c r="D19" s="1" t="s">
        <v>15</v>
      </c>
      <c r="E19" s="3">
        <v>352821113936655</v>
      </c>
      <c r="F19" s="1"/>
      <c r="G19" s="5">
        <v>45596</v>
      </c>
      <c r="H19" s="4">
        <v>220</v>
      </c>
      <c r="I19" s="4"/>
      <c r="J19" s="5">
        <v>45600</v>
      </c>
      <c r="K19" s="4">
        <v>260</v>
      </c>
      <c r="L19" s="8">
        <v>40</v>
      </c>
      <c r="M19" s="6" t="s">
        <v>315</v>
      </c>
    </row>
    <row r="20" spans="1:13" x14ac:dyDescent="0.3">
      <c r="A20" s="23" t="s">
        <v>13</v>
      </c>
      <c r="B20" s="6" t="s">
        <v>14</v>
      </c>
      <c r="C20" s="23" t="s">
        <v>20</v>
      </c>
      <c r="D20" s="1" t="s">
        <v>15</v>
      </c>
      <c r="E20" s="3">
        <v>351562312854569</v>
      </c>
      <c r="F20" s="1"/>
      <c r="G20" s="5">
        <v>45584</v>
      </c>
      <c r="H20" s="4">
        <v>400</v>
      </c>
      <c r="I20" s="4">
        <v>12</v>
      </c>
      <c r="J20" s="5">
        <v>45600</v>
      </c>
      <c r="K20" s="4">
        <v>450</v>
      </c>
      <c r="L20" s="8">
        <v>38</v>
      </c>
      <c r="M20" s="6" t="s">
        <v>147</v>
      </c>
    </row>
    <row r="21" spans="1:13" x14ac:dyDescent="0.3">
      <c r="A21" s="23" t="s">
        <v>13</v>
      </c>
      <c r="B21" s="6" t="s">
        <v>14</v>
      </c>
      <c r="C21" s="23" t="s">
        <v>97</v>
      </c>
      <c r="D21" s="1" t="s">
        <v>15</v>
      </c>
      <c r="E21" s="3">
        <v>351562312809845</v>
      </c>
      <c r="F21" s="1"/>
      <c r="G21" s="5">
        <v>45596</v>
      </c>
      <c r="H21" s="4">
        <v>390</v>
      </c>
      <c r="I21" s="4"/>
      <c r="J21" s="5">
        <v>45600</v>
      </c>
      <c r="K21" s="4">
        <v>450</v>
      </c>
      <c r="L21" s="8">
        <v>60</v>
      </c>
      <c r="M21" s="6" t="s">
        <v>307</v>
      </c>
    </row>
    <row r="22" spans="1:13" x14ac:dyDescent="0.3">
      <c r="A22" s="23" t="s">
        <v>16</v>
      </c>
      <c r="B22" s="6" t="s">
        <v>173</v>
      </c>
      <c r="C22" s="23" t="s">
        <v>21</v>
      </c>
      <c r="D22" s="1" t="s">
        <v>22</v>
      </c>
      <c r="E22" s="3">
        <v>354866094995566</v>
      </c>
      <c r="F22" s="1" t="s">
        <v>337</v>
      </c>
      <c r="G22" s="5">
        <v>45599</v>
      </c>
      <c r="H22" s="4">
        <v>104</v>
      </c>
      <c r="I22" s="4"/>
      <c r="J22" s="5">
        <v>45600</v>
      </c>
      <c r="K22" s="4">
        <v>125</v>
      </c>
      <c r="L22" s="8">
        <v>21</v>
      </c>
      <c r="M22" s="6"/>
    </row>
    <row r="23" spans="1:13" x14ac:dyDescent="0.3">
      <c r="A23" s="23" t="s">
        <v>16</v>
      </c>
      <c r="B23" s="6" t="s">
        <v>129</v>
      </c>
      <c r="C23" s="23" t="s">
        <v>65</v>
      </c>
      <c r="D23" s="1" t="s">
        <v>22</v>
      </c>
      <c r="E23" s="3">
        <v>358442714182260</v>
      </c>
      <c r="F23" s="1" t="s">
        <v>43</v>
      </c>
      <c r="G23" s="5">
        <v>45543</v>
      </c>
      <c r="H23" s="4">
        <v>600</v>
      </c>
      <c r="I23" s="4"/>
      <c r="J23" s="5">
        <v>45600</v>
      </c>
      <c r="K23" s="4">
        <v>650</v>
      </c>
      <c r="L23" s="8">
        <v>50</v>
      </c>
      <c r="M23" s="6" t="s">
        <v>136</v>
      </c>
    </row>
    <row r="24" spans="1:13" x14ac:dyDescent="0.3">
      <c r="A24" s="23" t="s">
        <v>16</v>
      </c>
      <c r="B24" s="6" t="s">
        <v>81</v>
      </c>
      <c r="C24" s="23" t="s">
        <v>45</v>
      </c>
      <c r="D24" s="1" t="s">
        <v>15</v>
      </c>
      <c r="E24" s="3">
        <v>359206409976313</v>
      </c>
      <c r="F24" s="1"/>
      <c r="G24" s="5">
        <v>45599</v>
      </c>
      <c r="H24" s="4">
        <v>470</v>
      </c>
      <c r="I24" s="4"/>
      <c r="J24" s="5">
        <v>45600</v>
      </c>
      <c r="K24" s="4">
        <v>540</v>
      </c>
      <c r="L24" s="8">
        <v>70</v>
      </c>
      <c r="M24" s="6" t="s">
        <v>332</v>
      </c>
    </row>
    <row r="25" spans="1:13" x14ac:dyDescent="0.3">
      <c r="A25" s="23" t="s">
        <v>16</v>
      </c>
      <c r="B25" s="6" t="s">
        <v>104</v>
      </c>
      <c r="C25" s="23" t="s">
        <v>65</v>
      </c>
      <c r="D25" s="1" t="s">
        <v>15</v>
      </c>
      <c r="E25" s="3">
        <v>356712115127433</v>
      </c>
      <c r="F25" s="1" t="s">
        <v>348</v>
      </c>
      <c r="G25" s="5">
        <v>45601</v>
      </c>
      <c r="H25" s="4">
        <v>208</v>
      </c>
      <c r="I25" s="4"/>
      <c r="J25" s="5">
        <v>45601</v>
      </c>
      <c r="K25" s="4">
        <v>250</v>
      </c>
      <c r="L25" s="8">
        <v>42</v>
      </c>
      <c r="M25" s="6" t="s">
        <v>349</v>
      </c>
    </row>
    <row r="26" spans="1:13" x14ac:dyDescent="0.3">
      <c r="A26" s="23" t="s">
        <v>16</v>
      </c>
      <c r="B26" s="6" t="s">
        <v>128</v>
      </c>
      <c r="C26" s="23" t="s">
        <v>26</v>
      </c>
      <c r="D26" s="1" t="s">
        <v>22</v>
      </c>
      <c r="E26" s="3">
        <v>358571313211029</v>
      </c>
      <c r="F26" s="1"/>
      <c r="G26" s="5">
        <v>45591</v>
      </c>
      <c r="H26" s="4">
        <v>800</v>
      </c>
      <c r="I26" s="4"/>
      <c r="J26" s="5">
        <v>45601</v>
      </c>
      <c r="K26" s="4">
        <v>850</v>
      </c>
      <c r="L26" s="8">
        <v>50</v>
      </c>
      <c r="M26" s="6" t="s">
        <v>269</v>
      </c>
    </row>
    <row r="27" spans="1:13" x14ac:dyDescent="0.3">
      <c r="A27" s="23" t="s">
        <v>16</v>
      </c>
      <c r="B27" s="6" t="s">
        <v>25</v>
      </c>
      <c r="C27" s="23" t="s">
        <v>26</v>
      </c>
      <c r="D27" s="1" t="s">
        <v>22</v>
      </c>
      <c r="E27" s="3">
        <v>354650912525718</v>
      </c>
      <c r="F27" s="1" t="s">
        <v>66</v>
      </c>
      <c r="G27" s="5">
        <v>45601</v>
      </c>
      <c r="H27" s="4">
        <v>550</v>
      </c>
      <c r="I27" s="4">
        <v>20</v>
      </c>
      <c r="J27" s="5">
        <v>45601</v>
      </c>
      <c r="K27" s="4">
        <v>600</v>
      </c>
      <c r="L27" s="8">
        <v>30</v>
      </c>
      <c r="M27" s="6" t="s">
        <v>353</v>
      </c>
    </row>
    <row r="28" spans="1:13" x14ac:dyDescent="0.3">
      <c r="A28" s="23" t="s">
        <v>13</v>
      </c>
      <c r="B28" s="6" t="s">
        <v>14</v>
      </c>
      <c r="C28" s="23" t="s">
        <v>18</v>
      </c>
      <c r="D28" s="1" t="s">
        <v>15</v>
      </c>
      <c r="E28" s="3">
        <v>353074283432456</v>
      </c>
      <c r="F28" s="1" t="s">
        <v>43</v>
      </c>
      <c r="G28" s="5">
        <v>45593</v>
      </c>
      <c r="H28" s="4">
        <v>370</v>
      </c>
      <c r="I28" s="4"/>
      <c r="J28" s="5">
        <v>45601</v>
      </c>
      <c r="K28" s="4">
        <v>450</v>
      </c>
      <c r="L28" s="8">
        <v>70</v>
      </c>
      <c r="M28" s="6" t="s">
        <v>289</v>
      </c>
    </row>
    <row r="29" spans="1:13" x14ac:dyDescent="0.3">
      <c r="A29" s="23" t="s">
        <v>16</v>
      </c>
      <c r="B29" s="6" t="s">
        <v>96</v>
      </c>
      <c r="C29" s="23" t="s">
        <v>97</v>
      </c>
      <c r="D29" s="1" t="s">
        <v>15</v>
      </c>
      <c r="E29" s="3">
        <v>353843102432867</v>
      </c>
      <c r="F29" s="1" t="s">
        <v>343</v>
      </c>
      <c r="G29" s="5">
        <v>45600</v>
      </c>
      <c r="H29" s="4">
        <v>179</v>
      </c>
      <c r="I29" s="4"/>
      <c r="J29" s="5">
        <v>45601</v>
      </c>
      <c r="K29" s="4">
        <v>230</v>
      </c>
      <c r="L29" s="8">
        <v>51</v>
      </c>
      <c r="M29" s="6" t="s">
        <v>344</v>
      </c>
    </row>
    <row r="30" spans="1:13" x14ac:dyDescent="0.3">
      <c r="A30" s="23" t="s">
        <v>16</v>
      </c>
      <c r="B30" s="6" t="s">
        <v>151</v>
      </c>
      <c r="C30" s="23" t="s">
        <v>21</v>
      </c>
      <c r="D30" s="1" t="s">
        <v>15</v>
      </c>
      <c r="E30" s="3"/>
      <c r="F30" s="1"/>
      <c r="G30" s="5">
        <v>45597</v>
      </c>
      <c r="H30" s="4">
        <v>54</v>
      </c>
      <c r="I30" s="4"/>
      <c r="J30" s="5">
        <v>45601</v>
      </c>
      <c r="K30" s="4">
        <v>70</v>
      </c>
      <c r="L30" s="8">
        <f>Таблица323[[#This Row],[SOTILGAN NARXI]]-Таблица323[[#This Row],[OLINGAN NARXI $]]-Таблица323[[#This Row],[RASXOD]]</f>
        <v>16</v>
      </c>
      <c r="M30" s="6"/>
    </row>
    <row r="31" spans="1:13" x14ac:dyDescent="0.3">
      <c r="A31" s="23" t="s">
        <v>16</v>
      </c>
      <c r="B31" s="6" t="s">
        <v>104</v>
      </c>
      <c r="C31" s="23" t="s">
        <v>65</v>
      </c>
      <c r="D31" s="1" t="s">
        <v>15</v>
      </c>
      <c r="E31" s="3">
        <v>356732117435477</v>
      </c>
      <c r="F31" s="1"/>
      <c r="G31" s="5">
        <v>45595</v>
      </c>
      <c r="H31" s="4">
        <v>350</v>
      </c>
      <c r="I31" s="4"/>
      <c r="J31" s="5">
        <v>45602</v>
      </c>
      <c r="K31" s="4">
        <v>400</v>
      </c>
      <c r="L31" s="8">
        <v>50</v>
      </c>
      <c r="M31" s="6" t="s">
        <v>306</v>
      </c>
    </row>
    <row r="32" spans="1:13" x14ac:dyDescent="0.3">
      <c r="A32" s="23" t="s">
        <v>329</v>
      </c>
      <c r="B32" s="6" t="s">
        <v>330</v>
      </c>
      <c r="C32" s="23" t="s">
        <v>65</v>
      </c>
      <c r="D32" s="1" t="s">
        <v>22</v>
      </c>
      <c r="E32" s="3">
        <v>863286020083664</v>
      </c>
      <c r="F32" s="1"/>
      <c r="G32" s="5">
        <v>45599</v>
      </c>
      <c r="H32" s="4">
        <v>39</v>
      </c>
      <c r="I32" s="4">
        <v>4</v>
      </c>
      <c r="J32" s="5">
        <v>45603</v>
      </c>
      <c r="K32" s="4">
        <v>62</v>
      </c>
      <c r="L32" s="8">
        <v>19</v>
      </c>
      <c r="M32" s="6" t="s">
        <v>331</v>
      </c>
    </row>
    <row r="33" spans="1:13" x14ac:dyDescent="0.3">
      <c r="A33" s="23" t="s">
        <v>16</v>
      </c>
      <c r="B33" s="6" t="s">
        <v>30</v>
      </c>
      <c r="C33" s="23" t="s">
        <v>26</v>
      </c>
      <c r="D33" s="1" t="s">
        <v>22</v>
      </c>
      <c r="E33" s="3">
        <v>351914981316042</v>
      </c>
      <c r="F33" s="1"/>
      <c r="G33" s="5">
        <v>45572</v>
      </c>
      <c r="H33" s="4">
        <v>970</v>
      </c>
      <c r="I33" s="4"/>
      <c r="J33" s="5">
        <v>45603</v>
      </c>
      <c r="K33" s="4">
        <v>1000</v>
      </c>
      <c r="L33" s="8">
        <v>30</v>
      </c>
      <c r="M33" s="6" t="s">
        <v>31</v>
      </c>
    </row>
    <row r="34" spans="1:13" x14ac:dyDescent="0.3">
      <c r="A34" s="23" t="s">
        <v>13</v>
      </c>
      <c r="B34" s="6" t="s">
        <v>14</v>
      </c>
      <c r="C34" s="23" t="s">
        <v>18</v>
      </c>
      <c r="D34" s="1" t="s">
        <v>15</v>
      </c>
      <c r="E34" s="3">
        <v>351562312581642</v>
      </c>
      <c r="F34" s="1"/>
      <c r="G34" s="5">
        <v>45601</v>
      </c>
      <c r="H34" s="4">
        <v>380</v>
      </c>
      <c r="I34" s="4">
        <v>4</v>
      </c>
      <c r="J34" s="5">
        <v>45603</v>
      </c>
      <c r="K34" s="4">
        <v>450</v>
      </c>
      <c r="L34" s="8">
        <v>66</v>
      </c>
      <c r="M34" s="6" t="s">
        <v>347</v>
      </c>
    </row>
    <row r="35" spans="1:13" x14ac:dyDescent="0.3">
      <c r="A35" s="23" t="s">
        <v>16</v>
      </c>
      <c r="B35" s="6" t="s">
        <v>319</v>
      </c>
      <c r="C35" s="23" t="s">
        <v>21</v>
      </c>
      <c r="D35" s="1" t="s">
        <v>22</v>
      </c>
      <c r="E35" s="3">
        <v>353039117956749</v>
      </c>
      <c r="F35" s="1" t="s">
        <v>61</v>
      </c>
      <c r="G35" s="5">
        <v>45603</v>
      </c>
      <c r="H35" s="4">
        <v>200</v>
      </c>
      <c r="I35" s="4"/>
      <c r="J35" s="5">
        <v>45603</v>
      </c>
      <c r="K35" s="4">
        <v>300</v>
      </c>
      <c r="L35" s="8">
        <v>100</v>
      </c>
      <c r="M35" s="6" t="s">
        <v>369</v>
      </c>
    </row>
    <row r="36" spans="1:13" x14ac:dyDescent="0.3">
      <c r="A36" s="23" t="s">
        <v>13</v>
      </c>
      <c r="B36" s="6" t="s">
        <v>115</v>
      </c>
      <c r="C36" s="23" t="s">
        <v>89</v>
      </c>
      <c r="D36" s="1" t="s">
        <v>15</v>
      </c>
      <c r="E36" s="3">
        <v>351376418120829</v>
      </c>
      <c r="F36" s="1"/>
      <c r="G36" s="5">
        <v>45601</v>
      </c>
      <c r="H36" s="4">
        <v>200</v>
      </c>
      <c r="I36" s="4"/>
      <c r="J36" s="5">
        <v>45603</v>
      </c>
      <c r="K36" s="4">
        <v>225</v>
      </c>
      <c r="L36" s="8">
        <v>25</v>
      </c>
      <c r="M36" s="6" t="s">
        <v>356</v>
      </c>
    </row>
    <row r="37" spans="1:13" x14ac:dyDescent="0.3">
      <c r="A37" s="23" t="s">
        <v>16</v>
      </c>
      <c r="B37" s="6" t="s">
        <v>25</v>
      </c>
      <c r="C37" s="23" t="s">
        <v>26</v>
      </c>
      <c r="D37" s="1" t="s">
        <v>22</v>
      </c>
      <c r="E37" s="3">
        <v>355458120481396</v>
      </c>
      <c r="F37" s="1"/>
      <c r="G37" s="5">
        <v>45590</v>
      </c>
      <c r="H37" s="4">
        <v>930</v>
      </c>
      <c r="I37" s="4"/>
      <c r="J37" s="5">
        <v>45603</v>
      </c>
      <c r="K37" s="4">
        <v>990</v>
      </c>
      <c r="L37" s="8">
        <v>60</v>
      </c>
      <c r="M37" s="6" t="s">
        <v>261</v>
      </c>
    </row>
    <row r="38" spans="1:13" x14ac:dyDescent="0.3">
      <c r="A38" s="23" t="s">
        <v>16</v>
      </c>
      <c r="B38" s="6" t="s">
        <v>32</v>
      </c>
      <c r="C38" s="23" t="s">
        <v>65</v>
      </c>
      <c r="D38" s="1" t="s">
        <v>22</v>
      </c>
      <c r="E38" s="3">
        <v>357627946837431</v>
      </c>
      <c r="F38" s="1"/>
      <c r="G38" s="5">
        <v>45603</v>
      </c>
      <c r="H38" s="4">
        <v>730</v>
      </c>
      <c r="I38" s="4"/>
      <c r="J38" s="5">
        <v>45603</v>
      </c>
      <c r="K38" s="4">
        <v>760</v>
      </c>
      <c r="L38" s="8">
        <v>30</v>
      </c>
      <c r="M38" s="6" t="s">
        <v>247</v>
      </c>
    </row>
    <row r="39" spans="1:13" x14ac:dyDescent="0.3">
      <c r="A39" s="23" t="s">
        <v>16</v>
      </c>
      <c r="B39" s="6" t="s">
        <v>350</v>
      </c>
      <c r="C39" s="23" t="s">
        <v>45</v>
      </c>
      <c r="D39" s="1" t="s">
        <v>15</v>
      </c>
      <c r="E39" s="3">
        <v>353501498502764</v>
      </c>
      <c r="F39" s="1" t="s">
        <v>203</v>
      </c>
      <c r="G39" s="5">
        <v>45601</v>
      </c>
      <c r="H39" s="4">
        <v>150</v>
      </c>
      <c r="I39" s="4">
        <v>250</v>
      </c>
      <c r="J39" s="5">
        <v>45603</v>
      </c>
      <c r="K39" s="4">
        <v>450</v>
      </c>
      <c r="L39" s="8">
        <v>50</v>
      </c>
      <c r="M39" s="6"/>
    </row>
    <row r="40" spans="1:13" x14ac:dyDescent="0.3">
      <c r="A40" s="23" t="s">
        <v>16</v>
      </c>
      <c r="B40" s="6" t="s">
        <v>148</v>
      </c>
      <c r="C40" s="23" t="s">
        <v>45</v>
      </c>
      <c r="D40" s="1" t="s">
        <v>15</v>
      </c>
      <c r="E40" s="3">
        <v>354794862508025</v>
      </c>
      <c r="F40" s="1"/>
      <c r="G40" s="5">
        <v>45576</v>
      </c>
      <c r="H40" s="4">
        <v>340</v>
      </c>
      <c r="I40" s="4">
        <v>9</v>
      </c>
      <c r="J40" s="5">
        <v>45603</v>
      </c>
      <c r="K40" s="4">
        <v>397</v>
      </c>
      <c r="L40" s="8">
        <v>48</v>
      </c>
      <c r="M40" s="6" t="s">
        <v>156</v>
      </c>
    </row>
    <row r="41" spans="1:13" x14ac:dyDescent="0.3">
      <c r="A41" s="23" t="s">
        <v>16</v>
      </c>
      <c r="B41" s="6" t="s">
        <v>165</v>
      </c>
      <c r="C41" s="23" t="s">
        <v>18</v>
      </c>
      <c r="D41" s="1" t="s">
        <v>15</v>
      </c>
      <c r="E41" s="3">
        <v>353098101867791</v>
      </c>
      <c r="F41" s="1" t="s">
        <v>140</v>
      </c>
      <c r="G41" s="5">
        <v>45599</v>
      </c>
      <c r="H41" s="4">
        <v>94</v>
      </c>
      <c r="I41" s="4"/>
      <c r="J41" s="5">
        <v>45604</v>
      </c>
      <c r="K41" s="4">
        <v>150</v>
      </c>
      <c r="L41" s="8">
        <v>56</v>
      </c>
      <c r="M41" s="6" t="s">
        <v>338</v>
      </c>
    </row>
    <row r="42" spans="1:13" x14ac:dyDescent="0.3">
      <c r="A42" s="23" t="s">
        <v>16</v>
      </c>
      <c r="B42" s="6" t="s">
        <v>30</v>
      </c>
      <c r="C42" s="23" t="s">
        <v>26</v>
      </c>
      <c r="D42" s="1" t="s">
        <v>22</v>
      </c>
      <c r="E42" s="3">
        <v>350091874189207</v>
      </c>
      <c r="F42" s="1"/>
      <c r="G42" s="5">
        <v>45591</v>
      </c>
      <c r="H42" s="4">
        <v>880</v>
      </c>
      <c r="I42" s="4"/>
      <c r="J42" s="5">
        <v>45604</v>
      </c>
      <c r="K42" s="4">
        <v>975</v>
      </c>
      <c r="L42" s="8">
        <v>95</v>
      </c>
      <c r="M42" s="6" t="s">
        <v>274</v>
      </c>
    </row>
    <row r="43" spans="1:13" x14ac:dyDescent="0.3">
      <c r="A43" s="23" t="s">
        <v>16</v>
      </c>
      <c r="B43" s="6" t="s">
        <v>81</v>
      </c>
      <c r="C43" s="1" t="s">
        <v>65</v>
      </c>
      <c r="D43" s="1" t="s">
        <v>22</v>
      </c>
      <c r="E43" s="3">
        <v>354619648117702</v>
      </c>
      <c r="F43" s="1"/>
      <c r="G43" s="5">
        <v>45591</v>
      </c>
      <c r="H43" s="4">
        <v>490</v>
      </c>
      <c r="I43" s="4"/>
      <c r="J43" s="5">
        <v>45604</v>
      </c>
      <c r="K43" s="4">
        <v>550</v>
      </c>
      <c r="L43" s="8">
        <v>60</v>
      </c>
      <c r="M43" s="6" t="s">
        <v>271</v>
      </c>
    </row>
    <row r="44" spans="1:13" x14ac:dyDescent="0.3">
      <c r="A44" s="23" t="s">
        <v>16</v>
      </c>
      <c r="B44" s="6" t="s">
        <v>148</v>
      </c>
      <c r="C44" s="1" t="s">
        <v>21</v>
      </c>
      <c r="D44" s="1" t="s">
        <v>22</v>
      </c>
      <c r="E44" s="3">
        <v>353147472139551</v>
      </c>
      <c r="F44" s="1"/>
      <c r="G44" s="5">
        <v>45602</v>
      </c>
      <c r="H44" s="4">
        <v>320</v>
      </c>
      <c r="I44" s="4"/>
      <c r="J44" s="5">
        <v>45604</v>
      </c>
      <c r="K44" s="4">
        <v>370</v>
      </c>
      <c r="L44" s="8">
        <v>50</v>
      </c>
      <c r="M44" s="6" t="s">
        <v>361</v>
      </c>
    </row>
    <row r="45" spans="1:13" x14ac:dyDescent="0.3">
      <c r="A45" s="23" t="s">
        <v>13</v>
      </c>
      <c r="B45" s="6" t="s">
        <v>370</v>
      </c>
      <c r="C45" s="1" t="s">
        <v>97</v>
      </c>
      <c r="D45" s="1" t="s">
        <v>22</v>
      </c>
      <c r="E45" s="3">
        <v>351708816681491</v>
      </c>
      <c r="F45" s="1"/>
      <c r="G45" s="5">
        <v>45603</v>
      </c>
      <c r="H45" s="4">
        <v>300</v>
      </c>
      <c r="I45" s="4"/>
      <c r="J45" s="5">
        <v>45604</v>
      </c>
      <c r="K45" s="4">
        <v>375</v>
      </c>
      <c r="L45" s="8">
        <v>75</v>
      </c>
      <c r="M45" s="6" t="s">
        <v>371</v>
      </c>
    </row>
    <row r="46" spans="1:13" x14ac:dyDescent="0.3">
      <c r="A46" s="23" t="s">
        <v>16</v>
      </c>
      <c r="B46" s="6" t="s">
        <v>132</v>
      </c>
      <c r="C46" s="1" t="s">
        <v>21</v>
      </c>
      <c r="D46" s="1" t="s">
        <v>22</v>
      </c>
      <c r="E46" s="3">
        <v>353040117713858</v>
      </c>
      <c r="F46" s="1" t="s">
        <v>98</v>
      </c>
      <c r="G46" s="5">
        <v>45602</v>
      </c>
      <c r="H46" s="4">
        <v>190</v>
      </c>
      <c r="I46" s="4">
        <v>24</v>
      </c>
      <c r="J46" s="5">
        <v>45604</v>
      </c>
      <c r="K46" s="4">
        <v>310</v>
      </c>
      <c r="L46" s="8">
        <v>96</v>
      </c>
      <c r="M46" s="6" t="s">
        <v>362</v>
      </c>
    </row>
    <row r="47" spans="1:13" x14ac:dyDescent="0.3">
      <c r="A47" s="23" t="s">
        <v>16</v>
      </c>
      <c r="B47" s="6" t="s">
        <v>17</v>
      </c>
      <c r="C47" s="1" t="s">
        <v>45</v>
      </c>
      <c r="D47" s="1" t="s">
        <v>15</v>
      </c>
      <c r="E47" s="3">
        <v>353242102160091</v>
      </c>
      <c r="F47" s="1"/>
      <c r="G47" s="5">
        <v>45597</v>
      </c>
      <c r="H47" s="4">
        <v>175</v>
      </c>
      <c r="I47" s="4"/>
      <c r="J47" s="5">
        <v>45605</v>
      </c>
      <c r="K47" s="4">
        <v>238</v>
      </c>
      <c r="L47" s="8">
        <v>63</v>
      </c>
      <c r="M47" s="6" t="s">
        <v>321</v>
      </c>
    </row>
    <row r="48" spans="1:13" x14ac:dyDescent="0.3">
      <c r="A48" s="23" t="s">
        <v>13</v>
      </c>
      <c r="B48" s="6" t="s">
        <v>115</v>
      </c>
      <c r="C48" s="1" t="s">
        <v>18</v>
      </c>
      <c r="D48" s="1" t="s">
        <v>15</v>
      </c>
      <c r="E48" s="3">
        <v>354879301348693</v>
      </c>
      <c r="F48" s="1"/>
      <c r="G48" s="5">
        <v>45574</v>
      </c>
      <c r="H48" s="4">
        <v>200</v>
      </c>
      <c r="I48" s="4">
        <v>13</v>
      </c>
      <c r="J48" s="5">
        <v>45605</v>
      </c>
      <c r="K48" s="4">
        <v>230</v>
      </c>
      <c r="L48" s="8">
        <v>17</v>
      </c>
      <c r="M48" s="6" t="s">
        <v>64</v>
      </c>
    </row>
    <row r="49" spans="1:13" x14ac:dyDescent="0.3">
      <c r="A49" s="23" t="s">
        <v>16</v>
      </c>
      <c r="B49" s="6" t="s">
        <v>380</v>
      </c>
      <c r="C49" s="1" t="s">
        <v>45</v>
      </c>
      <c r="D49" s="1" t="s">
        <v>22</v>
      </c>
      <c r="E49" s="3">
        <v>353885663704101</v>
      </c>
      <c r="F49" s="1"/>
      <c r="G49" s="5">
        <v>45604</v>
      </c>
      <c r="H49" s="4">
        <v>600</v>
      </c>
      <c r="I49" s="4"/>
      <c r="J49" s="5">
        <v>45605</v>
      </c>
      <c r="K49" s="4">
        <v>700</v>
      </c>
      <c r="L49" s="8">
        <v>100</v>
      </c>
      <c r="M49" s="6" t="s">
        <v>381</v>
      </c>
    </row>
    <row r="50" spans="1:13" x14ac:dyDescent="0.3">
      <c r="A50" s="23" t="s">
        <v>207</v>
      </c>
      <c r="B50" s="22" t="s">
        <v>316</v>
      </c>
      <c r="C50" s="1" t="s">
        <v>21</v>
      </c>
      <c r="D50" s="1" t="s">
        <v>15</v>
      </c>
      <c r="E50" s="3"/>
      <c r="F50" s="1" t="s">
        <v>27</v>
      </c>
      <c r="G50" s="5">
        <v>45580</v>
      </c>
      <c r="H50" s="4">
        <v>70</v>
      </c>
      <c r="I50" s="4"/>
      <c r="J50" s="5">
        <v>45605</v>
      </c>
      <c r="K50" s="4">
        <v>100</v>
      </c>
      <c r="L50" s="8">
        <v>30</v>
      </c>
      <c r="M50" s="6" t="s">
        <v>317</v>
      </c>
    </row>
    <row r="51" spans="1:13" x14ac:dyDescent="0.3">
      <c r="A51" s="23" t="s">
        <v>16</v>
      </c>
      <c r="B51" s="6" t="s">
        <v>372</v>
      </c>
      <c r="C51" s="1" t="s">
        <v>45</v>
      </c>
      <c r="D51" s="1" t="s">
        <v>22</v>
      </c>
      <c r="E51" s="3">
        <v>350002269876316</v>
      </c>
      <c r="F51" s="1"/>
      <c r="G51" s="5">
        <v>45603</v>
      </c>
      <c r="H51" s="4">
        <v>380</v>
      </c>
      <c r="I51" s="4"/>
      <c r="J51" s="5">
        <v>45605</v>
      </c>
      <c r="K51" s="4">
        <v>440</v>
      </c>
      <c r="L51" s="8">
        <v>60</v>
      </c>
      <c r="M51" s="6" t="s">
        <v>373</v>
      </c>
    </row>
    <row r="52" spans="1:13" x14ac:dyDescent="0.3">
      <c r="A52" s="23" t="s">
        <v>16</v>
      </c>
      <c r="B52" s="6" t="s">
        <v>148</v>
      </c>
      <c r="C52" s="1" t="s">
        <v>18</v>
      </c>
      <c r="D52" s="1" t="s">
        <v>15</v>
      </c>
      <c r="E52" s="3">
        <v>354049348329110</v>
      </c>
      <c r="F52" s="1"/>
      <c r="G52" s="5">
        <v>45576</v>
      </c>
      <c r="H52" s="4">
        <v>340</v>
      </c>
      <c r="I52" s="4">
        <v>9</v>
      </c>
      <c r="J52" s="5">
        <v>45606</v>
      </c>
      <c r="K52" s="4">
        <v>390</v>
      </c>
      <c r="L52" s="8">
        <v>41</v>
      </c>
      <c r="M52" s="6" t="s">
        <v>156</v>
      </c>
    </row>
    <row r="53" spans="1:13" x14ac:dyDescent="0.3">
      <c r="A53" s="23" t="s">
        <v>16</v>
      </c>
      <c r="B53" s="6" t="s">
        <v>148</v>
      </c>
      <c r="C53" s="1" t="s">
        <v>18</v>
      </c>
      <c r="D53" s="1" t="s">
        <v>15</v>
      </c>
      <c r="E53" s="3">
        <v>354794869512814</v>
      </c>
      <c r="F53" s="1" t="s">
        <v>43</v>
      </c>
      <c r="G53" s="5">
        <v>45576</v>
      </c>
      <c r="H53" s="4">
        <v>340</v>
      </c>
      <c r="I53" s="4">
        <v>9</v>
      </c>
      <c r="J53" s="5">
        <v>45606</v>
      </c>
      <c r="K53" s="4">
        <v>390</v>
      </c>
      <c r="L53" s="8">
        <v>41</v>
      </c>
      <c r="M53" s="6" t="s">
        <v>156</v>
      </c>
    </row>
    <row r="54" spans="1:13" x14ac:dyDescent="0.3">
      <c r="A54" s="23" t="s">
        <v>16</v>
      </c>
      <c r="B54" s="6" t="s">
        <v>129</v>
      </c>
      <c r="C54" s="1" t="s">
        <v>65</v>
      </c>
      <c r="D54" s="1" t="s">
        <v>15</v>
      </c>
      <c r="E54" s="3">
        <v>353282625272304</v>
      </c>
      <c r="F54" s="1" t="s">
        <v>336</v>
      </c>
      <c r="G54" s="5">
        <v>45599</v>
      </c>
      <c r="H54" s="4">
        <v>480</v>
      </c>
      <c r="I54" s="4"/>
      <c r="J54" s="5">
        <v>45606</v>
      </c>
      <c r="K54" s="4">
        <v>500</v>
      </c>
      <c r="L54" s="8">
        <v>20</v>
      </c>
      <c r="M54" s="6"/>
    </row>
    <row r="55" spans="1:13" x14ac:dyDescent="0.3">
      <c r="A55" s="23" t="s">
        <v>16</v>
      </c>
      <c r="B55" s="6" t="s">
        <v>74</v>
      </c>
      <c r="C55" s="1" t="s">
        <v>45</v>
      </c>
      <c r="D55" s="1" t="s">
        <v>15</v>
      </c>
      <c r="E55" s="3">
        <v>351020629679039</v>
      </c>
      <c r="F55" s="1"/>
      <c r="G55" s="5">
        <v>45586</v>
      </c>
      <c r="H55" s="4">
        <v>550</v>
      </c>
      <c r="I55" s="4">
        <v>12</v>
      </c>
      <c r="J55" s="5">
        <v>45606</v>
      </c>
      <c r="K55" s="4">
        <v>690</v>
      </c>
      <c r="L55" s="8">
        <v>128</v>
      </c>
      <c r="M55" s="6" t="s">
        <v>229</v>
      </c>
    </row>
    <row r="56" spans="1:13" x14ac:dyDescent="0.3">
      <c r="A56" s="23" t="s">
        <v>16</v>
      </c>
      <c r="B56" s="6" t="s">
        <v>81</v>
      </c>
      <c r="C56" s="1" t="s">
        <v>21</v>
      </c>
      <c r="D56" s="1" t="s">
        <v>15</v>
      </c>
      <c r="E56" s="3">
        <v>351559309112431</v>
      </c>
      <c r="F56" s="1" t="s">
        <v>66</v>
      </c>
      <c r="G56" s="5">
        <v>45596</v>
      </c>
      <c r="H56" s="4">
        <v>200</v>
      </c>
      <c r="I56" s="4">
        <v>200</v>
      </c>
      <c r="J56" s="5">
        <v>45606</v>
      </c>
      <c r="K56" s="4">
        <v>550</v>
      </c>
      <c r="L56" s="8">
        <v>150</v>
      </c>
      <c r="M56" s="6" t="s">
        <v>308</v>
      </c>
    </row>
    <row r="57" spans="1:13" x14ac:dyDescent="0.3">
      <c r="A57" s="23" t="s">
        <v>16</v>
      </c>
      <c r="B57" s="6" t="s">
        <v>128</v>
      </c>
      <c r="C57" s="1" t="s">
        <v>26</v>
      </c>
      <c r="D57" s="1" t="s">
        <v>15</v>
      </c>
      <c r="E57" s="3">
        <v>353282200218094</v>
      </c>
      <c r="F57" s="1"/>
      <c r="G57" s="5">
        <v>45603</v>
      </c>
      <c r="H57" s="4">
        <v>760</v>
      </c>
      <c r="I57" s="4"/>
      <c r="J57" s="5">
        <v>45606</v>
      </c>
      <c r="K57" s="4">
        <v>850</v>
      </c>
      <c r="L57" s="8">
        <v>90</v>
      </c>
      <c r="M57" s="6" t="s">
        <v>365</v>
      </c>
    </row>
    <row r="58" spans="1:13" x14ac:dyDescent="0.3">
      <c r="A58" s="23" t="s">
        <v>13</v>
      </c>
      <c r="B58" s="6" t="s">
        <v>166</v>
      </c>
      <c r="C58" s="1" t="s">
        <v>21</v>
      </c>
      <c r="D58" s="1" t="s">
        <v>15</v>
      </c>
      <c r="E58" s="3">
        <v>353762110995659</v>
      </c>
      <c r="F58" s="1"/>
      <c r="G58" s="5">
        <v>45590</v>
      </c>
      <c r="H58" s="4">
        <v>160</v>
      </c>
      <c r="I58" s="4"/>
      <c r="J58" s="5">
        <v>45607</v>
      </c>
      <c r="K58" s="4">
        <v>187</v>
      </c>
      <c r="L58" s="8">
        <v>27</v>
      </c>
      <c r="M58" s="6" t="s">
        <v>262</v>
      </c>
    </row>
    <row r="59" spans="1:13" x14ac:dyDescent="0.3">
      <c r="A59" s="23" t="s">
        <v>16</v>
      </c>
      <c r="B59" s="6" t="s">
        <v>327</v>
      </c>
      <c r="C59" s="1" t="s">
        <v>89</v>
      </c>
      <c r="D59" s="1" t="s">
        <v>22</v>
      </c>
      <c r="E59" s="3">
        <v>358388752014396</v>
      </c>
      <c r="F59" s="1"/>
      <c r="G59" s="5">
        <v>45598</v>
      </c>
      <c r="H59" s="4">
        <v>550</v>
      </c>
      <c r="I59" s="4"/>
      <c r="J59" s="5">
        <v>45607</v>
      </c>
      <c r="K59" s="4">
        <v>620</v>
      </c>
      <c r="L59" s="8">
        <v>70</v>
      </c>
      <c r="M59" s="6" t="s">
        <v>328</v>
      </c>
    </row>
    <row r="60" spans="1:13" x14ac:dyDescent="0.3">
      <c r="A60" s="23" t="s">
        <v>16</v>
      </c>
      <c r="B60" s="6" t="s">
        <v>312</v>
      </c>
      <c r="C60" s="1" t="s">
        <v>65</v>
      </c>
      <c r="D60" s="1" t="s">
        <v>15</v>
      </c>
      <c r="E60" s="3">
        <v>352569487242420</v>
      </c>
      <c r="F60" s="1"/>
      <c r="G60" s="5">
        <v>45604</v>
      </c>
      <c r="H60" s="4">
        <v>520</v>
      </c>
      <c r="I60" s="4"/>
      <c r="J60" s="5">
        <v>45607</v>
      </c>
      <c r="K60" s="4">
        <v>590</v>
      </c>
      <c r="L60" s="8">
        <v>70</v>
      </c>
      <c r="M60" s="6" t="s">
        <v>379</v>
      </c>
    </row>
    <row r="61" spans="1:13" x14ac:dyDescent="0.3">
      <c r="A61" s="23" t="s">
        <v>13</v>
      </c>
      <c r="B61" s="6" t="s">
        <v>51</v>
      </c>
      <c r="C61" s="1" t="s">
        <v>97</v>
      </c>
      <c r="D61" s="1" t="s">
        <v>22</v>
      </c>
      <c r="E61" s="3">
        <v>350098751686486</v>
      </c>
      <c r="F61" s="1"/>
      <c r="G61" s="5">
        <v>45605</v>
      </c>
      <c r="H61" s="4">
        <v>575</v>
      </c>
      <c r="I61" s="4"/>
      <c r="J61" s="5">
        <v>45608</v>
      </c>
      <c r="K61" s="4">
        <v>645</v>
      </c>
      <c r="L61" s="8">
        <v>70</v>
      </c>
      <c r="M61" s="6" t="s">
        <v>390</v>
      </c>
    </row>
    <row r="62" spans="1:13" x14ac:dyDescent="0.3">
      <c r="A62" s="23" t="s">
        <v>16</v>
      </c>
      <c r="B62" s="6" t="s">
        <v>333</v>
      </c>
      <c r="C62" s="1" t="s">
        <v>97</v>
      </c>
      <c r="D62" s="1" t="s">
        <v>22</v>
      </c>
      <c r="E62" s="3">
        <v>350928503373068</v>
      </c>
      <c r="F62" s="1"/>
      <c r="G62" s="5">
        <v>45599</v>
      </c>
      <c r="H62" s="4">
        <v>200</v>
      </c>
      <c r="I62" s="4"/>
      <c r="J62" s="5">
        <v>45608</v>
      </c>
      <c r="K62" s="4">
        <v>230</v>
      </c>
      <c r="L62" s="8">
        <v>30</v>
      </c>
      <c r="M62" s="6" t="s">
        <v>334</v>
      </c>
    </row>
    <row r="63" spans="1:13" x14ac:dyDescent="0.3">
      <c r="A63" s="23" t="s">
        <v>16</v>
      </c>
      <c r="B63" s="6" t="s">
        <v>96</v>
      </c>
      <c r="C63" s="1" t="s">
        <v>18</v>
      </c>
      <c r="D63" s="1" t="s">
        <v>15</v>
      </c>
      <c r="E63" s="3">
        <v>353845106534424</v>
      </c>
      <c r="F63" s="1" t="s">
        <v>378</v>
      </c>
      <c r="G63" s="5">
        <v>45603</v>
      </c>
      <c r="H63" s="4">
        <v>200</v>
      </c>
      <c r="I63" s="4"/>
      <c r="J63" s="5">
        <v>45608</v>
      </c>
      <c r="K63" s="4">
        <v>250</v>
      </c>
      <c r="L63" s="8">
        <v>50</v>
      </c>
      <c r="M63" s="6"/>
    </row>
    <row r="64" spans="1:13" x14ac:dyDescent="0.3">
      <c r="A64" s="23" t="s">
        <v>16</v>
      </c>
      <c r="B64" s="6" t="s">
        <v>32</v>
      </c>
      <c r="C64" s="1" t="s">
        <v>26</v>
      </c>
      <c r="D64" s="1" t="s">
        <v>22</v>
      </c>
      <c r="E64" s="3">
        <v>351091213904315</v>
      </c>
      <c r="F64" s="1"/>
      <c r="G64" s="5">
        <v>45608</v>
      </c>
      <c r="H64" s="4">
        <v>735</v>
      </c>
      <c r="I64" s="4"/>
      <c r="J64" s="5">
        <v>45608</v>
      </c>
      <c r="K64" s="4">
        <v>835</v>
      </c>
      <c r="L64" s="8">
        <v>100</v>
      </c>
      <c r="M64" s="6" t="s">
        <v>415</v>
      </c>
    </row>
    <row r="65" spans="1:13" x14ac:dyDescent="0.3">
      <c r="A65" s="23" t="s">
        <v>16</v>
      </c>
      <c r="B65" s="6" t="s">
        <v>77</v>
      </c>
      <c r="C65" s="1" t="s">
        <v>18</v>
      </c>
      <c r="D65" s="1" t="s">
        <v>15</v>
      </c>
      <c r="E65" s="3">
        <v>359666228988437</v>
      </c>
      <c r="F65" s="1"/>
      <c r="G65" s="5">
        <v>45575</v>
      </c>
      <c r="H65" s="4">
        <v>620</v>
      </c>
      <c r="I65" s="4">
        <v>9</v>
      </c>
      <c r="J65" s="5">
        <v>45608</v>
      </c>
      <c r="K65" s="4">
        <v>686</v>
      </c>
      <c r="L65" s="8">
        <v>57</v>
      </c>
      <c r="M65" s="6" t="s">
        <v>147</v>
      </c>
    </row>
    <row r="66" spans="1:13" x14ac:dyDescent="0.3">
      <c r="A66" s="23" t="s">
        <v>16</v>
      </c>
      <c r="B66" s="6" t="s">
        <v>96</v>
      </c>
      <c r="C66" s="1" t="s">
        <v>45</v>
      </c>
      <c r="D66" s="1" t="s">
        <v>15</v>
      </c>
      <c r="E66" s="3">
        <v>353248102607551</v>
      </c>
      <c r="F66" s="1" t="s">
        <v>376</v>
      </c>
      <c r="G66" s="5">
        <v>45603</v>
      </c>
      <c r="H66" s="4">
        <v>100</v>
      </c>
      <c r="I66" s="4">
        <v>39</v>
      </c>
      <c r="J66" s="5">
        <v>45608</v>
      </c>
      <c r="K66" s="4">
        <v>187</v>
      </c>
      <c r="L66" s="8">
        <v>48</v>
      </c>
      <c r="M66" s="6" t="s">
        <v>377</v>
      </c>
    </row>
    <row r="67" spans="1:13" x14ac:dyDescent="0.3">
      <c r="A67" s="23" t="s">
        <v>207</v>
      </c>
      <c r="B67" s="6" t="s">
        <v>417</v>
      </c>
      <c r="C67" s="1" t="s">
        <v>21</v>
      </c>
      <c r="D67" s="1" t="s">
        <v>22</v>
      </c>
      <c r="E67" s="3"/>
      <c r="F67" s="1"/>
      <c r="G67" s="5">
        <v>45608</v>
      </c>
      <c r="H67" s="4">
        <v>300</v>
      </c>
      <c r="I67" s="4"/>
      <c r="J67" s="5">
        <v>45608</v>
      </c>
      <c r="K67" s="4">
        <v>350</v>
      </c>
      <c r="L67" s="8">
        <v>50</v>
      </c>
      <c r="M67" s="6" t="s">
        <v>414</v>
      </c>
    </row>
    <row r="68" spans="1:13" x14ac:dyDescent="0.3">
      <c r="A68" s="23" t="s">
        <v>16</v>
      </c>
      <c r="B68" s="6" t="s">
        <v>418</v>
      </c>
      <c r="C68" s="1" t="s">
        <v>257</v>
      </c>
      <c r="D68" s="1" t="s">
        <v>22</v>
      </c>
      <c r="E68" s="3">
        <v>359689534273005</v>
      </c>
      <c r="F68" s="1" t="s">
        <v>145</v>
      </c>
      <c r="G68" s="5">
        <v>45608</v>
      </c>
      <c r="H68" s="4">
        <v>780</v>
      </c>
      <c r="I68" s="4"/>
      <c r="J68" s="5">
        <v>45609</v>
      </c>
      <c r="K68" s="4">
        <v>850</v>
      </c>
      <c r="L68" s="8">
        <v>70</v>
      </c>
      <c r="M68" s="6" t="s">
        <v>419</v>
      </c>
    </row>
    <row r="69" spans="1:13" x14ac:dyDescent="0.3">
      <c r="A69" s="23" t="s">
        <v>13</v>
      </c>
      <c r="B69" s="6" t="s">
        <v>325</v>
      </c>
      <c r="C69" s="1" t="s">
        <v>26</v>
      </c>
      <c r="D69" s="1" t="s">
        <v>22</v>
      </c>
      <c r="E69" s="3">
        <v>352945211923495</v>
      </c>
      <c r="F69" s="1"/>
      <c r="G69" s="5">
        <v>45608</v>
      </c>
      <c r="H69" s="4">
        <v>750</v>
      </c>
      <c r="I69" s="4"/>
      <c r="J69" s="5">
        <v>45609</v>
      </c>
      <c r="K69" s="4">
        <v>800</v>
      </c>
      <c r="L69" s="8">
        <v>50</v>
      </c>
      <c r="M69" s="6" t="s">
        <v>420</v>
      </c>
    </row>
    <row r="70" spans="1:13" x14ac:dyDescent="0.3">
      <c r="A70" s="23" t="s">
        <v>16</v>
      </c>
      <c r="B70" s="6" t="s">
        <v>104</v>
      </c>
      <c r="C70" s="1" t="s">
        <v>21</v>
      </c>
      <c r="D70" s="1" t="s">
        <v>15</v>
      </c>
      <c r="E70" s="3">
        <v>353854135785031</v>
      </c>
      <c r="F70" s="1"/>
      <c r="G70" s="5">
        <v>45594</v>
      </c>
      <c r="H70" s="4">
        <v>380</v>
      </c>
      <c r="I70" s="4"/>
      <c r="J70" s="5">
        <v>45609</v>
      </c>
      <c r="K70" s="4">
        <v>450</v>
      </c>
      <c r="L70" s="8">
        <v>70</v>
      </c>
      <c r="M70" s="6" t="s">
        <v>293</v>
      </c>
    </row>
    <row r="71" spans="1:13" x14ac:dyDescent="0.3">
      <c r="A71" s="23" t="s">
        <v>142</v>
      </c>
      <c r="B71" s="6" t="s">
        <v>388</v>
      </c>
      <c r="C71" s="1" t="s">
        <v>21</v>
      </c>
      <c r="D71" s="1" t="s">
        <v>15</v>
      </c>
      <c r="E71" s="3">
        <v>5975</v>
      </c>
      <c r="F71" s="1"/>
      <c r="G71" s="5">
        <v>45605</v>
      </c>
      <c r="H71" s="4">
        <v>39</v>
      </c>
      <c r="I71" s="4">
        <v>13</v>
      </c>
      <c r="J71" s="5">
        <v>45609</v>
      </c>
      <c r="K71" s="4">
        <v>65</v>
      </c>
      <c r="L71" s="8">
        <v>13</v>
      </c>
      <c r="M71" s="6" t="s">
        <v>389</v>
      </c>
    </row>
    <row r="72" spans="1:13" x14ac:dyDescent="0.3">
      <c r="A72" s="23" t="s">
        <v>13</v>
      </c>
      <c r="B72" s="6" t="s">
        <v>421</v>
      </c>
      <c r="C72" s="1" t="s">
        <v>21</v>
      </c>
      <c r="D72" s="1" t="s">
        <v>22</v>
      </c>
      <c r="E72" s="3">
        <v>350290812065145</v>
      </c>
      <c r="F72" s="1"/>
      <c r="G72" s="5">
        <v>45609</v>
      </c>
      <c r="H72" s="4">
        <v>133</v>
      </c>
      <c r="I72" s="4"/>
      <c r="J72" s="5">
        <v>45609</v>
      </c>
      <c r="K72" s="4">
        <v>170</v>
      </c>
      <c r="L72" s="8">
        <v>37</v>
      </c>
      <c r="M72" s="6"/>
    </row>
    <row r="73" spans="1:13" x14ac:dyDescent="0.3">
      <c r="A73" s="23" t="s">
        <v>207</v>
      </c>
      <c r="B73" s="6" t="s">
        <v>413</v>
      </c>
      <c r="C73" s="1" t="s">
        <v>45</v>
      </c>
      <c r="D73" s="1" t="s">
        <v>22</v>
      </c>
      <c r="E73" s="3"/>
      <c r="F73" s="1"/>
      <c r="G73" s="5">
        <v>45608</v>
      </c>
      <c r="H73" s="4">
        <v>400</v>
      </c>
      <c r="I73" s="4"/>
      <c r="J73" s="5">
        <v>45609</v>
      </c>
      <c r="K73" s="4">
        <v>460</v>
      </c>
      <c r="L73" s="8">
        <v>60</v>
      </c>
      <c r="M73" s="6" t="s">
        <v>412</v>
      </c>
    </row>
    <row r="74" spans="1:13" x14ac:dyDescent="0.3">
      <c r="A74" s="23" t="s">
        <v>16</v>
      </c>
      <c r="B74" s="6" t="s">
        <v>409</v>
      </c>
      <c r="C74" s="1" t="s">
        <v>65</v>
      </c>
      <c r="D74" s="1" t="s">
        <v>22</v>
      </c>
      <c r="E74" s="3">
        <v>356958138313571</v>
      </c>
      <c r="F74" s="1"/>
      <c r="G74" s="5">
        <v>45608</v>
      </c>
      <c r="H74" s="4">
        <v>600</v>
      </c>
      <c r="I74" s="4"/>
      <c r="J74" s="5">
        <v>45609</v>
      </c>
      <c r="K74" s="4">
        <v>650</v>
      </c>
      <c r="L74" s="8">
        <v>50</v>
      </c>
      <c r="M74" s="6" t="s">
        <v>410</v>
      </c>
    </row>
    <row r="75" spans="1:13" x14ac:dyDescent="0.3">
      <c r="A75" s="23" t="s">
        <v>16</v>
      </c>
      <c r="B75" s="6" t="s">
        <v>25</v>
      </c>
      <c r="C75" s="1" t="s">
        <v>26</v>
      </c>
      <c r="D75" s="1" t="s">
        <v>22</v>
      </c>
      <c r="E75" s="3">
        <v>350727305806055</v>
      </c>
      <c r="F75" s="1"/>
      <c r="G75" s="5">
        <v>45608</v>
      </c>
      <c r="H75" s="4">
        <v>900</v>
      </c>
      <c r="I75" s="4"/>
      <c r="J75" s="5">
        <v>45609</v>
      </c>
      <c r="K75" s="4">
        <v>960</v>
      </c>
      <c r="L75" s="8">
        <v>60</v>
      </c>
      <c r="M75" s="6" t="s">
        <v>412</v>
      </c>
    </row>
    <row r="76" spans="1:13" x14ac:dyDescent="0.3">
      <c r="A76" s="23" t="s">
        <v>16</v>
      </c>
      <c r="B76" s="6" t="s">
        <v>34</v>
      </c>
      <c r="C76" s="1" t="s">
        <v>45</v>
      </c>
      <c r="D76" s="1" t="s">
        <v>22</v>
      </c>
      <c r="E76" s="3">
        <v>359056819288589</v>
      </c>
      <c r="F76" s="1"/>
      <c r="G76" s="5">
        <v>45559</v>
      </c>
      <c r="H76" s="4">
        <v>720</v>
      </c>
      <c r="I76" s="4"/>
      <c r="J76" s="5">
        <v>45610</v>
      </c>
      <c r="K76" s="4">
        <v>745</v>
      </c>
      <c r="L76" s="8">
        <v>25</v>
      </c>
      <c r="M76" s="6" t="s">
        <v>127</v>
      </c>
    </row>
    <row r="77" spans="1:13" x14ac:dyDescent="0.3">
      <c r="A77" s="23" t="s">
        <v>16</v>
      </c>
      <c r="B77" s="6" t="s">
        <v>96</v>
      </c>
      <c r="C77" s="1" t="s">
        <v>21</v>
      </c>
      <c r="D77" s="1" t="s">
        <v>15</v>
      </c>
      <c r="E77" s="3">
        <v>353248105895823</v>
      </c>
      <c r="F77" s="1" t="s">
        <v>66</v>
      </c>
      <c r="G77" s="5">
        <v>45608</v>
      </c>
      <c r="H77" s="4">
        <v>164</v>
      </c>
      <c r="I77" s="4"/>
      <c r="J77" s="5">
        <v>45610</v>
      </c>
      <c r="K77" s="4">
        <v>270</v>
      </c>
      <c r="L77" s="8">
        <v>106</v>
      </c>
      <c r="M77" s="6" t="s">
        <v>262</v>
      </c>
    </row>
    <row r="78" spans="1:13" x14ac:dyDescent="0.3">
      <c r="A78" s="23" t="s">
        <v>16</v>
      </c>
      <c r="B78" s="6" t="s">
        <v>25</v>
      </c>
      <c r="C78" s="1" t="s">
        <v>26</v>
      </c>
      <c r="D78" s="1" t="s">
        <v>22</v>
      </c>
      <c r="E78" s="3">
        <v>354784327488814</v>
      </c>
      <c r="F78" s="1"/>
      <c r="G78" s="5">
        <v>45583</v>
      </c>
      <c r="H78" s="4">
        <v>940</v>
      </c>
      <c r="I78" s="4"/>
      <c r="J78" s="5">
        <v>45610</v>
      </c>
      <c r="K78" s="4">
        <v>1000</v>
      </c>
      <c r="L78" s="8">
        <v>60</v>
      </c>
      <c r="M78" s="6" t="s">
        <v>210</v>
      </c>
    </row>
    <row r="79" spans="1:13" x14ac:dyDescent="0.3">
      <c r="A79" s="23" t="s">
        <v>16</v>
      </c>
      <c r="B79" s="6" t="s">
        <v>395</v>
      </c>
      <c r="C79" s="1" t="s">
        <v>21</v>
      </c>
      <c r="D79" s="1" t="s">
        <v>15</v>
      </c>
      <c r="E79" s="3">
        <v>354863090537286</v>
      </c>
      <c r="F79" s="1" t="s">
        <v>66</v>
      </c>
      <c r="G79" s="5">
        <v>45606</v>
      </c>
      <c r="H79" s="4">
        <v>100</v>
      </c>
      <c r="I79" s="4"/>
      <c r="J79" s="5">
        <v>45610</v>
      </c>
      <c r="K79" s="4">
        <v>124</v>
      </c>
      <c r="L79" s="8">
        <v>24</v>
      </c>
      <c r="M79" s="6" t="s">
        <v>396</v>
      </c>
    </row>
    <row r="80" spans="1:13" x14ac:dyDescent="0.3">
      <c r="A80" s="23" t="s">
        <v>13</v>
      </c>
      <c r="B80" s="6" t="s">
        <v>124</v>
      </c>
      <c r="C80" s="1" t="s">
        <v>295</v>
      </c>
      <c r="D80" s="1" t="s">
        <v>22</v>
      </c>
      <c r="E80" s="3">
        <v>352682504439018</v>
      </c>
      <c r="F80" s="1" t="s">
        <v>61</v>
      </c>
      <c r="G80" s="5">
        <v>45594</v>
      </c>
      <c r="H80" s="4">
        <v>250</v>
      </c>
      <c r="I80" s="4"/>
      <c r="J80" s="5">
        <v>45610</v>
      </c>
      <c r="K80" s="4">
        <v>334</v>
      </c>
      <c r="L80" s="8">
        <v>84</v>
      </c>
      <c r="M80" s="6" t="s">
        <v>296</v>
      </c>
    </row>
    <row r="81" spans="1:13" x14ac:dyDescent="0.3">
      <c r="A81" s="23" t="s">
        <v>16</v>
      </c>
      <c r="B81" s="6" t="s">
        <v>327</v>
      </c>
      <c r="C81" s="1" t="s">
        <v>424</v>
      </c>
      <c r="D81" s="1" t="s">
        <v>22</v>
      </c>
      <c r="E81" s="3">
        <v>357261912345169</v>
      </c>
      <c r="F81" s="1"/>
      <c r="G81" s="5">
        <v>45609</v>
      </c>
      <c r="H81" s="4">
        <v>500</v>
      </c>
      <c r="I81" s="4">
        <v>11</v>
      </c>
      <c r="J81" s="5">
        <v>45610</v>
      </c>
      <c r="K81" s="4">
        <v>556</v>
      </c>
      <c r="L81" s="8">
        <v>45</v>
      </c>
      <c r="M81" s="6" t="s">
        <v>425</v>
      </c>
    </row>
    <row r="82" spans="1:13" x14ac:dyDescent="0.3">
      <c r="A82" s="23" t="s">
        <v>16</v>
      </c>
      <c r="B82" s="6" t="s">
        <v>104</v>
      </c>
      <c r="C82" s="1" t="s">
        <v>65</v>
      </c>
      <c r="D82" s="1" t="s">
        <v>22</v>
      </c>
      <c r="E82" s="3">
        <v>354245337047917</v>
      </c>
      <c r="F82" s="1"/>
      <c r="G82" s="5">
        <v>45603</v>
      </c>
      <c r="H82" s="4">
        <v>382</v>
      </c>
      <c r="I82" s="4"/>
      <c r="J82" s="5">
        <v>45610</v>
      </c>
      <c r="K82" s="4">
        <v>450</v>
      </c>
      <c r="L82" s="8">
        <v>68</v>
      </c>
      <c r="M82" s="6" t="s">
        <v>366</v>
      </c>
    </row>
    <row r="83" spans="1:13" x14ac:dyDescent="0.3">
      <c r="A83" s="23" t="s">
        <v>16</v>
      </c>
      <c r="B83" s="6" t="s">
        <v>111</v>
      </c>
      <c r="C83" s="1" t="s">
        <v>21</v>
      </c>
      <c r="D83" s="1" t="s">
        <v>15</v>
      </c>
      <c r="E83" s="3">
        <v>353186435680764</v>
      </c>
      <c r="F83" s="1"/>
      <c r="G83" s="5">
        <v>45605</v>
      </c>
      <c r="H83" s="4">
        <v>230</v>
      </c>
      <c r="I83" s="4"/>
      <c r="J83" s="5">
        <v>45611</v>
      </c>
      <c r="K83" s="4">
        <v>310</v>
      </c>
      <c r="L83" s="8">
        <v>80</v>
      </c>
      <c r="M83" s="6" t="s">
        <v>386</v>
      </c>
    </row>
    <row r="84" spans="1:13" x14ac:dyDescent="0.3">
      <c r="A84" s="23" t="s">
        <v>16</v>
      </c>
      <c r="B84" s="6" t="s">
        <v>129</v>
      </c>
      <c r="C84" s="1" t="s">
        <v>45</v>
      </c>
      <c r="D84" s="1" t="s">
        <v>15</v>
      </c>
      <c r="E84" s="3">
        <v>351246301222745</v>
      </c>
      <c r="F84" s="1"/>
      <c r="G84" s="5">
        <v>45606</v>
      </c>
      <c r="H84" s="4">
        <v>550</v>
      </c>
      <c r="I84" s="4"/>
      <c r="J84" s="5">
        <v>45611</v>
      </c>
      <c r="K84" s="4">
        <v>620</v>
      </c>
      <c r="L84" s="8">
        <v>70</v>
      </c>
      <c r="M84" s="6" t="s">
        <v>391</v>
      </c>
    </row>
    <row r="85" spans="1:13" x14ac:dyDescent="0.3">
      <c r="A85" s="23" t="s">
        <v>16</v>
      </c>
      <c r="B85" s="6" t="s">
        <v>240</v>
      </c>
      <c r="C85" s="1" t="s">
        <v>21</v>
      </c>
      <c r="D85" s="1" t="s">
        <v>15</v>
      </c>
      <c r="E85" s="3">
        <v>352927112608813</v>
      </c>
      <c r="F85" s="1"/>
      <c r="G85" s="5">
        <v>45597</v>
      </c>
      <c r="H85" s="4">
        <v>210</v>
      </c>
      <c r="I85" s="4"/>
      <c r="J85" s="5">
        <v>45611</v>
      </c>
      <c r="K85" s="4">
        <v>250</v>
      </c>
      <c r="L85" s="8">
        <v>40</v>
      </c>
      <c r="M85" s="6" t="s">
        <v>232</v>
      </c>
    </row>
    <row r="86" spans="1:13" x14ac:dyDescent="0.3">
      <c r="A86" s="23" t="s">
        <v>16</v>
      </c>
      <c r="B86" s="25" t="s">
        <v>319</v>
      </c>
      <c r="C86" s="1" t="s">
        <v>187</v>
      </c>
      <c r="D86" s="1" t="s">
        <v>15</v>
      </c>
      <c r="E86" s="3">
        <v>35304119307439</v>
      </c>
      <c r="F86" s="1"/>
      <c r="G86" s="5">
        <v>45597</v>
      </c>
      <c r="H86" s="4">
        <v>240</v>
      </c>
      <c r="I86" s="4"/>
      <c r="J86" s="5">
        <v>45611</v>
      </c>
      <c r="K86" s="4">
        <v>290</v>
      </c>
      <c r="L86" s="8">
        <v>50</v>
      </c>
      <c r="M86" s="6" t="s">
        <v>320</v>
      </c>
    </row>
    <row r="87" spans="1:13" x14ac:dyDescent="0.3">
      <c r="A87" s="23" t="s">
        <v>16</v>
      </c>
      <c r="B87" s="6" t="s">
        <v>104</v>
      </c>
      <c r="C87" s="1" t="s">
        <v>21</v>
      </c>
      <c r="D87" s="1" t="s">
        <v>15</v>
      </c>
      <c r="E87" s="3">
        <v>356487142023232</v>
      </c>
      <c r="F87" s="1" t="s">
        <v>341</v>
      </c>
      <c r="G87" s="5">
        <v>45600</v>
      </c>
      <c r="H87" s="4">
        <v>250</v>
      </c>
      <c r="I87" s="4">
        <v>23</v>
      </c>
      <c r="J87" s="5">
        <v>45612</v>
      </c>
      <c r="K87" s="4">
        <v>350</v>
      </c>
      <c r="L87" s="8">
        <v>77</v>
      </c>
      <c r="M87" s="6" t="s">
        <v>342</v>
      </c>
    </row>
    <row r="88" spans="1:13" x14ac:dyDescent="0.3">
      <c r="A88" s="23" t="s">
        <v>323</v>
      </c>
      <c r="B88" s="6"/>
      <c r="C88" s="23"/>
      <c r="D88" s="1"/>
      <c r="E88" s="3"/>
      <c r="F88" s="1"/>
      <c r="G88" s="5"/>
      <c r="H88" s="4"/>
      <c r="I88" s="4"/>
      <c r="J88" s="5">
        <v>45612</v>
      </c>
      <c r="K88" s="4">
        <v>5</v>
      </c>
      <c r="L88" s="8">
        <f>Таблица323[[#This Row],[SOTILGAN NARXI]]-Таблица323[[#This Row],[OLINGAN NARXI $]]-Таблица323[[#This Row],[RASXOD]]</f>
        <v>5</v>
      </c>
      <c r="M88" s="6"/>
    </row>
    <row r="89" spans="1:13" x14ac:dyDescent="0.3">
      <c r="A89" s="23" t="s">
        <v>446</v>
      </c>
      <c r="B89" s="6"/>
      <c r="C89" s="23"/>
      <c r="D89" s="1"/>
      <c r="E89" s="3"/>
      <c r="F89" s="1"/>
      <c r="G89" s="5"/>
      <c r="H89" s="4"/>
      <c r="I89" s="4"/>
      <c r="J89" s="5">
        <v>45612</v>
      </c>
      <c r="K89" s="4">
        <v>10</v>
      </c>
      <c r="L89" s="8">
        <f>Таблица323[[#This Row],[SOTILGAN NARXI]]-Таблица323[[#This Row],[OLINGAN NARXI $]]-Таблица323[[#This Row],[RASXOD]]</f>
        <v>10</v>
      </c>
      <c r="M89" s="6"/>
    </row>
    <row r="90" spans="1:13" x14ac:dyDescent="0.3">
      <c r="A90" s="23" t="s">
        <v>142</v>
      </c>
      <c r="B90" s="6" t="s">
        <v>403</v>
      </c>
      <c r="C90" s="1" t="s">
        <v>21</v>
      </c>
      <c r="D90" s="1" t="s">
        <v>22</v>
      </c>
      <c r="E90" s="3">
        <v>869743057305091</v>
      </c>
      <c r="F90" s="1" t="s">
        <v>43</v>
      </c>
      <c r="G90" s="5">
        <v>45607</v>
      </c>
      <c r="H90" s="4">
        <v>100</v>
      </c>
      <c r="I90" s="4"/>
      <c r="J90" s="5">
        <v>45612</v>
      </c>
      <c r="K90" s="4">
        <v>144</v>
      </c>
      <c r="L90" s="8">
        <v>44</v>
      </c>
      <c r="M90" s="6" t="s">
        <v>262</v>
      </c>
    </row>
    <row r="91" spans="1:13" x14ac:dyDescent="0.3">
      <c r="A91" s="23" t="s">
        <v>13</v>
      </c>
      <c r="B91" s="6" t="s">
        <v>434</v>
      </c>
      <c r="C91" s="1" t="s">
        <v>65</v>
      </c>
      <c r="D91" s="1" t="s">
        <v>22</v>
      </c>
      <c r="E91" s="3">
        <v>355919101221770</v>
      </c>
      <c r="F91" s="1"/>
      <c r="G91" s="5">
        <v>45610</v>
      </c>
      <c r="H91" s="4">
        <v>43</v>
      </c>
      <c r="I91" s="4"/>
      <c r="J91" s="5">
        <v>45612</v>
      </c>
      <c r="K91" s="4">
        <v>70</v>
      </c>
      <c r="L91" s="8">
        <v>27</v>
      </c>
      <c r="M91" s="6" t="s">
        <v>435</v>
      </c>
    </row>
    <row r="92" spans="1:13" x14ac:dyDescent="0.3">
      <c r="A92" s="23" t="s">
        <v>13</v>
      </c>
      <c r="B92" s="6" t="s">
        <v>54</v>
      </c>
      <c r="C92" s="1" t="s">
        <v>18</v>
      </c>
      <c r="D92" s="1" t="s">
        <v>15</v>
      </c>
      <c r="E92" s="3">
        <v>358511024355434</v>
      </c>
      <c r="F92" s="1" t="s">
        <v>55</v>
      </c>
      <c r="G92" s="5">
        <v>45573</v>
      </c>
      <c r="H92" s="4">
        <v>150</v>
      </c>
      <c r="I92" s="4"/>
      <c r="J92" s="5">
        <v>45612</v>
      </c>
      <c r="K92" s="4">
        <v>180</v>
      </c>
      <c r="L92" s="8">
        <v>30</v>
      </c>
      <c r="M92" s="6" t="s">
        <v>56</v>
      </c>
    </row>
    <row r="93" spans="1:13" x14ac:dyDescent="0.3">
      <c r="A93" s="23" t="s">
        <v>13</v>
      </c>
      <c r="B93" s="6" t="s">
        <v>51</v>
      </c>
      <c r="C93" s="1" t="s">
        <v>21</v>
      </c>
      <c r="D93" s="1" t="s">
        <v>22</v>
      </c>
      <c r="E93" s="3">
        <v>9968</v>
      </c>
      <c r="F93" s="1" t="s">
        <v>401</v>
      </c>
      <c r="G93" s="5">
        <v>45607</v>
      </c>
      <c r="H93" s="4">
        <v>510</v>
      </c>
      <c r="I93" s="4"/>
      <c r="J93" s="5">
        <v>45612</v>
      </c>
      <c r="K93" s="4">
        <v>595</v>
      </c>
      <c r="L93" s="8">
        <v>85</v>
      </c>
      <c r="M93" s="6" t="s">
        <v>402</v>
      </c>
    </row>
    <row r="94" spans="1:13" x14ac:dyDescent="0.3">
      <c r="A94" s="23" t="s">
        <v>207</v>
      </c>
      <c r="B94" s="6" t="s">
        <v>437</v>
      </c>
      <c r="C94" s="1" t="s">
        <v>21</v>
      </c>
      <c r="D94" s="1" t="s">
        <v>22</v>
      </c>
      <c r="E94" s="3"/>
      <c r="F94" s="1"/>
      <c r="G94" s="5">
        <v>45611</v>
      </c>
      <c r="H94" s="4">
        <v>150</v>
      </c>
      <c r="I94" s="4"/>
      <c r="J94" s="5">
        <v>45612</v>
      </c>
      <c r="K94" s="4">
        <v>180</v>
      </c>
      <c r="L94" s="8">
        <v>30</v>
      </c>
      <c r="M94" s="6" t="s">
        <v>438</v>
      </c>
    </row>
    <row r="95" spans="1:13" x14ac:dyDescent="0.3">
      <c r="A95" s="23" t="s">
        <v>16</v>
      </c>
      <c r="B95" s="6" t="s">
        <v>81</v>
      </c>
      <c r="C95" s="1" t="s">
        <v>65</v>
      </c>
      <c r="D95" s="1" t="s">
        <v>22</v>
      </c>
      <c r="E95" s="3">
        <v>355656507685212</v>
      </c>
      <c r="F95" s="1"/>
      <c r="G95" s="5">
        <v>45606</v>
      </c>
      <c r="H95" s="4">
        <v>470</v>
      </c>
      <c r="I95" s="4"/>
      <c r="J95" s="5">
        <v>45612</v>
      </c>
      <c r="K95" s="4">
        <v>530</v>
      </c>
      <c r="L95" s="8">
        <v>60</v>
      </c>
      <c r="M95" s="6" t="s">
        <v>392</v>
      </c>
    </row>
    <row r="96" spans="1:13" x14ac:dyDescent="0.3">
      <c r="A96" s="23" t="s">
        <v>16</v>
      </c>
      <c r="B96" s="6" t="s">
        <v>74</v>
      </c>
      <c r="C96" s="1" t="s">
        <v>35</v>
      </c>
      <c r="D96" s="1" t="s">
        <v>15</v>
      </c>
      <c r="E96" s="3">
        <v>353943232916068</v>
      </c>
      <c r="F96" s="1"/>
      <c r="G96" s="5">
        <v>45566</v>
      </c>
      <c r="H96" s="4">
        <v>645</v>
      </c>
      <c r="I96" s="4">
        <v>12</v>
      </c>
      <c r="J96" s="5">
        <v>45612</v>
      </c>
      <c r="K96" s="4">
        <v>660</v>
      </c>
      <c r="L96" s="8">
        <v>3</v>
      </c>
      <c r="M96" s="6" t="s">
        <v>29</v>
      </c>
    </row>
    <row r="97" spans="1:13" x14ac:dyDescent="0.3">
      <c r="A97" s="23" t="s">
        <v>16</v>
      </c>
      <c r="B97" s="6" t="s">
        <v>298</v>
      </c>
      <c r="C97" s="1" t="s">
        <v>45</v>
      </c>
      <c r="D97" s="1" t="s">
        <v>15</v>
      </c>
      <c r="E97" s="3">
        <v>353809087938301</v>
      </c>
      <c r="F97" s="1" t="s">
        <v>98</v>
      </c>
      <c r="G97" s="5">
        <v>45595</v>
      </c>
      <c r="H97" s="4">
        <v>47</v>
      </c>
      <c r="I97" s="4"/>
      <c r="J97" s="5">
        <v>45612</v>
      </c>
      <c r="K97" s="4">
        <v>85</v>
      </c>
      <c r="L97" s="8">
        <v>38</v>
      </c>
      <c r="M97" s="6" t="s">
        <v>299</v>
      </c>
    </row>
    <row r="98" spans="1:13" x14ac:dyDescent="0.3">
      <c r="A98" s="23" t="s">
        <v>323</v>
      </c>
      <c r="B98" s="6"/>
      <c r="C98" s="23"/>
      <c r="D98" s="1"/>
      <c r="E98" s="3"/>
      <c r="F98" s="1"/>
      <c r="G98" s="5"/>
      <c r="H98" s="4"/>
      <c r="I98" s="4"/>
      <c r="J98" s="5">
        <v>45613</v>
      </c>
      <c r="K98" s="4">
        <v>7</v>
      </c>
      <c r="L98" s="8">
        <f>Таблица323[[#This Row],[SOTILGAN NARXI]]-Таблица323[[#This Row],[OLINGAN NARXI $]]-Таблица323[[#This Row],[RASXOD]]</f>
        <v>7</v>
      </c>
      <c r="M98" s="6"/>
    </row>
    <row r="99" spans="1:13" x14ac:dyDescent="0.3">
      <c r="A99" s="23" t="s">
        <v>16</v>
      </c>
      <c r="B99" s="6" t="s">
        <v>106</v>
      </c>
      <c r="C99" s="1" t="s">
        <v>187</v>
      </c>
      <c r="D99" s="1" t="s">
        <v>15</v>
      </c>
      <c r="E99" s="3">
        <v>353993104654388</v>
      </c>
      <c r="F99" s="1" t="s">
        <v>66</v>
      </c>
      <c r="G99" s="5">
        <v>45579</v>
      </c>
      <c r="H99" s="4">
        <v>117</v>
      </c>
      <c r="I99" s="4">
        <v>51</v>
      </c>
      <c r="J99" s="5">
        <v>45613</v>
      </c>
      <c r="K99" s="4">
        <v>220</v>
      </c>
      <c r="L99" s="8">
        <v>52</v>
      </c>
      <c r="M99" s="6" t="s">
        <v>188</v>
      </c>
    </row>
    <row r="100" spans="1:13" x14ac:dyDescent="0.3">
      <c r="A100" s="23" t="s">
        <v>13</v>
      </c>
      <c r="B100" s="6" t="s">
        <v>444</v>
      </c>
      <c r="C100" s="1" t="s">
        <v>295</v>
      </c>
      <c r="D100" s="1" t="s">
        <v>22</v>
      </c>
      <c r="E100" s="3">
        <v>352682504439018</v>
      </c>
      <c r="F100" s="1" t="s">
        <v>61</v>
      </c>
      <c r="G100" s="5">
        <v>45612</v>
      </c>
      <c r="H100" s="4">
        <v>300</v>
      </c>
      <c r="I100" s="4"/>
      <c r="J100" s="5">
        <v>45613</v>
      </c>
      <c r="K100" s="4">
        <v>350</v>
      </c>
      <c r="L100" s="8">
        <v>50</v>
      </c>
      <c r="M100" s="6" t="s">
        <v>262</v>
      </c>
    </row>
    <row r="101" spans="1:13" x14ac:dyDescent="0.3">
      <c r="A101" s="23" t="s">
        <v>13</v>
      </c>
      <c r="B101" s="6" t="s">
        <v>14</v>
      </c>
      <c r="C101" s="1" t="s">
        <v>97</v>
      </c>
      <c r="D101" s="1" t="s">
        <v>15</v>
      </c>
      <c r="E101" s="3">
        <v>351562311780443</v>
      </c>
      <c r="F101" s="1"/>
      <c r="G101" s="5">
        <v>45613</v>
      </c>
      <c r="H101" s="4">
        <v>380</v>
      </c>
      <c r="I101" s="4"/>
      <c r="J101" s="5">
        <v>45613</v>
      </c>
      <c r="K101" s="4">
        <v>460</v>
      </c>
      <c r="L101" s="8">
        <v>80</v>
      </c>
      <c r="M101" s="6" t="s">
        <v>450</v>
      </c>
    </row>
    <row r="102" spans="1:13" x14ac:dyDescent="0.3">
      <c r="A102" s="23" t="s">
        <v>16</v>
      </c>
      <c r="B102" s="6" t="s">
        <v>39</v>
      </c>
      <c r="C102" s="1" t="s">
        <v>18</v>
      </c>
      <c r="D102" s="1" t="s">
        <v>22</v>
      </c>
      <c r="E102" s="3">
        <v>357828284682898</v>
      </c>
      <c r="F102" s="1"/>
      <c r="G102" s="5">
        <v>45611</v>
      </c>
      <c r="H102" s="4">
        <v>550</v>
      </c>
      <c r="I102" s="4"/>
      <c r="J102" s="5">
        <v>45613</v>
      </c>
      <c r="K102" s="4">
        <v>650</v>
      </c>
      <c r="L102" s="8">
        <v>100</v>
      </c>
      <c r="M102" s="6" t="s">
        <v>440</v>
      </c>
    </row>
    <row r="103" spans="1:13" x14ac:dyDescent="0.3">
      <c r="A103" s="23" t="s">
        <v>13</v>
      </c>
      <c r="B103" s="6" t="s">
        <v>427</v>
      </c>
      <c r="C103" s="1" t="s">
        <v>21</v>
      </c>
      <c r="D103" s="1" t="s">
        <v>22</v>
      </c>
      <c r="E103" s="3">
        <v>354267934071363</v>
      </c>
      <c r="F103" s="1"/>
      <c r="G103" s="5">
        <v>45610</v>
      </c>
      <c r="H103" s="4">
        <v>500</v>
      </c>
      <c r="I103" s="4"/>
      <c r="J103" s="5">
        <v>45613</v>
      </c>
      <c r="K103" s="4">
        <v>550</v>
      </c>
      <c r="L103" s="8">
        <v>50</v>
      </c>
      <c r="M103" s="6" t="s">
        <v>428</v>
      </c>
    </row>
    <row r="104" spans="1:13" x14ac:dyDescent="0.3">
      <c r="A104" s="23" t="s">
        <v>207</v>
      </c>
      <c r="B104" s="6" t="s">
        <v>399</v>
      </c>
      <c r="C104" s="1" t="s">
        <v>21</v>
      </c>
      <c r="D104" s="1" t="s">
        <v>22</v>
      </c>
      <c r="E104" s="3"/>
      <c r="F104" s="1"/>
      <c r="G104" s="5">
        <v>45607</v>
      </c>
      <c r="H104" s="4">
        <v>215</v>
      </c>
      <c r="I104" s="4"/>
      <c r="J104" s="5">
        <v>45613</v>
      </c>
      <c r="K104" s="4">
        <v>255</v>
      </c>
      <c r="L104" s="8">
        <v>55</v>
      </c>
      <c r="M104" s="6" t="s">
        <v>400</v>
      </c>
    </row>
    <row r="105" spans="1:13" x14ac:dyDescent="0.3">
      <c r="A105" s="23" t="s">
        <v>16</v>
      </c>
      <c r="B105" s="6" t="s">
        <v>132</v>
      </c>
      <c r="C105" s="1" t="s">
        <v>65</v>
      </c>
      <c r="D105" s="1" t="s">
        <v>15</v>
      </c>
      <c r="E105" s="3">
        <v>4467</v>
      </c>
      <c r="F105" s="1"/>
      <c r="G105" s="5">
        <v>45564</v>
      </c>
      <c r="H105" s="4">
        <v>280</v>
      </c>
      <c r="I105" s="4"/>
      <c r="J105" s="5">
        <v>45614</v>
      </c>
      <c r="K105" s="4">
        <v>310</v>
      </c>
      <c r="L105" s="8">
        <v>30</v>
      </c>
      <c r="M105" s="6"/>
    </row>
    <row r="106" spans="1:13" x14ac:dyDescent="0.3">
      <c r="A106" s="23" t="s">
        <v>16</v>
      </c>
      <c r="B106" s="6" t="s">
        <v>25</v>
      </c>
      <c r="C106" s="1" t="s">
        <v>26</v>
      </c>
      <c r="D106" s="1" t="s">
        <v>22</v>
      </c>
      <c r="E106" s="3">
        <v>357511594973385</v>
      </c>
      <c r="F106" s="1"/>
      <c r="G106" s="5">
        <v>45608</v>
      </c>
      <c r="H106" s="4">
        <v>740</v>
      </c>
      <c r="I106" s="4">
        <v>17</v>
      </c>
      <c r="J106" s="5">
        <v>45614</v>
      </c>
      <c r="K106" s="4">
        <v>900</v>
      </c>
      <c r="L106" s="8">
        <v>143</v>
      </c>
      <c r="M106" s="6" t="s">
        <v>416</v>
      </c>
    </row>
    <row r="107" spans="1:13" x14ac:dyDescent="0.3">
      <c r="A107" s="23" t="s">
        <v>16</v>
      </c>
      <c r="B107" s="6" t="s">
        <v>25</v>
      </c>
      <c r="C107" s="1" t="s">
        <v>26</v>
      </c>
      <c r="D107" s="1" t="s">
        <v>22</v>
      </c>
      <c r="E107" s="3">
        <v>358181351699653</v>
      </c>
      <c r="F107" s="1" t="s">
        <v>27</v>
      </c>
      <c r="G107" s="5">
        <v>45590</v>
      </c>
      <c r="H107" s="4">
        <v>880</v>
      </c>
      <c r="I107" s="4"/>
      <c r="J107" s="5">
        <v>45614</v>
      </c>
      <c r="K107" s="4">
        <v>940</v>
      </c>
      <c r="L107" s="8">
        <v>60</v>
      </c>
      <c r="M107" s="6" t="s">
        <v>254</v>
      </c>
    </row>
    <row r="108" spans="1:13" x14ac:dyDescent="0.3">
      <c r="A108" s="23" t="s">
        <v>16</v>
      </c>
      <c r="B108" s="6" t="s">
        <v>443</v>
      </c>
      <c r="C108" s="1" t="s">
        <v>257</v>
      </c>
      <c r="D108" s="1" t="s">
        <v>22</v>
      </c>
      <c r="E108" s="3">
        <v>358244950470650</v>
      </c>
      <c r="F108" s="1"/>
      <c r="G108" s="5">
        <v>45612</v>
      </c>
      <c r="H108" s="4">
        <v>1020</v>
      </c>
      <c r="I108" s="4"/>
      <c r="J108" s="5">
        <v>45614</v>
      </c>
      <c r="K108" s="4">
        <v>1050</v>
      </c>
      <c r="L108" s="8">
        <v>30</v>
      </c>
      <c r="M108" s="6" t="s">
        <v>262</v>
      </c>
    </row>
    <row r="109" spans="1:13" x14ac:dyDescent="0.3">
      <c r="A109" s="23" t="s">
        <v>207</v>
      </c>
      <c r="B109" s="6" t="s">
        <v>316</v>
      </c>
      <c r="C109" s="1" t="s">
        <v>65</v>
      </c>
      <c r="D109" s="1" t="s">
        <v>15</v>
      </c>
      <c r="E109" s="3"/>
      <c r="F109" s="1"/>
      <c r="G109" s="5">
        <v>45596</v>
      </c>
      <c r="H109" s="4">
        <v>60</v>
      </c>
      <c r="I109" s="4"/>
      <c r="J109" s="5">
        <v>45614</v>
      </c>
      <c r="K109" s="4">
        <v>110</v>
      </c>
      <c r="L109" s="8">
        <v>50</v>
      </c>
      <c r="M109" s="6" t="s">
        <v>318</v>
      </c>
    </row>
    <row r="110" spans="1:13" x14ac:dyDescent="0.3">
      <c r="A110" s="23" t="s">
        <v>16</v>
      </c>
      <c r="B110" s="6" t="s">
        <v>148</v>
      </c>
      <c r="C110" s="1" t="s">
        <v>21</v>
      </c>
      <c r="D110" s="1" t="s">
        <v>15</v>
      </c>
      <c r="E110" s="3">
        <v>356689118999622</v>
      </c>
      <c r="F110" s="1"/>
      <c r="G110" s="5">
        <v>45612</v>
      </c>
      <c r="H110" s="4">
        <v>320</v>
      </c>
      <c r="I110" s="4"/>
      <c r="J110" s="5">
        <v>45614</v>
      </c>
      <c r="K110" s="4">
        <v>400</v>
      </c>
      <c r="L110" s="8">
        <v>80</v>
      </c>
      <c r="M110" s="6" t="s">
        <v>445</v>
      </c>
    </row>
    <row r="111" spans="1:13" x14ac:dyDescent="0.3">
      <c r="A111" s="23" t="s">
        <v>13</v>
      </c>
      <c r="B111" s="6" t="s">
        <v>459</v>
      </c>
      <c r="C111" s="23" t="s">
        <v>460</v>
      </c>
      <c r="D111" s="1" t="s">
        <v>22</v>
      </c>
      <c r="E111" s="3"/>
      <c r="F111" s="1"/>
      <c r="G111" s="5">
        <v>45614</v>
      </c>
      <c r="H111" s="4">
        <v>570</v>
      </c>
      <c r="I111" s="4"/>
      <c r="J111" s="5">
        <v>45614</v>
      </c>
      <c r="K111" s="4">
        <v>600</v>
      </c>
      <c r="L111" s="8">
        <f>Таблица323[[#This Row],[SOTILGAN NARXI]]-Таблица323[[#This Row],[OLINGAN NARXI $]]-Таблица323[[#This Row],[RASXOD]]</f>
        <v>30</v>
      </c>
      <c r="M111" s="6"/>
    </row>
    <row r="112" spans="1:13" x14ac:dyDescent="0.3">
      <c r="A112" s="23" t="s">
        <v>16</v>
      </c>
      <c r="B112" s="6" t="s">
        <v>81</v>
      </c>
      <c r="C112" s="1" t="s">
        <v>18</v>
      </c>
      <c r="D112" s="1" t="s">
        <v>15</v>
      </c>
      <c r="E112" s="3">
        <v>355224382732805</v>
      </c>
      <c r="F112" s="1"/>
      <c r="G112" s="5">
        <v>45546</v>
      </c>
      <c r="H112" s="4">
        <v>515</v>
      </c>
      <c r="I112" s="4">
        <v>9</v>
      </c>
      <c r="J112" s="5"/>
      <c r="K112" s="4">
        <v>524</v>
      </c>
      <c r="L112" s="8">
        <v>0</v>
      </c>
      <c r="M112" s="6" t="s">
        <v>19</v>
      </c>
    </row>
    <row r="113" spans="1:13" x14ac:dyDescent="0.3">
      <c r="A113" s="23" t="s">
        <v>13</v>
      </c>
      <c r="B113" s="6" t="s">
        <v>117</v>
      </c>
      <c r="C113" s="1" t="s">
        <v>89</v>
      </c>
      <c r="D113" s="1" t="s">
        <v>15</v>
      </c>
      <c r="E113" s="3">
        <v>351424770542006</v>
      </c>
      <c r="F113" s="1"/>
      <c r="G113" s="5">
        <v>45560</v>
      </c>
      <c r="H113" s="4">
        <v>260</v>
      </c>
      <c r="I113" s="4">
        <v>12</v>
      </c>
      <c r="J113" s="5">
        <v>45615</v>
      </c>
      <c r="K113" s="4">
        <v>296</v>
      </c>
      <c r="L113" s="8">
        <v>24</v>
      </c>
      <c r="M113" s="6" t="s">
        <v>19</v>
      </c>
    </row>
    <row r="114" spans="1:13" x14ac:dyDescent="0.3">
      <c r="A114" s="23" t="s">
        <v>13</v>
      </c>
      <c r="B114" s="6" t="s">
        <v>432</v>
      </c>
      <c r="C114" s="1" t="s">
        <v>21</v>
      </c>
      <c r="D114" s="1" t="s">
        <v>15</v>
      </c>
      <c r="E114" s="3">
        <v>352307137472133</v>
      </c>
      <c r="F114" s="1"/>
      <c r="G114" s="5">
        <v>45610</v>
      </c>
      <c r="H114" s="4">
        <v>51</v>
      </c>
      <c r="I114" s="4"/>
      <c r="J114" s="5">
        <v>45615</v>
      </c>
      <c r="K114" s="4">
        <v>70</v>
      </c>
      <c r="L114" s="8">
        <v>19</v>
      </c>
      <c r="M114" s="6" t="s">
        <v>433</v>
      </c>
    </row>
    <row r="115" spans="1:13" x14ac:dyDescent="0.3">
      <c r="A115" s="23" t="s">
        <v>142</v>
      </c>
      <c r="B115" s="6" t="s">
        <v>461</v>
      </c>
      <c r="C115" s="1" t="s">
        <v>21</v>
      </c>
      <c r="D115" s="1" t="s">
        <v>15</v>
      </c>
      <c r="E115" s="3">
        <v>865869058457401</v>
      </c>
      <c r="F115" s="1"/>
      <c r="G115" s="5">
        <v>45614</v>
      </c>
      <c r="H115" s="4">
        <v>43</v>
      </c>
      <c r="I115" s="4"/>
      <c r="J115" s="5">
        <v>45615</v>
      </c>
      <c r="K115" s="4">
        <v>85</v>
      </c>
      <c r="L115" s="8">
        <v>42</v>
      </c>
      <c r="M115" s="6" t="s">
        <v>462</v>
      </c>
    </row>
    <row r="116" spans="1:13" x14ac:dyDescent="0.3">
      <c r="A116" s="23" t="s">
        <v>13</v>
      </c>
      <c r="B116" s="6" t="s">
        <v>466</v>
      </c>
      <c r="C116" s="23" t="s">
        <v>21</v>
      </c>
      <c r="D116" s="1" t="s">
        <v>15</v>
      </c>
      <c r="E116" s="3"/>
      <c r="F116" s="1" t="s">
        <v>411</v>
      </c>
      <c r="G116" s="5">
        <v>45611</v>
      </c>
      <c r="H116" s="4">
        <v>24</v>
      </c>
      <c r="I116" s="4"/>
      <c r="J116" s="5">
        <v>44519</v>
      </c>
      <c r="K116" s="4">
        <v>62</v>
      </c>
      <c r="L116" s="8">
        <f>Таблица323[[#This Row],[SOTILGAN NARXI]]-Таблица323[[#This Row],[OLINGAN NARXI $]]-Таблица323[[#This Row],[RASXOD]]</f>
        <v>38</v>
      </c>
      <c r="M116" s="6"/>
    </row>
    <row r="117" spans="1:13" x14ac:dyDescent="0.3">
      <c r="A117" s="23" t="s">
        <v>16</v>
      </c>
      <c r="B117" s="6" t="s">
        <v>464</v>
      </c>
      <c r="C117" s="1" t="s">
        <v>26</v>
      </c>
      <c r="D117" s="1" t="s">
        <v>15</v>
      </c>
      <c r="E117" s="3">
        <v>350727303825966</v>
      </c>
      <c r="F117" s="1" t="s">
        <v>343</v>
      </c>
      <c r="G117" s="5">
        <v>45615</v>
      </c>
      <c r="H117" s="4">
        <v>616</v>
      </c>
      <c r="I117" s="4"/>
      <c r="J117" s="5">
        <v>45615</v>
      </c>
      <c r="K117" s="4">
        <v>630</v>
      </c>
      <c r="L117" s="8">
        <v>14</v>
      </c>
      <c r="M117" s="6" t="s">
        <v>465</v>
      </c>
    </row>
    <row r="118" spans="1:13" x14ac:dyDescent="0.3">
      <c r="A118" s="23" t="s">
        <v>13</v>
      </c>
      <c r="B118" s="6" t="s">
        <v>115</v>
      </c>
      <c r="C118" s="1" t="s">
        <v>89</v>
      </c>
      <c r="D118" s="1" t="s">
        <v>15</v>
      </c>
      <c r="E118" s="3">
        <v>354879300447652</v>
      </c>
      <c r="F118" s="1"/>
      <c r="G118" s="5">
        <v>45566</v>
      </c>
      <c r="H118" s="4">
        <v>190</v>
      </c>
      <c r="I118" s="4">
        <v>12</v>
      </c>
      <c r="J118" s="5">
        <v>45615</v>
      </c>
      <c r="K118" s="4">
        <v>212</v>
      </c>
      <c r="L118" s="8">
        <v>10</v>
      </c>
      <c r="M118" s="6" t="s">
        <v>19</v>
      </c>
    </row>
    <row r="119" spans="1:13" x14ac:dyDescent="0.3">
      <c r="A119" s="23" t="s">
        <v>16</v>
      </c>
      <c r="B119" s="6" t="s">
        <v>360</v>
      </c>
      <c r="C119" s="1" t="s">
        <v>18</v>
      </c>
      <c r="D119" s="1" t="s">
        <v>15</v>
      </c>
      <c r="E119" s="3">
        <v>353006119907376</v>
      </c>
      <c r="F119" s="1" t="s">
        <v>43</v>
      </c>
      <c r="G119" s="5">
        <v>45602</v>
      </c>
      <c r="H119" s="4">
        <v>200</v>
      </c>
      <c r="I119" s="4">
        <v>25</v>
      </c>
      <c r="J119" s="5">
        <v>45615</v>
      </c>
      <c r="K119" s="4">
        <v>267</v>
      </c>
      <c r="L119" s="8">
        <v>42</v>
      </c>
      <c r="M119" s="6" t="s">
        <v>359</v>
      </c>
    </row>
    <row r="120" spans="1:13" x14ac:dyDescent="0.3">
      <c r="A120" s="23" t="s">
        <v>16</v>
      </c>
      <c r="B120" s="6" t="s">
        <v>407</v>
      </c>
      <c r="C120" s="1" t="s">
        <v>65</v>
      </c>
      <c r="D120" s="1" t="s">
        <v>15</v>
      </c>
      <c r="E120" s="3">
        <v>356122162639449</v>
      </c>
      <c r="F120" s="1"/>
      <c r="G120" s="5">
        <v>45615</v>
      </c>
      <c r="H120" s="4">
        <v>168</v>
      </c>
      <c r="I120" s="4"/>
      <c r="J120" s="5">
        <v>45616</v>
      </c>
      <c r="K120" s="4">
        <v>200</v>
      </c>
      <c r="L120" s="8">
        <v>32</v>
      </c>
      <c r="M120" s="6" t="s">
        <v>463</v>
      </c>
    </row>
    <row r="121" spans="1:13" x14ac:dyDescent="0.3">
      <c r="A121" s="23" t="s">
        <v>16</v>
      </c>
      <c r="B121" s="6" t="s">
        <v>81</v>
      </c>
      <c r="C121" s="1" t="s">
        <v>65</v>
      </c>
      <c r="D121" s="1" t="s">
        <v>22</v>
      </c>
      <c r="E121" s="3">
        <v>350017080314768</v>
      </c>
      <c r="F121" s="1"/>
      <c r="G121" s="5">
        <v>45581</v>
      </c>
      <c r="H121" s="4">
        <v>510</v>
      </c>
      <c r="I121" s="4"/>
      <c r="J121" s="5">
        <v>45616</v>
      </c>
      <c r="K121" s="4">
        <v>585</v>
      </c>
      <c r="L121" s="8">
        <v>75</v>
      </c>
      <c r="M121" s="6" t="s">
        <v>201</v>
      </c>
    </row>
    <row r="122" spans="1:13" x14ac:dyDescent="0.3">
      <c r="A122" s="23" t="s">
        <v>16</v>
      </c>
      <c r="B122" s="6" t="s">
        <v>34</v>
      </c>
      <c r="C122" s="1" t="s">
        <v>21</v>
      </c>
      <c r="D122" s="1" t="s">
        <v>22</v>
      </c>
      <c r="E122" s="3">
        <v>355281437888602</v>
      </c>
      <c r="F122" s="1"/>
      <c r="G122" s="5">
        <v>45611</v>
      </c>
      <c r="H122" s="4">
        <v>650</v>
      </c>
      <c r="I122" s="4"/>
      <c r="J122" s="5">
        <v>45617</v>
      </c>
      <c r="K122" s="4">
        <v>780</v>
      </c>
      <c r="L122" s="8">
        <v>130</v>
      </c>
      <c r="M122" s="6" t="s">
        <v>439</v>
      </c>
    </row>
    <row r="123" spans="1:13" x14ac:dyDescent="0.3">
      <c r="A123" s="23" t="s">
        <v>142</v>
      </c>
      <c r="B123" s="6" t="s">
        <v>485</v>
      </c>
      <c r="C123" s="1" t="s">
        <v>21</v>
      </c>
      <c r="D123" s="1" t="s">
        <v>22</v>
      </c>
      <c r="E123" s="3">
        <v>4724</v>
      </c>
      <c r="F123" s="1"/>
      <c r="G123" s="5"/>
      <c r="H123" s="4">
        <v>100</v>
      </c>
      <c r="I123" s="4"/>
      <c r="J123" s="5">
        <v>45617</v>
      </c>
      <c r="K123" s="4">
        <v>130</v>
      </c>
      <c r="L123" s="8">
        <f>Таблица323[[#This Row],[SOTILGAN NARXI]]-Таблица323[[#This Row],[OLINGAN NARXI $]]-Таблица323[[#This Row],[RASXOD]]</f>
        <v>30</v>
      </c>
      <c r="M123" s="6"/>
    </row>
    <row r="124" spans="1:13" x14ac:dyDescent="0.3">
      <c r="A124" s="23" t="s">
        <v>13</v>
      </c>
      <c r="B124" s="6" t="s">
        <v>467</v>
      </c>
      <c r="C124" s="1" t="s">
        <v>97</v>
      </c>
      <c r="D124" s="1" t="s">
        <v>15</v>
      </c>
      <c r="E124" s="3">
        <v>353992851977588</v>
      </c>
      <c r="F124" s="1"/>
      <c r="G124" s="5">
        <v>45615</v>
      </c>
      <c r="H124" s="4">
        <v>510</v>
      </c>
      <c r="I124" s="4">
        <v>12</v>
      </c>
      <c r="J124" s="5">
        <v>45617</v>
      </c>
      <c r="K124" s="4">
        <v>600</v>
      </c>
      <c r="L124" s="8">
        <v>78</v>
      </c>
      <c r="M124" s="6" t="s">
        <v>147</v>
      </c>
    </row>
    <row r="125" spans="1:13" x14ac:dyDescent="0.3">
      <c r="A125" s="23" t="s">
        <v>13</v>
      </c>
      <c r="B125" s="6" t="s">
        <v>14</v>
      </c>
      <c r="C125" s="1" t="s">
        <v>20</v>
      </c>
      <c r="D125" s="1" t="s">
        <v>15</v>
      </c>
      <c r="E125" s="3">
        <v>352019421418074</v>
      </c>
      <c r="F125" s="1" t="s">
        <v>43</v>
      </c>
      <c r="G125" s="5">
        <v>45575</v>
      </c>
      <c r="H125" s="4">
        <v>400</v>
      </c>
      <c r="I125" s="4"/>
      <c r="J125" s="5">
        <v>45617</v>
      </c>
      <c r="K125" s="4">
        <v>430</v>
      </c>
      <c r="L125" s="8">
        <v>30</v>
      </c>
      <c r="M125" s="6"/>
    </row>
    <row r="126" spans="1:13" x14ac:dyDescent="0.3">
      <c r="A126" s="23" t="s">
        <v>16</v>
      </c>
      <c r="B126" s="6" t="s">
        <v>404</v>
      </c>
      <c r="C126" s="1" t="s">
        <v>18</v>
      </c>
      <c r="D126" s="1" t="s">
        <v>15</v>
      </c>
      <c r="E126" s="3">
        <v>357205092870801</v>
      </c>
      <c r="F126" s="1"/>
      <c r="G126" s="5">
        <v>45616</v>
      </c>
      <c r="H126" s="4">
        <v>100</v>
      </c>
      <c r="I126" s="4"/>
      <c r="J126" s="5">
        <v>45617</v>
      </c>
      <c r="K126" s="4">
        <v>170</v>
      </c>
      <c r="L126" s="8">
        <v>70</v>
      </c>
      <c r="M126" s="6" t="s">
        <v>474</v>
      </c>
    </row>
    <row r="127" spans="1:13" x14ac:dyDescent="0.3">
      <c r="A127" s="23" t="s">
        <v>142</v>
      </c>
      <c r="B127" s="6" t="s">
        <v>393</v>
      </c>
      <c r="C127" s="1" t="s">
        <v>21</v>
      </c>
      <c r="D127" s="1" t="s">
        <v>22</v>
      </c>
      <c r="E127" s="3">
        <v>869365073291285</v>
      </c>
      <c r="F127" s="1"/>
      <c r="G127" s="5">
        <v>45606</v>
      </c>
      <c r="H127" s="4">
        <v>115</v>
      </c>
      <c r="I127" s="4"/>
      <c r="J127" s="5">
        <v>45617</v>
      </c>
      <c r="K127" s="4">
        <v>136</v>
      </c>
      <c r="L127" s="8">
        <v>21</v>
      </c>
      <c r="M127" s="6" t="s">
        <v>394</v>
      </c>
    </row>
    <row r="128" spans="1:13" x14ac:dyDescent="0.3">
      <c r="A128" s="23" t="s">
        <v>16</v>
      </c>
      <c r="B128" s="6" t="s">
        <v>39</v>
      </c>
      <c r="C128" s="1" t="s">
        <v>35</v>
      </c>
      <c r="D128" s="1" t="s">
        <v>22</v>
      </c>
      <c r="E128" s="3">
        <v>352872335508335</v>
      </c>
      <c r="F128" s="1"/>
      <c r="G128" s="5">
        <v>45614</v>
      </c>
      <c r="H128" s="4">
        <v>620</v>
      </c>
      <c r="I128" s="4"/>
      <c r="J128" s="5">
        <v>45618</v>
      </c>
      <c r="K128" s="4">
        <v>770</v>
      </c>
      <c r="L128" s="8">
        <v>150</v>
      </c>
      <c r="M128" s="6" t="s">
        <v>453</v>
      </c>
    </row>
    <row r="129" spans="1:13" x14ac:dyDescent="0.3">
      <c r="A129" s="23" t="s">
        <v>16</v>
      </c>
      <c r="B129" s="6" t="s">
        <v>404</v>
      </c>
      <c r="C129" s="1" t="s">
        <v>21</v>
      </c>
      <c r="D129" s="1" t="s">
        <v>15</v>
      </c>
      <c r="E129" s="3">
        <v>353147100153578</v>
      </c>
      <c r="F129" s="1" t="s">
        <v>376</v>
      </c>
      <c r="G129" s="5">
        <v>45608</v>
      </c>
      <c r="H129" s="4">
        <v>70</v>
      </c>
      <c r="I129" s="4"/>
      <c r="J129" s="5">
        <v>45618</v>
      </c>
      <c r="K129" s="4">
        <v>125</v>
      </c>
      <c r="L129" s="8">
        <v>55</v>
      </c>
      <c r="M129" s="6" t="s">
        <v>405</v>
      </c>
    </row>
    <row r="130" spans="1:13" x14ac:dyDescent="0.3">
      <c r="A130" s="23" t="s">
        <v>16</v>
      </c>
      <c r="B130" s="6" t="s">
        <v>77</v>
      </c>
      <c r="C130" s="1" t="s">
        <v>21</v>
      </c>
      <c r="D130" s="1" t="s">
        <v>15</v>
      </c>
      <c r="E130" s="3">
        <v>358267719919535</v>
      </c>
      <c r="F130" s="1"/>
      <c r="G130" s="5">
        <v>45616</v>
      </c>
      <c r="H130" s="4">
        <v>550</v>
      </c>
      <c r="I130" s="4"/>
      <c r="J130" s="5">
        <v>45618</v>
      </c>
      <c r="K130" s="4">
        <v>650</v>
      </c>
      <c r="L130" s="8">
        <v>100</v>
      </c>
      <c r="M130" s="6" t="s">
        <v>479</v>
      </c>
    </row>
    <row r="131" spans="1:13" x14ac:dyDescent="0.3">
      <c r="A131" s="23" t="s">
        <v>13</v>
      </c>
      <c r="B131" s="6" t="s">
        <v>117</v>
      </c>
      <c r="C131" s="1" t="s">
        <v>97</v>
      </c>
      <c r="D131" s="1" t="s">
        <v>15</v>
      </c>
      <c r="E131" s="3">
        <v>352854661154256</v>
      </c>
      <c r="F131" s="1"/>
      <c r="G131" s="5">
        <v>45615</v>
      </c>
      <c r="H131" s="4">
        <v>244</v>
      </c>
      <c r="I131" s="4">
        <v>12</v>
      </c>
      <c r="J131" s="5">
        <v>45618</v>
      </c>
      <c r="K131" s="4">
        <v>302</v>
      </c>
      <c r="L131" s="8">
        <v>46</v>
      </c>
      <c r="M131" s="6" t="s">
        <v>147</v>
      </c>
    </row>
    <row r="132" spans="1:13" x14ac:dyDescent="0.3">
      <c r="A132" s="23" t="s">
        <v>446</v>
      </c>
      <c r="B132" s="6" t="s">
        <v>490</v>
      </c>
      <c r="C132" s="23"/>
      <c r="D132" s="1"/>
      <c r="E132" s="3"/>
      <c r="F132" s="1"/>
      <c r="G132" s="5">
        <v>45618</v>
      </c>
      <c r="H132" s="4">
        <v>650</v>
      </c>
      <c r="I132" s="4"/>
      <c r="J132" s="5">
        <v>45618</v>
      </c>
      <c r="K132" s="4">
        <v>680</v>
      </c>
      <c r="L132" s="8">
        <f>Таблица323[[#This Row],[SOTILGAN NARXI]]-Таблица323[[#This Row],[OLINGAN NARXI $]]-Таблица323[[#This Row],[RASXOD]]</f>
        <v>30</v>
      </c>
      <c r="M132" s="6" t="s">
        <v>491</v>
      </c>
    </row>
    <row r="133" spans="1:13" x14ac:dyDescent="0.3">
      <c r="A133" s="23" t="s">
        <v>323</v>
      </c>
      <c r="B133" s="6"/>
      <c r="C133" s="23"/>
      <c r="D133" s="1"/>
      <c r="E133" s="3"/>
      <c r="F133" s="1"/>
      <c r="G133" s="5"/>
      <c r="H133" s="4"/>
      <c r="I133" s="4"/>
      <c r="J133" s="5"/>
      <c r="K133" s="4">
        <v>15</v>
      </c>
      <c r="L133" s="8">
        <f>Таблица323[[#This Row],[SOTILGAN NARXI]]-Таблица323[[#This Row],[OLINGAN NARXI $]]-Таблица323[[#This Row],[RASXOD]]</f>
        <v>15</v>
      </c>
      <c r="M133" s="6"/>
    </row>
    <row r="134" spans="1:13" x14ac:dyDescent="0.3">
      <c r="A134" s="23" t="s">
        <v>16</v>
      </c>
      <c r="B134" s="6" t="s">
        <v>32</v>
      </c>
      <c r="C134" s="1" t="s">
        <v>26</v>
      </c>
      <c r="D134" s="1" t="s">
        <v>22</v>
      </c>
      <c r="E134" s="3">
        <v>358819905749157</v>
      </c>
      <c r="F134" s="1"/>
      <c r="G134" s="5">
        <v>45611</v>
      </c>
      <c r="H134" s="4">
        <v>680</v>
      </c>
      <c r="I134" s="4"/>
      <c r="J134" s="5">
        <v>45619</v>
      </c>
      <c r="K134" s="4">
        <v>750</v>
      </c>
      <c r="L134" s="8">
        <f>Таблица323[[#This Row],[SOTILGAN NARXI]]-Таблица323[[#This Row],[OLINGAN NARXI $]]-Таблица323[[#This Row],[RASXOD]]</f>
        <v>70</v>
      </c>
      <c r="M134" s="6" t="s">
        <v>441</v>
      </c>
    </row>
    <row r="135" spans="1:13" x14ac:dyDescent="0.3">
      <c r="A135" s="23" t="s">
        <v>499</v>
      </c>
      <c r="B135" s="6" t="s">
        <v>148</v>
      </c>
      <c r="C135" s="23" t="s">
        <v>65</v>
      </c>
      <c r="D135" s="1" t="s">
        <v>15</v>
      </c>
      <c r="E135" s="3"/>
      <c r="F135" s="1"/>
      <c r="G135" s="5"/>
      <c r="H135" s="4">
        <v>20</v>
      </c>
      <c r="I135" s="4"/>
      <c r="J135" s="5"/>
      <c r="K135" s="4"/>
      <c r="L135" s="8">
        <f>Таблица323[[#This Row],[SOTILGAN NARXI]]-Таблица323[[#This Row],[OLINGAN NARXI $]]-Таблица323[[#This Row],[RASXOD]]</f>
        <v>-20</v>
      </c>
      <c r="M135" s="6"/>
    </row>
    <row r="136" spans="1:13" x14ac:dyDescent="0.3">
      <c r="A136" s="23" t="s">
        <v>16</v>
      </c>
      <c r="B136" s="6" t="s">
        <v>81</v>
      </c>
      <c r="C136" s="1" t="s">
        <v>45</v>
      </c>
      <c r="D136" s="1" t="s">
        <v>22</v>
      </c>
      <c r="E136" s="3">
        <v>350165051812599</v>
      </c>
      <c r="F136" s="1"/>
      <c r="G136" s="5">
        <v>45608</v>
      </c>
      <c r="H136" s="4">
        <v>435</v>
      </c>
      <c r="I136" s="4"/>
      <c r="J136" s="5">
        <v>45619</v>
      </c>
      <c r="K136" s="4">
        <v>492</v>
      </c>
      <c r="L136" s="8">
        <v>57</v>
      </c>
      <c r="M136" s="6" t="s">
        <v>406</v>
      </c>
    </row>
    <row r="137" spans="1:13" x14ac:dyDescent="0.3">
      <c r="A137" s="23" t="s">
        <v>16</v>
      </c>
      <c r="B137" s="6" t="s">
        <v>486</v>
      </c>
      <c r="C137" s="1" t="s">
        <v>21</v>
      </c>
      <c r="D137" s="1" t="s">
        <v>22</v>
      </c>
      <c r="E137" s="3">
        <v>357262093636061</v>
      </c>
      <c r="F137" s="1"/>
      <c r="G137" s="5">
        <v>45618</v>
      </c>
      <c r="H137" s="4">
        <v>150</v>
      </c>
      <c r="I137" s="4"/>
      <c r="J137" s="5">
        <v>45619</v>
      </c>
      <c r="K137" s="4">
        <v>200</v>
      </c>
      <c r="L137" s="8">
        <v>50</v>
      </c>
      <c r="M137" s="6" t="s">
        <v>487</v>
      </c>
    </row>
    <row r="138" spans="1:13" x14ac:dyDescent="0.3">
      <c r="A138" s="23" t="s">
        <v>16</v>
      </c>
      <c r="B138" s="6" t="s">
        <v>81</v>
      </c>
      <c r="C138" s="1" t="s">
        <v>65</v>
      </c>
      <c r="D138" s="1" t="s">
        <v>15</v>
      </c>
      <c r="E138" s="3">
        <v>359206409929585</v>
      </c>
      <c r="F138" s="1" t="s">
        <v>364</v>
      </c>
      <c r="G138" s="5">
        <v>45602</v>
      </c>
      <c r="H138" s="4">
        <v>365</v>
      </c>
      <c r="I138" s="4">
        <v>25</v>
      </c>
      <c r="J138" s="5">
        <v>45619</v>
      </c>
      <c r="K138" s="4">
        <v>490</v>
      </c>
      <c r="L138" s="8">
        <v>100</v>
      </c>
      <c r="M138" s="6" t="s">
        <v>363</v>
      </c>
    </row>
    <row r="139" spans="1:13" x14ac:dyDescent="0.3">
      <c r="A139" s="23" t="s">
        <v>16</v>
      </c>
      <c r="B139" s="6" t="s">
        <v>25</v>
      </c>
      <c r="C139" s="1" t="s">
        <v>26</v>
      </c>
      <c r="D139" s="1" t="s">
        <v>22</v>
      </c>
      <c r="E139" s="3">
        <v>354784326309748</v>
      </c>
      <c r="F139" s="1"/>
      <c r="G139" s="5">
        <v>45616</v>
      </c>
      <c r="H139" s="4">
        <v>750</v>
      </c>
      <c r="I139" s="4"/>
      <c r="J139" s="5">
        <v>45620</v>
      </c>
      <c r="K139" s="4">
        <v>830</v>
      </c>
      <c r="L139" s="8">
        <v>80</v>
      </c>
      <c r="M139" s="6" t="s">
        <v>475</v>
      </c>
    </row>
    <row r="140" spans="1:13" x14ac:dyDescent="0.3">
      <c r="A140" s="23" t="s">
        <v>323</v>
      </c>
      <c r="B140" s="6"/>
      <c r="C140" s="23"/>
      <c r="D140" s="1"/>
      <c r="E140" s="3"/>
      <c r="F140" s="1"/>
      <c r="G140" s="5">
        <v>45620</v>
      </c>
      <c r="H140" s="4"/>
      <c r="I140" s="4"/>
      <c r="J140" s="5">
        <v>45620</v>
      </c>
      <c r="K140" s="4">
        <v>7</v>
      </c>
      <c r="L140" s="8">
        <f>Таблица323[[#This Row],[SOTILGAN NARXI]]-Таблица323[[#This Row],[OLINGAN NARXI $]]-Таблица323[[#This Row],[RASXOD]]</f>
        <v>7</v>
      </c>
      <c r="M140" s="6"/>
    </row>
    <row r="141" spans="1:13" x14ac:dyDescent="0.3">
      <c r="A141" s="23" t="s">
        <v>13</v>
      </c>
      <c r="B141" s="6" t="s">
        <v>459</v>
      </c>
      <c r="C141" s="23" t="s">
        <v>65</v>
      </c>
      <c r="D141" s="1" t="s">
        <v>22</v>
      </c>
      <c r="E141" s="3"/>
      <c r="F141" s="1"/>
      <c r="G141" s="5">
        <v>45620</v>
      </c>
      <c r="H141" s="4">
        <v>500</v>
      </c>
      <c r="I141" s="4"/>
      <c r="J141" s="5">
        <v>45620</v>
      </c>
      <c r="K141" s="4">
        <v>530</v>
      </c>
      <c r="L141" s="8">
        <f>Таблица323[[#This Row],[SOTILGAN NARXI]]-Таблица323[[#This Row],[OLINGAN NARXI $]]-Таблица323[[#This Row],[RASXOD]]</f>
        <v>30</v>
      </c>
      <c r="M141" s="6"/>
    </row>
    <row r="142" spans="1:13" x14ac:dyDescent="0.3">
      <c r="A142" s="23" t="s">
        <v>13</v>
      </c>
      <c r="B142" s="6" t="s">
        <v>301</v>
      </c>
      <c r="C142" s="1" t="s">
        <v>21</v>
      </c>
      <c r="D142" s="1" t="s">
        <v>15</v>
      </c>
      <c r="E142" s="3">
        <v>350299947613638</v>
      </c>
      <c r="F142" s="1"/>
      <c r="G142" s="5">
        <v>45595</v>
      </c>
      <c r="H142" s="4">
        <v>310</v>
      </c>
      <c r="I142" s="4"/>
      <c r="J142" s="5">
        <v>45620</v>
      </c>
      <c r="K142" s="4">
        <v>350</v>
      </c>
      <c r="L142" s="8">
        <v>40</v>
      </c>
      <c r="M142" s="6" t="s">
        <v>302</v>
      </c>
    </row>
    <row r="143" spans="1:13" x14ac:dyDescent="0.3">
      <c r="A143" s="23" t="s">
        <v>16</v>
      </c>
      <c r="B143" s="6" t="s">
        <v>104</v>
      </c>
      <c r="C143" s="1" t="s">
        <v>18</v>
      </c>
      <c r="D143" s="1" t="s">
        <v>22</v>
      </c>
      <c r="E143" s="3">
        <v>354703755936474</v>
      </c>
      <c r="F143" s="1"/>
      <c r="G143" s="5">
        <v>45606</v>
      </c>
      <c r="H143" s="4">
        <v>380</v>
      </c>
      <c r="I143" s="4"/>
      <c r="J143" s="5">
        <v>45620</v>
      </c>
      <c r="K143" s="4">
        <v>420</v>
      </c>
      <c r="L143" s="8">
        <v>40</v>
      </c>
      <c r="M143" s="6" t="s">
        <v>397</v>
      </c>
    </row>
    <row r="144" spans="1:13" x14ac:dyDescent="0.3">
      <c r="A144" s="23" t="s">
        <v>16</v>
      </c>
      <c r="B144" s="6" t="s">
        <v>25</v>
      </c>
      <c r="C144" s="1" t="s">
        <v>26</v>
      </c>
      <c r="D144" s="1" t="s">
        <v>22</v>
      </c>
      <c r="E144" s="3">
        <v>358560158362062</v>
      </c>
      <c r="F144" s="1"/>
      <c r="G144" s="5">
        <v>45592</v>
      </c>
      <c r="H144" s="4">
        <v>975</v>
      </c>
      <c r="I144" s="4"/>
      <c r="J144" s="5">
        <v>45620</v>
      </c>
      <c r="K144" s="4">
        <v>1020</v>
      </c>
      <c r="L144" s="8">
        <v>45</v>
      </c>
      <c r="M144" s="6" t="s">
        <v>281</v>
      </c>
    </row>
    <row r="145" spans="1:13" x14ac:dyDescent="0.3">
      <c r="A145" s="23" t="s">
        <v>16</v>
      </c>
      <c r="B145" s="6" t="s">
        <v>32</v>
      </c>
      <c r="C145" s="1" t="s">
        <v>26</v>
      </c>
      <c r="D145" s="1" t="s">
        <v>22</v>
      </c>
      <c r="E145" s="3">
        <v>358819904612620</v>
      </c>
      <c r="F145" s="1"/>
      <c r="G145" s="5">
        <v>45611</v>
      </c>
      <c r="H145" s="4">
        <v>700</v>
      </c>
      <c r="I145" s="4"/>
      <c r="J145" s="5">
        <v>45620</v>
      </c>
      <c r="K145" s="4">
        <v>800</v>
      </c>
      <c r="L145" s="8">
        <v>100</v>
      </c>
      <c r="M145" s="6" t="s">
        <v>439</v>
      </c>
    </row>
    <row r="146" spans="1:13" x14ac:dyDescent="0.3">
      <c r="A146" s="23" t="s">
        <v>16</v>
      </c>
      <c r="B146" s="6" t="s">
        <v>77</v>
      </c>
      <c r="C146" s="1" t="s">
        <v>21</v>
      </c>
      <c r="D146" s="1" t="s">
        <v>15</v>
      </c>
      <c r="E146" s="3">
        <v>350873986233571</v>
      </c>
      <c r="F146" s="1" t="s">
        <v>66</v>
      </c>
      <c r="G146" s="5">
        <v>45608</v>
      </c>
      <c r="H146" s="4">
        <v>450</v>
      </c>
      <c r="I146" s="4"/>
      <c r="J146" s="5">
        <v>45620</v>
      </c>
      <c r="K146" s="4">
        <v>590</v>
      </c>
      <c r="L146" s="8">
        <v>140</v>
      </c>
      <c r="M146" s="6" t="s">
        <v>414</v>
      </c>
    </row>
    <row r="147" spans="1:13" x14ac:dyDescent="0.3">
      <c r="A147" s="23" t="s">
        <v>13</v>
      </c>
      <c r="B147" s="6" t="s">
        <v>466</v>
      </c>
      <c r="C147" s="1" t="s">
        <v>65</v>
      </c>
      <c r="D147" s="1" t="s">
        <v>15</v>
      </c>
      <c r="E147" s="3">
        <v>359142451613324</v>
      </c>
      <c r="F147" s="1"/>
      <c r="G147" s="5">
        <v>45619</v>
      </c>
      <c r="H147" s="4">
        <v>51</v>
      </c>
      <c r="I147" s="4"/>
      <c r="J147" s="5">
        <v>45620</v>
      </c>
      <c r="K147" s="4">
        <v>71</v>
      </c>
      <c r="L147" s="8">
        <v>20</v>
      </c>
      <c r="M147" s="6" t="s">
        <v>494</v>
      </c>
    </row>
    <row r="148" spans="1:13" x14ac:dyDescent="0.3">
      <c r="A148" s="23" t="s">
        <v>13</v>
      </c>
      <c r="B148" s="6" t="s">
        <v>339</v>
      </c>
      <c r="C148" s="1" t="s">
        <v>123</v>
      </c>
      <c r="D148" s="1" t="s">
        <v>15</v>
      </c>
      <c r="E148" s="3">
        <v>352649113230070</v>
      </c>
      <c r="F148" s="1" t="s">
        <v>43</v>
      </c>
      <c r="G148" s="5">
        <v>45600</v>
      </c>
      <c r="H148" s="4">
        <v>210</v>
      </c>
      <c r="I148" s="4"/>
      <c r="J148" s="5">
        <v>45620</v>
      </c>
      <c r="K148" s="4">
        <v>270</v>
      </c>
      <c r="L148" s="8">
        <v>60</v>
      </c>
      <c r="M148" s="6" t="s">
        <v>340</v>
      </c>
    </row>
    <row r="149" spans="1:13" x14ac:dyDescent="0.3">
      <c r="A149" s="23" t="s">
        <v>16</v>
      </c>
      <c r="B149" s="6" t="s">
        <v>189</v>
      </c>
      <c r="C149" s="1" t="s">
        <v>35</v>
      </c>
      <c r="D149" s="1" t="s">
        <v>22</v>
      </c>
      <c r="E149" s="3">
        <v>357917871362558</v>
      </c>
      <c r="F149" s="1"/>
      <c r="G149" s="5">
        <v>45614</v>
      </c>
      <c r="H149" s="4">
        <v>580</v>
      </c>
      <c r="I149" s="4"/>
      <c r="J149" s="5">
        <v>45621</v>
      </c>
      <c r="K149" s="4">
        <v>720</v>
      </c>
      <c r="L149" s="8">
        <v>140</v>
      </c>
      <c r="M149" s="6" t="s">
        <v>458</v>
      </c>
    </row>
    <row r="150" spans="1:13" x14ac:dyDescent="0.3">
      <c r="A150" s="23" t="s">
        <v>16</v>
      </c>
      <c r="B150" s="6" t="s">
        <v>77</v>
      </c>
      <c r="C150" s="1" t="s">
        <v>18</v>
      </c>
      <c r="D150" s="1" t="s">
        <v>22</v>
      </c>
      <c r="E150" s="3">
        <v>350585884958535</v>
      </c>
      <c r="F150" s="1" t="s">
        <v>27</v>
      </c>
      <c r="G150" s="5">
        <v>45580</v>
      </c>
      <c r="H150" s="4">
        <v>650</v>
      </c>
      <c r="I150" s="4"/>
      <c r="J150" s="5">
        <v>45621</v>
      </c>
      <c r="K150" s="4">
        <v>700</v>
      </c>
      <c r="L150" s="8">
        <v>50</v>
      </c>
      <c r="M150" s="6" t="s">
        <v>196</v>
      </c>
    </row>
    <row r="151" spans="1:13" x14ac:dyDescent="0.3">
      <c r="A151" s="23" t="s">
        <v>13</v>
      </c>
      <c r="B151" s="6" t="s">
        <v>115</v>
      </c>
      <c r="C151" s="1" t="s">
        <v>21</v>
      </c>
      <c r="D151" s="1" t="s">
        <v>15</v>
      </c>
      <c r="E151" s="3">
        <v>354773800581203</v>
      </c>
      <c r="F151" s="1"/>
      <c r="G151" s="5">
        <v>45604</v>
      </c>
      <c r="H151" s="4">
        <v>166</v>
      </c>
      <c r="I151" s="4">
        <v>12</v>
      </c>
      <c r="J151" s="5">
        <v>45621</v>
      </c>
      <c r="K151" s="4">
        <v>220</v>
      </c>
      <c r="L151" s="8">
        <v>42</v>
      </c>
      <c r="M151" s="6" t="s">
        <v>19</v>
      </c>
    </row>
    <row r="152" spans="1:13" x14ac:dyDescent="0.3">
      <c r="A152" s="23" t="s">
        <v>16</v>
      </c>
      <c r="B152" s="6" t="s">
        <v>25</v>
      </c>
      <c r="C152" s="1" t="s">
        <v>26</v>
      </c>
      <c r="D152" s="1" t="s">
        <v>22</v>
      </c>
      <c r="E152" s="3">
        <v>358525995635913</v>
      </c>
      <c r="F152" s="1"/>
      <c r="G152" s="5">
        <v>45620</v>
      </c>
      <c r="H152" s="4">
        <v>840</v>
      </c>
      <c r="I152" s="4"/>
      <c r="J152" s="5">
        <v>45621</v>
      </c>
      <c r="K152" s="4">
        <v>910</v>
      </c>
      <c r="L152" s="8">
        <v>70</v>
      </c>
      <c r="M152" s="6" t="s">
        <v>506</v>
      </c>
    </row>
    <row r="153" spans="1:13" x14ac:dyDescent="0.3">
      <c r="A153" s="23" t="s">
        <v>16</v>
      </c>
      <c r="B153" s="6" t="s">
        <v>151</v>
      </c>
      <c r="C153" s="1" t="s">
        <v>21</v>
      </c>
      <c r="D153" s="1" t="s">
        <v>15</v>
      </c>
      <c r="E153" s="3">
        <v>356559080377240</v>
      </c>
      <c r="F153" s="1"/>
      <c r="G153" s="5">
        <v>45619</v>
      </c>
      <c r="H153" s="4">
        <v>50</v>
      </c>
      <c r="I153" s="4"/>
      <c r="J153" s="5">
        <v>45621</v>
      </c>
      <c r="K153" s="4">
        <v>77</v>
      </c>
      <c r="L153" s="8">
        <v>27</v>
      </c>
      <c r="M153" s="6" t="s">
        <v>495</v>
      </c>
    </row>
    <row r="154" spans="1:13" x14ac:dyDescent="0.3">
      <c r="A154" s="23" t="s">
        <v>16</v>
      </c>
      <c r="B154" s="6" t="s">
        <v>25</v>
      </c>
      <c r="C154" s="1" t="s">
        <v>26</v>
      </c>
      <c r="D154" s="1" t="s">
        <v>15</v>
      </c>
      <c r="E154" s="3">
        <v>355458123853906</v>
      </c>
      <c r="F154" s="1"/>
      <c r="G154" s="5">
        <v>45617</v>
      </c>
      <c r="H154" s="4">
        <v>808</v>
      </c>
      <c r="I154" s="4"/>
      <c r="J154" s="5">
        <v>45621</v>
      </c>
      <c r="K154" s="4">
        <v>900</v>
      </c>
      <c r="L154" s="8">
        <v>92</v>
      </c>
      <c r="M154" s="6" t="s">
        <v>480</v>
      </c>
    </row>
    <row r="155" spans="1:13" x14ac:dyDescent="0.3">
      <c r="A155" s="23" t="s">
        <v>13</v>
      </c>
      <c r="B155" s="6" t="s">
        <v>117</v>
      </c>
      <c r="C155" s="1" t="s">
        <v>21</v>
      </c>
      <c r="D155" s="1" t="s">
        <v>15</v>
      </c>
      <c r="E155" s="3">
        <v>357450460240324</v>
      </c>
      <c r="F155" s="1"/>
      <c r="G155" s="5">
        <v>45615</v>
      </c>
      <c r="H155" s="4">
        <v>244</v>
      </c>
      <c r="I155" s="4">
        <v>12</v>
      </c>
      <c r="J155" s="5">
        <v>45621</v>
      </c>
      <c r="K155" s="4">
        <v>290</v>
      </c>
      <c r="L155" s="8">
        <v>34</v>
      </c>
      <c r="M155" s="6" t="s">
        <v>147</v>
      </c>
    </row>
    <row r="156" spans="1:13" x14ac:dyDescent="0.3">
      <c r="A156" s="23" t="s">
        <v>13</v>
      </c>
      <c r="B156" s="6" t="s">
        <v>115</v>
      </c>
      <c r="C156" s="1" t="s">
        <v>93</v>
      </c>
      <c r="D156" s="1" t="s">
        <v>15</v>
      </c>
      <c r="E156" s="3">
        <v>351376419787683</v>
      </c>
      <c r="F156" s="1"/>
      <c r="G156" s="5">
        <v>45588</v>
      </c>
      <c r="H156" s="4">
        <v>200</v>
      </c>
      <c r="I156" s="4"/>
      <c r="J156" s="5">
        <v>45622</v>
      </c>
      <c r="K156" s="4">
        <v>230</v>
      </c>
      <c r="L156" s="8">
        <v>30</v>
      </c>
      <c r="M156" s="6"/>
    </row>
    <row r="157" spans="1:13" x14ac:dyDescent="0.3">
      <c r="A157" s="23" t="s">
        <v>16</v>
      </c>
      <c r="B157" s="6" t="s">
        <v>17</v>
      </c>
      <c r="C157" s="1" t="s">
        <v>45</v>
      </c>
      <c r="D157" s="1" t="s">
        <v>15</v>
      </c>
      <c r="E157" s="3">
        <v>353242102160091</v>
      </c>
      <c r="F157" s="1"/>
      <c r="G157" s="5">
        <v>45597</v>
      </c>
      <c r="H157" s="4">
        <v>213</v>
      </c>
      <c r="I157" s="4"/>
      <c r="J157" s="5">
        <v>45622</v>
      </c>
      <c r="K157" s="4">
        <v>229</v>
      </c>
      <c r="L157" s="8">
        <v>16</v>
      </c>
      <c r="M157" s="6" t="s">
        <v>321</v>
      </c>
    </row>
    <row r="158" spans="1:13" x14ac:dyDescent="0.3">
      <c r="A158" s="23" t="s">
        <v>13</v>
      </c>
      <c r="B158" s="6" t="s">
        <v>117</v>
      </c>
      <c r="C158" s="1" t="s">
        <v>21</v>
      </c>
      <c r="D158" s="1" t="s">
        <v>15</v>
      </c>
      <c r="E158" s="3">
        <v>351424776698745</v>
      </c>
      <c r="F158" s="1"/>
      <c r="G158" s="5">
        <v>45580</v>
      </c>
      <c r="H158" s="4">
        <v>290</v>
      </c>
      <c r="I158" s="4"/>
      <c r="J158" s="5">
        <v>45622</v>
      </c>
      <c r="K158" s="4">
        <v>316</v>
      </c>
      <c r="L158" s="8">
        <v>26</v>
      </c>
      <c r="M158" s="6"/>
    </row>
    <row r="159" spans="1:13" x14ac:dyDescent="0.3">
      <c r="A159" s="23" t="s">
        <v>142</v>
      </c>
      <c r="B159" s="6" t="s">
        <v>514</v>
      </c>
      <c r="C159" s="1" t="s">
        <v>21</v>
      </c>
      <c r="D159" s="1" t="s">
        <v>22</v>
      </c>
      <c r="E159" s="3">
        <v>862776072091129</v>
      </c>
      <c r="F159" s="1"/>
      <c r="G159" s="5">
        <v>45621</v>
      </c>
      <c r="H159" s="4">
        <v>51</v>
      </c>
      <c r="I159" s="4"/>
      <c r="J159" s="5">
        <v>45622</v>
      </c>
      <c r="K159" s="4">
        <v>74</v>
      </c>
      <c r="L159" s="8">
        <v>23</v>
      </c>
      <c r="M159" s="6" t="s">
        <v>515</v>
      </c>
    </row>
    <row r="160" spans="1:13" x14ac:dyDescent="0.3">
      <c r="A160" s="23" t="s">
        <v>16</v>
      </c>
      <c r="B160" s="6" t="s">
        <v>17</v>
      </c>
      <c r="C160" s="1" t="s">
        <v>18</v>
      </c>
      <c r="D160" s="1" t="s">
        <v>15</v>
      </c>
      <c r="E160" s="3">
        <v>353830106407458</v>
      </c>
      <c r="F160" s="1"/>
      <c r="G160" s="5">
        <v>45620</v>
      </c>
      <c r="H160" s="4">
        <v>205</v>
      </c>
      <c r="I160" s="4">
        <v>12</v>
      </c>
      <c r="J160" s="5">
        <v>45622</v>
      </c>
      <c r="K160" s="4">
        <v>280</v>
      </c>
      <c r="L160" s="8">
        <v>63</v>
      </c>
      <c r="M160" s="6" t="s">
        <v>147</v>
      </c>
    </row>
    <row r="161" spans="1:13" x14ac:dyDescent="0.3">
      <c r="A161" s="23" t="s">
        <v>16</v>
      </c>
      <c r="B161" s="6" t="s">
        <v>34</v>
      </c>
      <c r="C161" s="1" t="s">
        <v>35</v>
      </c>
      <c r="D161" s="1" t="s">
        <v>22</v>
      </c>
      <c r="E161" s="3">
        <v>351088760137026</v>
      </c>
      <c r="F161" s="1" t="s">
        <v>27</v>
      </c>
      <c r="G161" s="5">
        <v>45588</v>
      </c>
      <c r="H161" s="4">
        <v>650</v>
      </c>
      <c r="I161" s="4"/>
      <c r="J161" s="5">
        <v>45622</v>
      </c>
      <c r="K161" s="4">
        <v>750</v>
      </c>
      <c r="L161" s="8">
        <v>100</v>
      </c>
      <c r="M161" s="6" t="s">
        <v>242</v>
      </c>
    </row>
    <row r="162" spans="1:13" x14ac:dyDescent="0.3">
      <c r="A162" s="23" t="s">
        <v>16</v>
      </c>
      <c r="B162" s="6" t="s">
        <v>148</v>
      </c>
      <c r="C162" s="1" t="s">
        <v>65</v>
      </c>
      <c r="D162" s="1" t="s">
        <v>15</v>
      </c>
      <c r="E162" s="3">
        <v>356694117212654</v>
      </c>
      <c r="F162" s="1" t="s">
        <v>309</v>
      </c>
      <c r="G162" s="5">
        <v>45596</v>
      </c>
      <c r="H162" s="4">
        <v>180</v>
      </c>
      <c r="I162" s="4">
        <v>23</v>
      </c>
      <c r="J162" s="5">
        <v>45622</v>
      </c>
      <c r="K162" s="4">
        <v>300</v>
      </c>
      <c r="L162" s="8">
        <v>97</v>
      </c>
      <c r="M162" s="6" t="s">
        <v>310</v>
      </c>
    </row>
    <row r="163" spans="1:13" x14ac:dyDescent="0.3">
      <c r="A163" s="23" t="s">
        <v>16</v>
      </c>
      <c r="B163" s="6" t="s">
        <v>407</v>
      </c>
      <c r="C163" s="1" t="s">
        <v>21</v>
      </c>
      <c r="D163" s="1" t="s">
        <v>22</v>
      </c>
      <c r="E163" s="3">
        <v>350643635806550</v>
      </c>
      <c r="F163" s="1"/>
      <c r="G163" s="5">
        <v>45619</v>
      </c>
      <c r="H163" s="4">
        <v>200</v>
      </c>
      <c r="I163" s="4"/>
      <c r="J163" s="5">
        <v>45622</v>
      </c>
      <c r="K163" s="4">
        <v>260</v>
      </c>
      <c r="L163" s="8">
        <v>60</v>
      </c>
      <c r="M163" s="6"/>
    </row>
    <row r="164" spans="1:13" x14ac:dyDescent="0.3">
      <c r="A164" s="23" t="s">
        <v>13</v>
      </c>
      <c r="B164" s="6" t="s">
        <v>117</v>
      </c>
      <c r="C164" s="1" t="s">
        <v>97</v>
      </c>
      <c r="D164" s="1" t="s">
        <v>15</v>
      </c>
      <c r="E164" s="3">
        <v>351424776177708</v>
      </c>
      <c r="F164" s="1"/>
      <c r="G164" s="5">
        <v>45622</v>
      </c>
      <c r="H164" s="4">
        <v>240</v>
      </c>
      <c r="I164" s="4">
        <v>12</v>
      </c>
      <c r="J164" s="5">
        <v>45623</v>
      </c>
      <c r="K164" s="4">
        <v>288</v>
      </c>
      <c r="L164" s="8">
        <v>36</v>
      </c>
      <c r="M164" s="6" t="s">
        <v>147</v>
      </c>
    </row>
    <row r="165" spans="1:13" x14ac:dyDescent="0.3">
      <c r="A165" s="23" t="s">
        <v>16</v>
      </c>
      <c r="B165" s="6" t="s">
        <v>523</v>
      </c>
      <c r="C165" s="1" t="s">
        <v>45</v>
      </c>
      <c r="D165" s="1" t="s">
        <v>15</v>
      </c>
      <c r="E165" s="3">
        <v>353156100352239</v>
      </c>
      <c r="F165" s="1" t="s">
        <v>98</v>
      </c>
      <c r="G165" s="5">
        <v>45622</v>
      </c>
      <c r="H165" s="4">
        <v>100</v>
      </c>
      <c r="I165" s="4">
        <v>15</v>
      </c>
      <c r="J165" s="5">
        <v>45624</v>
      </c>
      <c r="K165" s="4">
        <v>175</v>
      </c>
      <c r="L165" s="8">
        <v>60</v>
      </c>
      <c r="M165" s="6" t="s">
        <v>524</v>
      </c>
    </row>
    <row r="166" spans="1:13" x14ac:dyDescent="0.3">
      <c r="A166" s="23" t="s">
        <v>16</v>
      </c>
      <c r="B166" s="6" t="s">
        <v>452</v>
      </c>
      <c r="C166" s="1" t="s">
        <v>97</v>
      </c>
      <c r="D166" s="1" t="s">
        <v>22</v>
      </c>
      <c r="E166" s="3">
        <v>352978112112959</v>
      </c>
      <c r="F166" s="1"/>
      <c r="G166" s="5">
        <v>45622</v>
      </c>
      <c r="H166" s="4">
        <v>220</v>
      </c>
      <c r="I166" s="4"/>
      <c r="J166" s="5">
        <v>45624</v>
      </c>
      <c r="K166" s="4">
        <v>280</v>
      </c>
      <c r="L166" s="8">
        <v>60</v>
      </c>
      <c r="M166" s="6" t="s">
        <v>262</v>
      </c>
    </row>
    <row r="167" spans="1:13" x14ac:dyDescent="0.3">
      <c r="A167" s="23" t="s">
        <v>16</v>
      </c>
      <c r="B167" s="6" t="s">
        <v>81</v>
      </c>
      <c r="C167" s="1" t="s">
        <v>65</v>
      </c>
      <c r="D167" s="1" t="s">
        <v>15</v>
      </c>
      <c r="E167" s="3">
        <v>351619859697999</v>
      </c>
      <c r="F167" s="1"/>
      <c r="G167" s="5">
        <v>45554</v>
      </c>
      <c r="H167" s="4">
        <v>510</v>
      </c>
      <c r="I167" s="4"/>
      <c r="J167" s="5">
        <v>45624</v>
      </c>
      <c r="K167" s="4">
        <v>550</v>
      </c>
      <c r="L167" s="8">
        <v>40</v>
      </c>
      <c r="M167" s="6" t="s">
        <v>87</v>
      </c>
    </row>
    <row r="168" spans="1:13" x14ac:dyDescent="0.3">
      <c r="A168" s="23" t="s">
        <v>16</v>
      </c>
      <c r="B168" s="6" t="s">
        <v>25</v>
      </c>
      <c r="C168" s="23" t="s">
        <v>26</v>
      </c>
      <c r="D168" s="1" t="s">
        <v>22</v>
      </c>
      <c r="E168" s="3">
        <v>6278</v>
      </c>
      <c r="F168" s="1"/>
      <c r="G168" s="5"/>
      <c r="H168" s="4">
        <v>810</v>
      </c>
      <c r="I168" s="4"/>
      <c r="J168" s="5">
        <v>45624</v>
      </c>
      <c r="K168" s="4">
        <v>890</v>
      </c>
      <c r="L168" s="8">
        <f>Таблица323[[#This Row],[SOTILGAN NARXI]]-Таблица323[[#This Row],[OLINGAN NARXI $]]-Таблица323[[#This Row],[RASXOD]]</f>
        <v>80</v>
      </c>
      <c r="M168" s="6" t="s">
        <v>529</v>
      </c>
    </row>
    <row r="169" spans="1:13" x14ac:dyDescent="0.3">
      <c r="A169" s="23" t="s">
        <v>13</v>
      </c>
      <c r="B169" s="6" t="s">
        <v>117</v>
      </c>
      <c r="C169" s="1" t="s">
        <v>97</v>
      </c>
      <c r="D169" s="1" t="s">
        <v>15</v>
      </c>
      <c r="E169" s="3">
        <v>351424772493901</v>
      </c>
      <c r="F169" s="1" t="s">
        <v>43</v>
      </c>
      <c r="G169" s="5">
        <v>45615</v>
      </c>
      <c r="H169" s="4">
        <v>244</v>
      </c>
      <c r="I169" s="4">
        <v>12</v>
      </c>
      <c r="J169" s="5">
        <v>45624</v>
      </c>
      <c r="K169" s="4">
        <v>300</v>
      </c>
      <c r="L169" s="8">
        <v>44</v>
      </c>
      <c r="M169" s="6" t="s">
        <v>147</v>
      </c>
    </row>
    <row r="170" spans="1:13" x14ac:dyDescent="0.3">
      <c r="A170" s="23" t="s">
        <v>16</v>
      </c>
      <c r="B170" s="6" t="s">
        <v>496</v>
      </c>
      <c r="C170" s="1" t="s">
        <v>187</v>
      </c>
      <c r="D170" s="1" t="s">
        <v>22</v>
      </c>
      <c r="E170" s="3">
        <v>356815609334830</v>
      </c>
      <c r="F170" s="1"/>
      <c r="G170" s="5">
        <v>45619</v>
      </c>
      <c r="H170" s="4">
        <v>350</v>
      </c>
      <c r="I170" s="4"/>
      <c r="J170" s="5">
        <v>45624</v>
      </c>
      <c r="K170" s="4">
        <v>440</v>
      </c>
      <c r="L170" s="8">
        <v>90</v>
      </c>
      <c r="M170" s="6" t="s">
        <v>497</v>
      </c>
    </row>
    <row r="171" spans="1:13" x14ac:dyDescent="0.3">
      <c r="A171" s="23" t="s">
        <v>16</v>
      </c>
      <c r="B171" s="6" t="s">
        <v>129</v>
      </c>
      <c r="C171" s="1" t="s">
        <v>21</v>
      </c>
      <c r="D171" s="1" t="s">
        <v>22</v>
      </c>
      <c r="E171" s="3">
        <v>354347184913041</v>
      </c>
      <c r="F171" s="1"/>
      <c r="G171" s="5">
        <v>45620</v>
      </c>
      <c r="H171" s="4">
        <v>550</v>
      </c>
      <c r="I171" s="4"/>
      <c r="J171" s="5">
        <v>45624</v>
      </c>
      <c r="K171" s="4">
        <v>620</v>
      </c>
      <c r="L171" s="8">
        <v>60</v>
      </c>
      <c r="M171" s="32" t="s">
        <v>507</v>
      </c>
    </row>
    <row r="172" spans="1:13" x14ac:dyDescent="0.3">
      <c r="A172" s="23" t="s">
        <v>16</v>
      </c>
      <c r="B172" s="6" t="s">
        <v>96</v>
      </c>
      <c r="C172" s="1" t="s">
        <v>97</v>
      </c>
      <c r="D172" s="1" t="s">
        <v>15</v>
      </c>
      <c r="E172" s="3">
        <v>352821113530532</v>
      </c>
      <c r="F172" s="1" t="s">
        <v>203</v>
      </c>
      <c r="G172" s="5">
        <v>45621</v>
      </c>
      <c r="H172" s="4">
        <v>160</v>
      </c>
      <c r="I172" s="4"/>
      <c r="J172" s="5">
        <v>45624</v>
      </c>
      <c r="K172" s="4">
        <v>190</v>
      </c>
      <c r="L172" s="8">
        <v>30</v>
      </c>
      <c r="M172" s="6" t="s">
        <v>509</v>
      </c>
    </row>
    <row r="173" spans="1:13" x14ac:dyDescent="0.3">
      <c r="A173" s="23" t="s">
        <v>16</v>
      </c>
      <c r="B173" s="6" t="s">
        <v>96</v>
      </c>
      <c r="C173" s="1" t="s">
        <v>97</v>
      </c>
      <c r="D173" s="1" t="s">
        <v>15</v>
      </c>
      <c r="E173" s="3">
        <v>353867106522373</v>
      </c>
      <c r="F173" s="1"/>
      <c r="G173" s="5">
        <v>45620</v>
      </c>
      <c r="H173" s="4">
        <v>225</v>
      </c>
      <c r="I173" s="4"/>
      <c r="J173" s="5">
        <v>45625</v>
      </c>
      <c r="K173" s="4">
        <v>300</v>
      </c>
      <c r="L173" s="8">
        <v>75</v>
      </c>
      <c r="M173" s="6" t="s">
        <v>147</v>
      </c>
    </row>
    <row r="174" spans="1:13" x14ac:dyDescent="0.3">
      <c r="A174" s="23" t="s">
        <v>142</v>
      </c>
      <c r="B174" s="6" t="s">
        <v>536</v>
      </c>
      <c r="C174" s="1" t="s">
        <v>21</v>
      </c>
      <c r="D174" s="1" t="s">
        <v>22</v>
      </c>
      <c r="E174" s="3">
        <v>867468067451642</v>
      </c>
      <c r="F174" s="1"/>
      <c r="G174" s="5">
        <v>45625</v>
      </c>
      <c r="H174" s="4">
        <v>190</v>
      </c>
      <c r="I174" s="4"/>
      <c r="J174" s="5">
        <v>45625</v>
      </c>
      <c r="K174" s="4">
        <v>230</v>
      </c>
      <c r="L174" s="8">
        <v>40</v>
      </c>
      <c r="M174" s="6" t="s">
        <v>537</v>
      </c>
    </row>
    <row r="175" spans="1:13" x14ac:dyDescent="0.3">
      <c r="A175" s="23" t="s">
        <v>16</v>
      </c>
      <c r="B175" s="6" t="s">
        <v>39</v>
      </c>
      <c r="C175" s="1" t="s">
        <v>45</v>
      </c>
      <c r="D175" s="1" t="s">
        <v>15</v>
      </c>
      <c r="E175" s="3">
        <v>350270050866222</v>
      </c>
      <c r="F175" s="1" t="s">
        <v>46</v>
      </c>
      <c r="G175" s="5">
        <v>45558</v>
      </c>
      <c r="H175" s="4">
        <v>600</v>
      </c>
      <c r="I175" s="4"/>
      <c r="J175" s="5">
        <v>45625</v>
      </c>
      <c r="K175" s="4">
        <v>650</v>
      </c>
      <c r="L175" s="8">
        <v>50</v>
      </c>
      <c r="M175" s="6" t="s">
        <v>47</v>
      </c>
    </row>
    <row r="176" spans="1:13" x14ac:dyDescent="0.3">
      <c r="A176" s="23" t="s">
        <v>16</v>
      </c>
      <c r="B176" s="6" t="s">
        <v>25</v>
      </c>
      <c r="C176" s="1" t="s">
        <v>26</v>
      </c>
      <c r="D176" s="1" t="s">
        <v>22</v>
      </c>
      <c r="E176" s="3">
        <v>351149514252998</v>
      </c>
      <c r="F176" s="1"/>
      <c r="G176" s="5">
        <v>45625</v>
      </c>
      <c r="H176" s="4">
        <v>853</v>
      </c>
      <c r="I176" s="4"/>
      <c r="J176" s="5">
        <v>45625</v>
      </c>
      <c r="K176" s="4">
        <v>900</v>
      </c>
      <c r="L176" s="8">
        <v>47</v>
      </c>
      <c r="M176" s="6"/>
    </row>
    <row r="177" spans="1:13" x14ac:dyDescent="0.3">
      <c r="A177" s="23" t="s">
        <v>16</v>
      </c>
      <c r="B177" s="6" t="s">
        <v>39</v>
      </c>
      <c r="C177" s="1" t="s">
        <v>21</v>
      </c>
      <c r="D177" s="1" t="s">
        <v>22</v>
      </c>
      <c r="E177" s="3">
        <v>352872339303675</v>
      </c>
      <c r="F177" s="1" t="s">
        <v>48</v>
      </c>
      <c r="G177" s="5">
        <v>45534</v>
      </c>
      <c r="H177" s="4">
        <v>750</v>
      </c>
      <c r="I177" s="4"/>
      <c r="J177" s="5">
        <v>45626</v>
      </c>
      <c r="K177" s="4">
        <v>780</v>
      </c>
      <c r="L177" s="8">
        <v>30</v>
      </c>
      <c r="M177" s="6" t="s">
        <v>31</v>
      </c>
    </row>
    <row r="178" spans="1:13" x14ac:dyDescent="0.3">
      <c r="A178" s="23" t="s">
        <v>16</v>
      </c>
      <c r="B178" s="6" t="s">
        <v>129</v>
      </c>
      <c r="C178" s="1" t="s">
        <v>45</v>
      </c>
      <c r="D178" s="1" t="s">
        <v>22</v>
      </c>
      <c r="E178" s="3">
        <v>352206206449909</v>
      </c>
      <c r="F178" s="1"/>
      <c r="G178" s="5">
        <v>45622</v>
      </c>
      <c r="H178" s="4">
        <v>510</v>
      </c>
      <c r="I178" s="4"/>
      <c r="J178" s="5">
        <v>45626</v>
      </c>
      <c r="K178" s="4">
        <v>600</v>
      </c>
      <c r="L178" s="8">
        <v>90</v>
      </c>
      <c r="M178" s="6" t="s">
        <v>516</v>
      </c>
    </row>
    <row r="179" spans="1:13" x14ac:dyDescent="0.3">
      <c r="A179" s="23" t="s">
        <v>13</v>
      </c>
      <c r="B179" s="6" t="s">
        <v>481</v>
      </c>
      <c r="C179" s="1" t="s">
        <v>26</v>
      </c>
      <c r="D179" s="1" t="s">
        <v>22</v>
      </c>
      <c r="E179" s="3">
        <v>355731678482382</v>
      </c>
      <c r="F179" s="1"/>
      <c r="G179" s="5">
        <v>45617</v>
      </c>
      <c r="H179" s="4">
        <v>750</v>
      </c>
      <c r="I179" s="4"/>
      <c r="J179" s="5">
        <v>45626</v>
      </c>
      <c r="K179" s="4">
        <v>810</v>
      </c>
      <c r="L179" s="8">
        <v>60</v>
      </c>
      <c r="M179" s="6" t="s">
        <v>482</v>
      </c>
    </row>
    <row r="180" spans="1:13" x14ac:dyDescent="0.3">
      <c r="A180" s="23" t="s">
        <v>13</v>
      </c>
      <c r="B180" s="6" t="s">
        <v>513</v>
      </c>
      <c r="C180" s="1" t="s">
        <v>65</v>
      </c>
      <c r="D180" s="1" t="s">
        <v>15</v>
      </c>
      <c r="E180" s="3">
        <v>351562312318003</v>
      </c>
      <c r="F180" s="1"/>
      <c r="G180" s="5">
        <v>45624</v>
      </c>
      <c r="H180" s="4">
        <v>400</v>
      </c>
      <c r="I180" s="4"/>
      <c r="J180" s="5">
        <v>45626</v>
      </c>
      <c r="K180" s="4">
        <v>450</v>
      </c>
      <c r="L180" s="8">
        <v>50</v>
      </c>
      <c r="M180" s="6" t="s">
        <v>262</v>
      </c>
    </row>
    <row r="181" spans="1:13" x14ac:dyDescent="0.3">
      <c r="A181" s="23" t="s">
        <v>16</v>
      </c>
      <c r="B181" s="6" t="s">
        <v>25</v>
      </c>
      <c r="C181" s="1" t="s">
        <v>21</v>
      </c>
      <c r="D181" s="1" t="s">
        <v>15</v>
      </c>
      <c r="E181" s="3">
        <v>354550165304375</v>
      </c>
      <c r="F181" s="1"/>
      <c r="G181" s="5">
        <v>45566</v>
      </c>
      <c r="H181" s="4">
        <v>890</v>
      </c>
      <c r="I181" s="4">
        <v>12</v>
      </c>
      <c r="J181" s="5">
        <v>45626</v>
      </c>
      <c r="K181" s="4">
        <v>960</v>
      </c>
      <c r="L181" s="8">
        <v>58</v>
      </c>
      <c r="M181" s="6" t="s">
        <v>29</v>
      </c>
    </row>
    <row r="182" spans="1:13" x14ac:dyDescent="0.3">
      <c r="A182" s="23"/>
      <c r="B182" s="6"/>
      <c r="C182" s="23"/>
      <c r="D182" s="1"/>
      <c r="E182" s="3"/>
      <c r="F182" s="1"/>
      <c r="G182" s="5"/>
      <c r="H182" s="4"/>
      <c r="I182" s="4"/>
      <c r="J182" s="5"/>
      <c r="K182" s="4"/>
      <c r="L182" s="8"/>
      <c r="M182" s="6"/>
    </row>
    <row r="183" spans="1:13" x14ac:dyDescent="0.3">
      <c r="A183" s="23"/>
      <c r="B183" s="1"/>
      <c r="C183" s="28"/>
      <c r="D183" s="1"/>
      <c r="E183" s="15" t="s">
        <v>237</v>
      </c>
      <c r="F183" s="29" t="s">
        <v>238</v>
      </c>
      <c r="G183" s="5"/>
      <c r="H183" s="4"/>
      <c r="I183" s="4"/>
      <c r="J183" s="5"/>
      <c r="K183" s="4"/>
      <c r="L183" s="8"/>
      <c r="M183" s="6"/>
    </row>
    <row r="184" spans="1:13" x14ac:dyDescent="0.3">
      <c r="A184" s="23"/>
      <c r="B184" s="6"/>
      <c r="C184" s="23"/>
      <c r="D184" s="1"/>
      <c r="E184" s="17" t="s">
        <v>322</v>
      </c>
      <c r="F184" s="18">
        <v>213</v>
      </c>
      <c r="G184" s="1"/>
      <c r="H184" s="4"/>
      <c r="I184" s="4"/>
      <c r="J184" s="5"/>
      <c r="K184" s="4"/>
      <c r="L184" s="8"/>
      <c r="M184" s="6"/>
    </row>
    <row r="185" spans="1:13" x14ac:dyDescent="0.3">
      <c r="A185" s="23"/>
      <c r="B185" s="6"/>
      <c r="C185" s="23"/>
      <c r="D185" s="1"/>
      <c r="E185" s="17" t="s">
        <v>357</v>
      </c>
      <c r="F185" s="18">
        <v>240</v>
      </c>
      <c r="G185" s="1"/>
      <c r="H185" s="4"/>
      <c r="I185" s="4"/>
      <c r="J185" s="5"/>
      <c r="K185" s="4"/>
      <c r="L185" s="8"/>
      <c r="M185" s="6"/>
    </row>
    <row r="186" spans="1:13" x14ac:dyDescent="0.3">
      <c r="A186" s="23"/>
      <c r="B186" s="23"/>
      <c r="C186" s="28"/>
      <c r="D186" s="1"/>
      <c r="E186" s="19" t="s">
        <v>385</v>
      </c>
      <c r="F186" s="31">
        <v>740</v>
      </c>
      <c r="G186" s="5"/>
      <c r="H186" s="4"/>
      <c r="I186" s="4"/>
      <c r="J186" s="5"/>
      <c r="K186" s="4"/>
      <c r="L186" s="8"/>
      <c r="M186" s="6"/>
    </row>
    <row r="187" spans="1:13" x14ac:dyDescent="0.3">
      <c r="A187" s="23"/>
      <c r="B187" s="1"/>
      <c r="C187" s="28"/>
      <c r="D187" s="1"/>
      <c r="E187" s="19" t="s">
        <v>226</v>
      </c>
      <c r="F187" s="21">
        <v>700</v>
      </c>
      <c r="G187" s="5"/>
      <c r="H187" s="4"/>
      <c r="I187" s="4"/>
      <c r="J187" s="5"/>
      <c r="K187" s="4"/>
      <c r="L187" s="8"/>
      <c r="M187" s="6"/>
    </row>
    <row r="188" spans="1:13" x14ac:dyDescent="0.3">
      <c r="A188" s="23"/>
      <c r="B188" s="1"/>
      <c r="C188" s="28"/>
      <c r="D188" s="1"/>
      <c r="E188" s="19" t="s">
        <v>422</v>
      </c>
      <c r="F188" s="21">
        <v>380</v>
      </c>
      <c r="G188" s="5"/>
      <c r="H188" s="4"/>
      <c r="I188" s="4"/>
      <c r="J188" s="5"/>
      <c r="K188" s="4"/>
      <c r="L188" s="8"/>
      <c r="M188" s="6"/>
    </row>
    <row r="189" spans="1:13" x14ac:dyDescent="0.3">
      <c r="A189" s="23"/>
      <c r="B189" s="1"/>
      <c r="C189" s="28"/>
      <c r="D189" s="1"/>
      <c r="E189" s="19" t="s">
        <v>423</v>
      </c>
      <c r="F189" s="21">
        <v>1000</v>
      </c>
      <c r="G189" s="5"/>
      <c r="H189" s="4"/>
      <c r="I189" s="4"/>
      <c r="J189" s="5"/>
      <c r="K189" s="4"/>
      <c r="L189" s="8"/>
      <c r="M189" s="6"/>
    </row>
    <row r="190" spans="1:13" x14ac:dyDescent="0.3">
      <c r="A190" s="23"/>
      <c r="B190" s="1"/>
      <c r="C190" s="28"/>
      <c r="D190" s="1"/>
      <c r="E190" s="19" t="s">
        <v>472</v>
      </c>
      <c r="F190" s="31">
        <v>78</v>
      </c>
      <c r="G190" s="5"/>
      <c r="H190" s="4"/>
      <c r="I190" s="4"/>
      <c r="J190" s="5"/>
      <c r="K190" s="4"/>
      <c r="L190" s="8"/>
      <c r="M190" s="6"/>
    </row>
    <row r="191" spans="1:13" x14ac:dyDescent="0.3">
      <c r="A191" s="23"/>
      <c r="B191" s="1"/>
      <c r="C191" s="28"/>
      <c r="D191" s="1"/>
      <c r="E191" s="19" t="s">
        <v>512</v>
      </c>
      <c r="F191" s="21">
        <v>400</v>
      </c>
      <c r="G191" s="5"/>
      <c r="H191" s="4"/>
      <c r="I191" s="4"/>
      <c r="J191" s="5"/>
      <c r="K191" s="4"/>
      <c r="L191" s="8"/>
      <c r="M191" s="6"/>
    </row>
    <row r="192" spans="1:13" x14ac:dyDescent="0.3">
      <c r="A192" s="23"/>
      <c r="B192" s="1"/>
      <c r="C192" s="28"/>
      <c r="D192" s="1"/>
      <c r="E192" s="19" t="s">
        <v>522</v>
      </c>
      <c r="F192" s="21">
        <v>284</v>
      </c>
      <c r="G192" s="5"/>
      <c r="H192" s="4"/>
      <c r="I192" s="4"/>
      <c r="J192" s="5"/>
      <c r="K192" s="4"/>
      <c r="L192" s="8"/>
      <c r="M192" s="6"/>
    </row>
    <row r="193" spans="1:13" x14ac:dyDescent="0.3">
      <c r="A193" s="23"/>
      <c r="B193" s="1"/>
      <c r="C193" s="28"/>
      <c r="D193" s="1"/>
      <c r="E193" s="19" t="s">
        <v>538</v>
      </c>
      <c r="F193" s="21">
        <v>800</v>
      </c>
      <c r="G193" s="5"/>
      <c r="H193" s="4"/>
      <c r="I193" s="4"/>
      <c r="J193" s="5"/>
      <c r="K193" s="4"/>
      <c r="L193" s="8"/>
      <c r="M193" s="6"/>
    </row>
    <row r="194" spans="1:13" x14ac:dyDescent="0.3">
      <c r="A194" s="23"/>
      <c r="B194" s="1"/>
      <c r="C194" s="28"/>
      <c r="D194" s="1"/>
      <c r="E194" s="19" t="s">
        <v>545</v>
      </c>
      <c r="F194" s="21">
        <v>444</v>
      </c>
      <c r="G194" s="5"/>
      <c r="H194" s="4"/>
      <c r="I194" s="4"/>
      <c r="J194" s="5"/>
      <c r="K194" s="4"/>
      <c r="L194" s="8"/>
      <c r="M194" s="6"/>
    </row>
    <row r="195" spans="1:13" x14ac:dyDescent="0.3">
      <c r="A195" s="23"/>
      <c r="B195" s="1"/>
      <c r="C195" s="28"/>
      <c r="D195" s="1"/>
      <c r="E195" s="19"/>
      <c r="F195" s="21"/>
      <c r="G195" s="5"/>
      <c r="H195" s="4">
        <f>SUM(H2:H194)</f>
        <v>68825</v>
      </c>
      <c r="I195" s="4">
        <f>SUM(I2:I194)</f>
        <v>1053</v>
      </c>
      <c r="J195" s="5"/>
      <c r="K195" s="4">
        <f>SUM(K2:K194)</f>
        <v>79438</v>
      </c>
      <c r="L195" s="26">
        <f>SUM(L2:L194)</f>
        <v>9555</v>
      </c>
      <c r="M195" s="6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7111-0C28-4099-9809-F142336C9FDD}">
  <sheetPr codeName="Лист14"/>
  <dimension ref="A1:M167"/>
  <sheetViews>
    <sheetView topLeftCell="A151" zoomScale="73" zoomScaleNormal="73" workbookViewId="0">
      <selection activeCell="J121" sqref="J121"/>
    </sheetView>
  </sheetViews>
  <sheetFormatPr defaultRowHeight="14.4" x14ac:dyDescent="0.3"/>
  <cols>
    <col min="1" max="1" width="11.5546875" bestFit="1" customWidth="1"/>
    <col min="2" max="2" width="24.109375" customWidth="1"/>
    <col min="3" max="3" width="18.88671875" customWidth="1"/>
    <col min="4" max="4" width="14.109375" bestFit="1" customWidth="1"/>
    <col min="5" max="5" width="20.44140625" customWidth="1"/>
    <col min="6" max="6" width="25" bestFit="1" customWidth="1"/>
    <col min="7" max="7" width="21.6640625" bestFit="1" customWidth="1"/>
    <col min="8" max="8" width="23.88671875" bestFit="1" customWidth="1"/>
    <col min="9" max="9" width="15.109375" bestFit="1" customWidth="1"/>
    <col min="10" max="10" width="22.109375" bestFit="1" customWidth="1"/>
    <col min="11" max="11" width="23" bestFit="1" customWidth="1"/>
    <col min="12" max="12" width="13.88671875" style="9" bestFit="1" customWidth="1"/>
    <col min="13" max="13" width="40.88671875" bestFit="1" customWidth="1"/>
  </cols>
  <sheetData>
    <row r="1" spans="1:13" x14ac:dyDescent="0.3">
      <c r="A1" s="1" t="s">
        <v>0</v>
      </c>
      <c r="B1" s="6" t="s">
        <v>2</v>
      </c>
      <c r="C1" s="1" t="s">
        <v>1</v>
      </c>
      <c r="D1" s="1" t="s">
        <v>3</v>
      </c>
      <c r="E1" s="3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10</v>
      </c>
      <c r="K1" s="1" t="s">
        <v>9</v>
      </c>
      <c r="L1" s="7" t="s">
        <v>11</v>
      </c>
      <c r="M1" s="1" t="s">
        <v>12</v>
      </c>
    </row>
    <row r="2" spans="1:13" x14ac:dyDescent="0.3">
      <c r="A2" s="1" t="s">
        <v>16</v>
      </c>
      <c r="B2" s="6" t="s">
        <v>23</v>
      </c>
      <c r="C2" s="1" t="s">
        <v>21</v>
      </c>
      <c r="D2" s="1" t="s">
        <v>22</v>
      </c>
      <c r="E2" s="3">
        <v>354068586744525</v>
      </c>
      <c r="F2" s="1"/>
      <c r="G2" s="5">
        <v>45568</v>
      </c>
      <c r="H2" s="4">
        <v>950</v>
      </c>
      <c r="I2" s="4"/>
      <c r="J2" s="5">
        <v>45577</v>
      </c>
      <c r="K2" s="4">
        <v>1000</v>
      </c>
      <c r="L2" s="8">
        <v>50</v>
      </c>
      <c r="M2" s="6" t="s">
        <v>24</v>
      </c>
    </row>
    <row r="3" spans="1:13" x14ac:dyDescent="0.3">
      <c r="A3" s="1" t="s">
        <v>16</v>
      </c>
      <c r="B3" s="6" t="s">
        <v>34</v>
      </c>
      <c r="C3" s="1" t="s">
        <v>35</v>
      </c>
      <c r="D3" s="1" t="s">
        <v>22</v>
      </c>
      <c r="E3" s="3">
        <v>358457883617763</v>
      </c>
      <c r="F3" s="1"/>
      <c r="G3" s="5">
        <v>45569</v>
      </c>
      <c r="H3" s="4">
        <v>785</v>
      </c>
      <c r="I3" s="4">
        <v>13</v>
      </c>
      <c r="J3" s="5">
        <v>45573</v>
      </c>
      <c r="K3" s="4">
        <v>900</v>
      </c>
      <c r="L3" s="8">
        <v>102</v>
      </c>
      <c r="M3" s="6" t="s">
        <v>36</v>
      </c>
    </row>
    <row r="4" spans="1:13" x14ac:dyDescent="0.3">
      <c r="A4" s="1" t="s">
        <v>16</v>
      </c>
      <c r="B4" s="6" t="s">
        <v>34</v>
      </c>
      <c r="C4" s="1" t="s">
        <v>35</v>
      </c>
      <c r="D4" s="1" t="s">
        <v>15</v>
      </c>
      <c r="E4" s="3">
        <v>359236738521084</v>
      </c>
      <c r="F4" s="1"/>
      <c r="G4" s="5">
        <v>45557</v>
      </c>
      <c r="H4" s="4">
        <v>710</v>
      </c>
      <c r="I4" s="4"/>
      <c r="J4" s="5">
        <v>45578</v>
      </c>
      <c r="K4" s="4">
        <v>745</v>
      </c>
      <c r="L4" s="8">
        <v>35</v>
      </c>
      <c r="M4" s="6" t="s">
        <v>38</v>
      </c>
    </row>
    <row r="5" spans="1:13" x14ac:dyDescent="0.3">
      <c r="A5" s="1" t="s">
        <v>16</v>
      </c>
      <c r="B5" s="6" t="s">
        <v>39</v>
      </c>
      <c r="C5" s="1" t="s">
        <v>35</v>
      </c>
      <c r="D5" s="1" t="s">
        <v>15</v>
      </c>
      <c r="E5" s="3">
        <v>352459255305890</v>
      </c>
      <c r="F5" s="1"/>
      <c r="G5" s="5">
        <v>45562</v>
      </c>
      <c r="H5" s="4">
        <v>730</v>
      </c>
      <c r="I5" s="4">
        <v>12</v>
      </c>
      <c r="J5" s="5"/>
      <c r="K5" s="4">
        <v>785</v>
      </c>
      <c r="L5" s="8">
        <v>43</v>
      </c>
      <c r="M5" s="6" t="s">
        <v>29</v>
      </c>
    </row>
    <row r="6" spans="1:13" x14ac:dyDescent="0.3">
      <c r="A6" s="1" t="s">
        <v>13</v>
      </c>
      <c r="B6" s="6" t="s">
        <v>51</v>
      </c>
      <c r="C6" s="1" t="s">
        <v>21</v>
      </c>
      <c r="D6" s="1" t="s">
        <v>22</v>
      </c>
      <c r="E6" s="3">
        <v>356663760722822</v>
      </c>
      <c r="F6" s="1"/>
      <c r="G6" s="5">
        <v>45573</v>
      </c>
      <c r="H6" s="4">
        <v>600</v>
      </c>
      <c r="I6" s="4"/>
      <c r="J6" s="5">
        <v>45574</v>
      </c>
      <c r="K6" s="4">
        <v>670</v>
      </c>
      <c r="L6" s="8">
        <v>70</v>
      </c>
      <c r="M6" s="6" t="s">
        <v>52</v>
      </c>
    </row>
    <row r="7" spans="1:13" x14ac:dyDescent="0.3">
      <c r="A7" s="1" t="s">
        <v>13</v>
      </c>
      <c r="B7" s="6" t="s">
        <v>57</v>
      </c>
      <c r="C7" s="1" t="s">
        <v>58</v>
      </c>
      <c r="D7" s="1" t="s">
        <v>15</v>
      </c>
      <c r="E7" s="3">
        <v>355347587074986</v>
      </c>
      <c r="F7" s="1"/>
      <c r="G7" s="5">
        <v>45573</v>
      </c>
      <c r="H7" s="4">
        <v>150</v>
      </c>
      <c r="I7" s="4"/>
      <c r="J7" s="5">
        <v>45579</v>
      </c>
      <c r="K7" s="4">
        <v>210</v>
      </c>
      <c r="L7" s="8">
        <v>60</v>
      </c>
      <c r="M7" s="6" t="s">
        <v>56</v>
      </c>
    </row>
    <row r="8" spans="1:13" x14ac:dyDescent="0.3">
      <c r="A8" s="1" t="s">
        <v>16</v>
      </c>
      <c r="B8" s="6" t="s">
        <v>62</v>
      </c>
      <c r="C8" s="1" t="s">
        <v>65</v>
      </c>
      <c r="D8" s="1" t="s">
        <v>22</v>
      </c>
      <c r="E8" s="3">
        <v>357680883080556</v>
      </c>
      <c r="F8" s="1" t="s">
        <v>66</v>
      </c>
      <c r="G8" s="5">
        <v>45520</v>
      </c>
      <c r="H8" s="4">
        <v>470</v>
      </c>
      <c r="I8" s="4"/>
      <c r="J8" s="5">
        <v>45574</v>
      </c>
      <c r="K8" s="4">
        <v>620</v>
      </c>
      <c r="L8" s="8">
        <v>150</v>
      </c>
      <c r="M8" s="6" t="s">
        <v>72</v>
      </c>
    </row>
    <row r="9" spans="1:13" x14ac:dyDescent="0.3">
      <c r="A9" s="1" t="s">
        <v>16</v>
      </c>
      <c r="B9" s="6" t="s">
        <v>74</v>
      </c>
      <c r="C9" s="1" t="s">
        <v>35</v>
      </c>
      <c r="D9" s="1" t="s">
        <v>22</v>
      </c>
      <c r="E9" s="3">
        <v>352213577057303</v>
      </c>
      <c r="F9" s="1" t="s">
        <v>27</v>
      </c>
      <c r="G9" s="5">
        <v>45571</v>
      </c>
      <c r="H9" s="4">
        <v>590</v>
      </c>
      <c r="I9" s="4"/>
      <c r="J9" s="5">
        <v>45577</v>
      </c>
      <c r="K9" s="4">
        <v>650</v>
      </c>
      <c r="L9" s="8">
        <v>60</v>
      </c>
      <c r="M9" s="6" t="s">
        <v>75</v>
      </c>
    </row>
    <row r="10" spans="1:13" x14ac:dyDescent="0.3">
      <c r="A10" s="1" t="s">
        <v>16</v>
      </c>
      <c r="B10" s="6" t="s">
        <v>74</v>
      </c>
      <c r="C10" s="1" t="s">
        <v>35</v>
      </c>
      <c r="D10" s="1" t="s">
        <v>22</v>
      </c>
      <c r="E10" s="3">
        <v>358287294266201</v>
      </c>
      <c r="F10" s="1"/>
      <c r="G10" s="5">
        <v>45567</v>
      </c>
      <c r="H10" s="4">
        <v>655</v>
      </c>
      <c r="I10" s="4"/>
      <c r="J10" s="5">
        <v>45576</v>
      </c>
      <c r="K10" s="4">
        <v>690</v>
      </c>
      <c r="L10" s="8">
        <v>35</v>
      </c>
      <c r="M10" s="6" t="s">
        <v>76</v>
      </c>
    </row>
    <row r="11" spans="1:13" x14ac:dyDescent="0.3">
      <c r="A11" s="1" t="s">
        <v>16</v>
      </c>
      <c r="B11" s="6" t="s">
        <v>77</v>
      </c>
      <c r="C11" s="1" t="s">
        <v>21</v>
      </c>
      <c r="D11" s="1" t="s">
        <v>22</v>
      </c>
      <c r="E11" s="3">
        <v>359455902190712</v>
      </c>
      <c r="F11" s="1"/>
      <c r="G11" s="5">
        <v>45565</v>
      </c>
      <c r="H11" s="4">
        <v>590</v>
      </c>
      <c r="I11" s="4"/>
      <c r="J11" s="5">
        <v>45574</v>
      </c>
      <c r="K11" s="4">
        <v>720</v>
      </c>
      <c r="L11" s="8">
        <v>130</v>
      </c>
      <c r="M11" s="6" t="s">
        <v>78</v>
      </c>
    </row>
    <row r="12" spans="1:13" x14ac:dyDescent="0.3">
      <c r="A12" s="1" t="s">
        <v>16</v>
      </c>
      <c r="B12" s="6" t="s">
        <v>74</v>
      </c>
      <c r="C12" s="1" t="s">
        <v>21</v>
      </c>
      <c r="D12" s="1" t="s">
        <v>22</v>
      </c>
      <c r="E12" s="3">
        <v>355960222770287</v>
      </c>
      <c r="F12" s="1"/>
      <c r="G12" s="5">
        <v>45559</v>
      </c>
      <c r="H12" s="4">
        <v>640</v>
      </c>
      <c r="I12" s="4"/>
      <c r="J12" s="5">
        <v>45574</v>
      </c>
      <c r="K12" s="4">
        <v>695</v>
      </c>
      <c r="L12" s="8">
        <v>55</v>
      </c>
      <c r="M12" s="6" t="s">
        <v>79</v>
      </c>
    </row>
    <row r="13" spans="1:13" x14ac:dyDescent="0.3">
      <c r="A13" s="1" t="s">
        <v>16</v>
      </c>
      <c r="B13" s="6" t="s">
        <v>83</v>
      </c>
      <c r="C13" s="1" t="s">
        <v>45</v>
      </c>
      <c r="D13" s="1" t="s">
        <v>22</v>
      </c>
      <c r="E13" s="3">
        <v>351150160700504</v>
      </c>
      <c r="F13" s="1" t="s">
        <v>63</v>
      </c>
      <c r="G13" s="5">
        <v>45573</v>
      </c>
      <c r="H13" s="4">
        <v>480</v>
      </c>
      <c r="I13" s="4"/>
      <c r="J13" s="5">
        <v>45574</v>
      </c>
      <c r="K13" s="4">
        <v>580</v>
      </c>
      <c r="L13" s="8">
        <v>100</v>
      </c>
      <c r="M13" s="6" t="s">
        <v>85</v>
      </c>
    </row>
    <row r="14" spans="1:13" x14ac:dyDescent="0.3">
      <c r="A14" s="1" t="s">
        <v>16</v>
      </c>
      <c r="B14" s="6" t="s">
        <v>81</v>
      </c>
      <c r="C14" s="1" t="s">
        <v>65</v>
      </c>
      <c r="D14" s="1" t="s">
        <v>15</v>
      </c>
      <c r="E14" s="3">
        <v>355471425955907</v>
      </c>
      <c r="F14" s="1"/>
      <c r="G14" s="5">
        <v>45568</v>
      </c>
      <c r="H14" s="4">
        <v>535</v>
      </c>
      <c r="I14" s="4">
        <v>13</v>
      </c>
      <c r="J14" s="5">
        <v>45574</v>
      </c>
      <c r="K14" s="4">
        <v>560</v>
      </c>
      <c r="L14" s="8">
        <v>12</v>
      </c>
      <c r="M14" s="6" t="s">
        <v>82</v>
      </c>
    </row>
    <row r="15" spans="1:13" x14ac:dyDescent="0.3">
      <c r="A15" s="1" t="s">
        <v>16</v>
      </c>
      <c r="B15" s="6" t="s">
        <v>81</v>
      </c>
      <c r="C15" s="1" t="s">
        <v>21</v>
      </c>
      <c r="D15" s="1" t="s">
        <v>15</v>
      </c>
      <c r="E15" s="3">
        <v>355224387724237</v>
      </c>
      <c r="F15" s="1"/>
      <c r="G15" s="5">
        <v>45554</v>
      </c>
      <c r="H15" s="4">
        <v>535</v>
      </c>
      <c r="I15" s="4">
        <v>9</v>
      </c>
      <c r="J15" s="5">
        <v>45574</v>
      </c>
      <c r="K15" s="4">
        <v>580</v>
      </c>
      <c r="L15" s="8">
        <v>36</v>
      </c>
      <c r="M15" s="6" t="s">
        <v>19</v>
      </c>
    </row>
    <row r="16" spans="1:13" x14ac:dyDescent="0.3">
      <c r="A16" s="1" t="s">
        <v>16</v>
      </c>
      <c r="B16" s="6" t="s">
        <v>96</v>
      </c>
      <c r="C16" s="1" t="s">
        <v>97</v>
      </c>
      <c r="D16" s="1" t="s">
        <v>22</v>
      </c>
      <c r="E16" s="3">
        <v>353232102568039</v>
      </c>
      <c r="F16" s="1" t="s">
        <v>98</v>
      </c>
      <c r="G16" s="5">
        <v>45531</v>
      </c>
      <c r="H16" s="4">
        <v>150</v>
      </c>
      <c r="I16" s="4"/>
      <c r="J16" s="5">
        <v>45574</v>
      </c>
      <c r="K16" s="4">
        <v>238</v>
      </c>
      <c r="L16" s="8">
        <v>88</v>
      </c>
      <c r="M16" s="6" t="s">
        <v>99</v>
      </c>
    </row>
    <row r="17" spans="1:13" x14ac:dyDescent="0.3">
      <c r="A17" s="1" t="s">
        <v>16</v>
      </c>
      <c r="B17" s="6" t="s">
        <v>17</v>
      </c>
      <c r="C17" s="1" t="s">
        <v>18</v>
      </c>
      <c r="D17" s="1" t="s">
        <v>15</v>
      </c>
      <c r="E17" s="3">
        <v>353236103553221</v>
      </c>
      <c r="F17" s="1"/>
      <c r="G17" s="5">
        <v>45571</v>
      </c>
      <c r="H17" s="4">
        <v>255</v>
      </c>
      <c r="I17" s="4">
        <v>13</v>
      </c>
      <c r="J17" s="5">
        <v>45576</v>
      </c>
      <c r="K17" s="4">
        <v>330</v>
      </c>
      <c r="L17" s="8">
        <v>62</v>
      </c>
      <c r="M17" s="6" t="s">
        <v>19</v>
      </c>
    </row>
    <row r="18" spans="1:13" x14ac:dyDescent="0.3">
      <c r="A18" s="1" t="s">
        <v>16</v>
      </c>
      <c r="B18" s="6" t="s">
        <v>101</v>
      </c>
      <c r="C18" s="1" t="s">
        <v>97</v>
      </c>
      <c r="D18" s="1" t="s">
        <v>15</v>
      </c>
      <c r="E18" s="3">
        <v>353893104766333</v>
      </c>
      <c r="F18" s="1" t="s">
        <v>61</v>
      </c>
      <c r="G18" s="5">
        <v>45558</v>
      </c>
      <c r="H18" s="4">
        <v>280</v>
      </c>
      <c r="I18" s="4"/>
      <c r="J18" s="5">
        <v>45574</v>
      </c>
      <c r="K18" s="4">
        <v>350</v>
      </c>
      <c r="L18" s="8">
        <v>70</v>
      </c>
      <c r="M18" s="6" t="s">
        <v>38</v>
      </c>
    </row>
    <row r="19" spans="1:13" x14ac:dyDescent="0.3">
      <c r="A19" s="1" t="s">
        <v>16</v>
      </c>
      <c r="B19" s="6" t="s">
        <v>102</v>
      </c>
      <c r="C19" s="1" t="s">
        <v>45</v>
      </c>
      <c r="D19" s="1" t="s">
        <v>15</v>
      </c>
      <c r="E19" s="3">
        <v>352856111425483</v>
      </c>
      <c r="F19" s="1" t="s">
        <v>103</v>
      </c>
      <c r="G19" s="5"/>
      <c r="H19" s="4">
        <v>250</v>
      </c>
      <c r="I19" s="4"/>
      <c r="J19" s="5">
        <v>45575</v>
      </c>
      <c r="K19" s="4">
        <v>310</v>
      </c>
      <c r="L19" s="8">
        <v>60</v>
      </c>
      <c r="M19" s="6"/>
    </row>
    <row r="20" spans="1:13" x14ac:dyDescent="0.3">
      <c r="A20" s="1" t="s">
        <v>16</v>
      </c>
      <c r="B20" s="6" t="s">
        <v>106</v>
      </c>
      <c r="C20" s="1" t="s">
        <v>107</v>
      </c>
      <c r="D20" s="1" t="s">
        <v>22</v>
      </c>
      <c r="E20" s="3">
        <v>356339108608284</v>
      </c>
      <c r="F20" s="1"/>
      <c r="G20" s="5">
        <v>45536</v>
      </c>
      <c r="H20" s="4">
        <v>228</v>
      </c>
      <c r="I20" s="4">
        <v>9</v>
      </c>
      <c r="J20" s="5">
        <v>45576</v>
      </c>
      <c r="K20" s="4">
        <v>250</v>
      </c>
      <c r="L20" s="8">
        <v>13</v>
      </c>
      <c r="M20" s="6" t="s">
        <v>108</v>
      </c>
    </row>
    <row r="21" spans="1:13" x14ac:dyDescent="0.3">
      <c r="A21" s="1" t="s">
        <v>16</v>
      </c>
      <c r="B21" s="6" t="s">
        <v>106</v>
      </c>
      <c r="C21" s="1" t="s">
        <v>21</v>
      </c>
      <c r="D21" s="1" t="s">
        <v>22</v>
      </c>
      <c r="E21" s="3">
        <v>356341103343198</v>
      </c>
      <c r="F21" s="1"/>
      <c r="G21" s="5">
        <v>45536</v>
      </c>
      <c r="H21" s="4">
        <v>228</v>
      </c>
      <c r="I21" s="4">
        <v>9</v>
      </c>
      <c r="J21" s="5">
        <v>45574</v>
      </c>
      <c r="K21" s="4">
        <v>250</v>
      </c>
      <c r="L21" s="8">
        <v>13</v>
      </c>
      <c r="M21" s="6" t="s">
        <v>108</v>
      </c>
    </row>
    <row r="22" spans="1:13" x14ac:dyDescent="0.3">
      <c r="A22" s="1" t="s">
        <v>16</v>
      </c>
      <c r="B22" s="6" t="s">
        <v>109</v>
      </c>
      <c r="C22" s="1" t="s">
        <v>18</v>
      </c>
      <c r="D22" s="1" t="s">
        <v>15</v>
      </c>
      <c r="E22" s="3">
        <v>357239096191484</v>
      </c>
      <c r="F22" s="1"/>
      <c r="G22" s="5">
        <v>45568</v>
      </c>
      <c r="H22" s="4">
        <v>148</v>
      </c>
      <c r="I22" s="4"/>
      <c r="J22" s="5">
        <v>45574</v>
      </c>
      <c r="K22" s="4">
        <v>180</v>
      </c>
      <c r="L22" s="8">
        <v>32</v>
      </c>
      <c r="M22" s="6" t="s">
        <v>110</v>
      </c>
    </row>
    <row r="23" spans="1:13" x14ac:dyDescent="0.3">
      <c r="A23" s="1" t="s">
        <v>13</v>
      </c>
      <c r="B23" s="6" t="s">
        <v>117</v>
      </c>
      <c r="C23" s="1" t="s">
        <v>21</v>
      </c>
      <c r="D23" s="1" t="s">
        <v>15</v>
      </c>
      <c r="E23" s="3">
        <v>351424776698745</v>
      </c>
      <c r="F23" s="1"/>
      <c r="G23" s="5">
        <v>45571</v>
      </c>
      <c r="H23" s="4">
        <v>255</v>
      </c>
      <c r="I23" s="4">
        <v>13</v>
      </c>
      <c r="J23" s="5">
        <v>45577</v>
      </c>
      <c r="K23" s="4">
        <v>305</v>
      </c>
      <c r="L23" s="8">
        <v>37</v>
      </c>
      <c r="M23" s="6" t="s">
        <v>19</v>
      </c>
    </row>
    <row r="24" spans="1:13" x14ac:dyDescent="0.3">
      <c r="A24" s="1" t="s">
        <v>13</v>
      </c>
      <c r="B24" s="6" t="s">
        <v>117</v>
      </c>
      <c r="C24" s="1" t="s">
        <v>18</v>
      </c>
      <c r="D24" s="1" t="s">
        <v>15</v>
      </c>
      <c r="E24" s="3">
        <v>352854661729974</v>
      </c>
      <c r="F24" s="1"/>
      <c r="G24" s="5">
        <v>45569</v>
      </c>
      <c r="H24" s="4">
        <v>215</v>
      </c>
      <c r="I24" s="4">
        <v>15</v>
      </c>
      <c r="J24" s="5">
        <v>45578</v>
      </c>
      <c r="K24" s="4">
        <v>290</v>
      </c>
      <c r="L24" s="8">
        <v>60</v>
      </c>
      <c r="M24" s="6" t="s">
        <v>118</v>
      </c>
    </row>
    <row r="25" spans="1:13" x14ac:dyDescent="0.3">
      <c r="A25" s="1" t="s">
        <v>13</v>
      </c>
      <c r="B25" s="6" t="s">
        <v>119</v>
      </c>
      <c r="C25" s="1" t="s">
        <v>89</v>
      </c>
      <c r="D25" s="1" t="s">
        <v>15</v>
      </c>
      <c r="E25" s="3">
        <v>358104480437415</v>
      </c>
      <c r="F25" s="1"/>
      <c r="G25" s="5">
        <v>45537</v>
      </c>
      <c r="H25" s="4">
        <v>270</v>
      </c>
      <c r="I25" s="4">
        <v>12</v>
      </c>
      <c r="J25" s="5">
        <v>45574</v>
      </c>
      <c r="K25" s="4">
        <v>330</v>
      </c>
      <c r="L25" s="8">
        <v>48</v>
      </c>
      <c r="M25" s="6" t="s">
        <v>19</v>
      </c>
    </row>
    <row r="26" spans="1:13" x14ac:dyDescent="0.3">
      <c r="A26" s="1" t="s">
        <v>13</v>
      </c>
      <c r="B26" s="6" t="s">
        <v>120</v>
      </c>
      <c r="C26" s="1" t="s">
        <v>97</v>
      </c>
      <c r="D26" s="1" t="s">
        <v>15</v>
      </c>
      <c r="E26" s="3">
        <v>352496800215398</v>
      </c>
      <c r="F26" s="1"/>
      <c r="G26" s="5">
        <v>45552</v>
      </c>
      <c r="H26" s="4">
        <v>350</v>
      </c>
      <c r="I26" s="4"/>
      <c r="J26" s="5">
        <v>45576</v>
      </c>
      <c r="K26" s="4">
        <v>445</v>
      </c>
      <c r="L26" s="8">
        <v>95</v>
      </c>
      <c r="M26" s="6" t="s">
        <v>85</v>
      </c>
    </row>
    <row r="27" spans="1:13" x14ac:dyDescent="0.3">
      <c r="A27" s="1" t="s">
        <v>16</v>
      </c>
      <c r="B27" s="6" t="s">
        <v>68</v>
      </c>
      <c r="C27" s="1" t="s">
        <v>65</v>
      </c>
      <c r="D27" s="1" t="s">
        <v>15</v>
      </c>
      <c r="E27" s="3">
        <v>356287127167727</v>
      </c>
      <c r="F27" s="1" t="s">
        <v>43</v>
      </c>
      <c r="G27" s="5">
        <v>45573</v>
      </c>
      <c r="H27" s="4">
        <v>550</v>
      </c>
      <c r="I27" s="4"/>
      <c r="J27" s="5">
        <v>45574</v>
      </c>
      <c r="K27" s="4">
        <v>620</v>
      </c>
      <c r="L27" s="8">
        <v>70</v>
      </c>
      <c r="M27" s="6" t="s">
        <v>136</v>
      </c>
    </row>
    <row r="28" spans="1:13" x14ac:dyDescent="0.3">
      <c r="A28" s="1" t="s">
        <v>13</v>
      </c>
      <c r="B28" s="6" t="s">
        <v>121</v>
      </c>
      <c r="C28" s="1" t="s">
        <v>21</v>
      </c>
      <c r="D28" s="1" t="s">
        <v>15</v>
      </c>
      <c r="E28" s="3">
        <v>352412371698102</v>
      </c>
      <c r="F28" s="1"/>
      <c r="G28" s="5">
        <v>45511</v>
      </c>
      <c r="H28" s="4">
        <v>280</v>
      </c>
      <c r="I28" s="4">
        <v>9</v>
      </c>
      <c r="J28" s="5">
        <v>45575</v>
      </c>
      <c r="K28" s="4">
        <v>317</v>
      </c>
      <c r="L28" s="8">
        <v>28</v>
      </c>
      <c r="M28" s="6" t="s">
        <v>122</v>
      </c>
    </row>
    <row r="29" spans="1:13" x14ac:dyDescent="0.3">
      <c r="A29" s="1" t="s">
        <v>16</v>
      </c>
      <c r="B29" s="6" t="s">
        <v>133</v>
      </c>
      <c r="C29" s="1" t="s">
        <v>18</v>
      </c>
      <c r="D29" s="1" t="s">
        <v>15</v>
      </c>
      <c r="E29" s="3">
        <v>352377995150204</v>
      </c>
      <c r="F29" s="1"/>
      <c r="G29" s="5">
        <v>45574</v>
      </c>
      <c r="H29" s="4">
        <v>275</v>
      </c>
      <c r="I29" s="4"/>
      <c r="J29" s="5">
        <v>45575</v>
      </c>
      <c r="K29" s="4">
        <v>330</v>
      </c>
      <c r="L29" s="8">
        <v>55</v>
      </c>
      <c r="M29" s="6" t="s">
        <v>137</v>
      </c>
    </row>
    <row r="30" spans="1:13" x14ac:dyDescent="0.3">
      <c r="A30" s="1" t="s">
        <v>142</v>
      </c>
      <c r="B30" s="6" t="s">
        <v>143</v>
      </c>
      <c r="C30" s="1" t="s">
        <v>21</v>
      </c>
      <c r="D30" s="1" t="s">
        <v>22</v>
      </c>
      <c r="E30" s="3">
        <v>865607078325202</v>
      </c>
      <c r="F30" s="1"/>
      <c r="G30" s="5">
        <v>45574</v>
      </c>
      <c r="H30" s="4">
        <v>156</v>
      </c>
      <c r="I30" s="4"/>
      <c r="J30" s="5">
        <v>45575</v>
      </c>
      <c r="K30" s="4">
        <v>175</v>
      </c>
      <c r="L30" s="8">
        <v>19</v>
      </c>
      <c r="M30" s="6" t="s">
        <v>144</v>
      </c>
    </row>
    <row r="31" spans="1:13" x14ac:dyDescent="0.3">
      <c r="A31" s="1" t="s">
        <v>16</v>
      </c>
      <c r="B31" s="6" t="s">
        <v>132</v>
      </c>
      <c r="C31" s="1" t="s">
        <v>18</v>
      </c>
      <c r="D31" s="1" t="s">
        <v>15</v>
      </c>
      <c r="E31" s="3">
        <v>352704134884072</v>
      </c>
      <c r="F31" s="1" t="s">
        <v>145</v>
      </c>
      <c r="G31" s="5">
        <v>45574</v>
      </c>
      <c r="H31" s="4">
        <v>120</v>
      </c>
      <c r="I31" s="4">
        <v>27</v>
      </c>
      <c r="J31" s="5">
        <v>45576</v>
      </c>
      <c r="K31" s="4">
        <v>199</v>
      </c>
      <c r="L31" s="8">
        <v>52</v>
      </c>
      <c r="M31" s="6" t="s">
        <v>146</v>
      </c>
    </row>
    <row r="32" spans="1:13" x14ac:dyDescent="0.3">
      <c r="A32" s="1" t="s">
        <v>16</v>
      </c>
      <c r="B32" s="6" t="s">
        <v>148</v>
      </c>
      <c r="C32" s="1" t="s">
        <v>18</v>
      </c>
      <c r="D32" s="1" t="s">
        <v>15</v>
      </c>
      <c r="E32" s="3">
        <v>356696724061929</v>
      </c>
      <c r="F32" s="1"/>
      <c r="G32" s="5">
        <v>45575</v>
      </c>
      <c r="H32" s="4">
        <v>320</v>
      </c>
      <c r="I32" s="4">
        <v>13</v>
      </c>
      <c r="J32" s="5">
        <v>45576</v>
      </c>
      <c r="K32" s="4">
        <v>400</v>
      </c>
      <c r="L32" s="8">
        <v>67</v>
      </c>
      <c r="M32" s="6" t="s">
        <v>147</v>
      </c>
    </row>
    <row r="33" spans="1:13" x14ac:dyDescent="0.3">
      <c r="A33" s="1" t="s">
        <v>16</v>
      </c>
      <c r="B33" s="6" t="s">
        <v>151</v>
      </c>
      <c r="C33" s="1" t="s">
        <v>21</v>
      </c>
      <c r="D33" s="1" t="s">
        <v>15</v>
      </c>
      <c r="E33" s="3">
        <v>353072099638183</v>
      </c>
      <c r="F33" s="1"/>
      <c r="G33" s="5">
        <v>45575</v>
      </c>
      <c r="H33" s="4">
        <v>39</v>
      </c>
      <c r="I33" s="4"/>
      <c r="J33" s="5">
        <v>45576</v>
      </c>
      <c r="K33" s="4">
        <v>90</v>
      </c>
      <c r="L33" s="8">
        <v>51</v>
      </c>
      <c r="M33" s="6">
        <v>944384077</v>
      </c>
    </row>
    <row r="34" spans="1:13" x14ac:dyDescent="0.3">
      <c r="A34" s="1" t="s">
        <v>13</v>
      </c>
      <c r="B34" s="6" t="s">
        <v>14</v>
      </c>
      <c r="C34" s="1" t="s">
        <v>20</v>
      </c>
      <c r="D34" s="1" t="s">
        <v>15</v>
      </c>
      <c r="E34" s="3">
        <v>352019420989257</v>
      </c>
      <c r="F34" s="1"/>
      <c r="G34" s="5">
        <v>45524</v>
      </c>
      <c r="H34" s="4">
        <v>400</v>
      </c>
      <c r="I34" s="4"/>
      <c r="J34" s="5">
        <v>45577</v>
      </c>
      <c r="K34" s="4">
        <v>450</v>
      </c>
      <c r="L34" s="8">
        <v>50</v>
      </c>
      <c r="M34" s="6" t="s">
        <v>19</v>
      </c>
    </row>
    <row r="35" spans="1:13" x14ac:dyDescent="0.3">
      <c r="A35" s="1" t="s">
        <v>13</v>
      </c>
      <c r="B35" s="6" t="s">
        <v>14</v>
      </c>
      <c r="C35" s="1" t="s">
        <v>97</v>
      </c>
      <c r="D35" s="1" t="s">
        <v>15</v>
      </c>
      <c r="E35" s="3">
        <v>351562314418538</v>
      </c>
      <c r="F35" s="1" t="s">
        <v>43</v>
      </c>
      <c r="G35" s="5">
        <v>45575</v>
      </c>
      <c r="H35" s="4">
        <v>350</v>
      </c>
      <c r="I35" s="4">
        <v>29</v>
      </c>
      <c r="J35" s="5">
        <v>45577</v>
      </c>
      <c r="K35" s="4">
        <v>450</v>
      </c>
      <c r="L35" s="8">
        <v>71</v>
      </c>
      <c r="M35" s="6"/>
    </row>
    <row r="36" spans="1:13" x14ac:dyDescent="0.3">
      <c r="A36" s="1" t="s">
        <v>16</v>
      </c>
      <c r="B36" s="6" t="s">
        <v>88</v>
      </c>
      <c r="C36" s="1" t="s">
        <v>18</v>
      </c>
      <c r="D36" s="1" t="s">
        <v>15</v>
      </c>
      <c r="E36" s="3">
        <v>353621629848702</v>
      </c>
      <c r="F36" s="1"/>
      <c r="G36" s="5">
        <v>45577</v>
      </c>
      <c r="H36" s="4">
        <v>400</v>
      </c>
      <c r="I36" s="4"/>
      <c r="J36" s="5">
        <v>45578</v>
      </c>
      <c r="K36" s="4">
        <v>450</v>
      </c>
      <c r="L36" s="8">
        <v>50</v>
      </c>
      <c r="M36" s="6" t="s">
        <v>158</v>
      </c>
    </row>
    <row r="37" spans="1:13" x14ac:dyDescent="0.3">
      <c r="A37" s="1" t="s">
        <v>16</v>
      </c>
      <c r="B37" s="6" t="s">
        <v>32</v>
      </c>
      <c r="C37" s="1" t="s">
        <v>26</v>
      </c>
      <c r="D37" s="1" t="s">
        <v>22</v>
      </c>
      <c r="E37" s="3">
        <v>355746609402085</v>
      </c>
      <c r="F37" s="1"/>
      <c r="G37" s="5">
        <v>45578</v>
      </c>
      <c r="H37" s="4">
        <v>750</v>
      </c>
      <c r="I37" s="4"/>
      <c r="J37" s="5">
        <v>45578</v>
      </c>
      <c r="K37" s="4">
        <v>800</v>
      </c>
      <c r="L37" s="8">
        <v>50</v>
      </c>
      <c r="M37" s="6" t="s">
        <v>168</v>
      </c>
    </row>
    <row r="38" spans="1:13" x14ac:dyDescent="0.3">
      <c r="A38" s="1" t="s">
        <v>16</v>
      </c>
      <c r="B38" s="6" t="s">
        <v>77</v>
      </c>
      <c r="C38" s="1" t="s">
        <v>35</v>
      </c>
      <c r="D38" s="1" t="s">
        <v>22</v>
      </c>
      <c r="E38" s="3">
        <v>351942132091214</v>
      </c>
      <c r="F38" s="1"/>
      <c r="G38" s="5">
        <v>45577</v>
      </c>
      <c r="H38" s="4">
        <v>620</v>
      </c>
      <c r="I38" s="4"/>
      <c r="J38" s="5">
        <v>45579</v>
      </c>
      <c r="K38" s="4">
        <v>700</v>
      </c>
      <c r="L38" s="8">
        <v>80</v>
      </c>
      <c r="M38" s="6" t="s">
        <v>164</v>
      </c>
    </row>
    <row r="39" spans="1:13" x14ac:dyDescent="0.3">
      <c r="A39" s="1" t="s">
        <v>16</v>
      </c>
      <c r="B39" s="6" t="s">
        <v>173</v>
      </c>
      <c r="C39" s="1" t="s">
        <v>21</v>
      </c>
      <c r="D39" s="1" t="s">
        <v>15</v>
      </c>
      <c r="E39" s="3">
        <v>354854094037050</v>
      </c>
      <c r="F39" s="1" t="s">
        <v>174</v>
      </c>
      <c r="G39" s="5">
        <v>45578</v>
      </c>
      <c r="H39" s="4">
        <v>100</v>
      </c>
      <c r="I39" s="4"/>
      <c r="J39" s="5">
        <v>45579</v>
      </c>
      <c r="K39" s="4">
        <v>130</v>
      </c>
      <c r="L39" s="8">
        <v>30</v>
      </c>
      <c r="M39" s="6" t="s">
        <v>175</v>
      </c>
    </row>
    <row r="40" spans="1:13" x14ac:dyDescent="0.3">
      <c r="A40" s="1" t="s">
        <v>16</v>
      </c>
      <c r="B40" s="6" t="s">
        <v>25</v>
      </c>
      <c r="C40" s="1" t="s">
        <v>26</v>
      </c>
      <c r="D40" s="1" t="s">
        <v>22</v>
      </c>
      <c r="E40" s="3">
        <v>357370829804463</v>
      </c>
      <c r="F40" s="1" t="s">
        <v>27</v>
      </c>
      <c r="G40" s="5">
        <v>45572</v>
      </c>
      <c r="H40" s="4">
        <v>870</v>
      </c>
      <c r="I40" s="4"/>
      <c r="J40" s="5">
        <v>45579</v>
      </c>
      <c r="K40" s="4">
        <v>950</v>
      </c>
      <c r="L40" s="8">
        <v>80</v>
      </c>
      <c r="M40" s="6" t="s">
        <v>28</v>
      </c>
    </row>
    <row r="41" spans="1:13" x14ac:dyDescent="0.3">
      <c r="A41" s="1" t="s">
        <v>16</v>
      </c>
      <c r="B41" s="6" t="s">
        <v>68</v>
      </c>
      <c r="C41" s="1" t="s">
        <v>45</v>
      </c>
      <c r="D41" s="1" t="s">
        <v>15</v>
      </c>
      <c r="E41" s="3">
        <v>358677233245672</v>
      </c>
      <c r="F41" s="1"/>
      <c r="G41" s="5">
        <v>45579</v>
      </c>
      <c r="H41" s="4">
        <v>600</v>
      </c>
      <c r="I41" s="4"/>
      <c r="J41" s="5">
        <v>45580</v>
      </c>
      <c r="K41" s="4">
        <v>650</v>
      </c>
      <c r="L41" s="8">
        <v>50</v>
      </c>
      <c r="M41" s="6" t="s">
        <v>191</v>
      </c>
    </row>
    <row r="42" spans="1:13" x14ac:dyDescent="0.3">
      <c r="A42" s="1" t="s">
        <v>16</v>
      </c>
      <c r="B42" s="6" t="s">
        <v>189</v>
      </c>
      <c r="C42" s="1" t="s">
        <v>21</v>
      </c>
      <c r="D42" s="1" t="s">
        <v>22</v>
      </c>
      <c r="E42" s="3">
        <v>350387754859772</v>
      </c>
      <c r="F42" s="1"/>
      <c r="G42" s="5">
        <v>45579</v>
      </c>
      <c r="H42" s="4">
        <v>650</v>
      </c>
      <c r="I42" s="4"/>
      <c r="J42" s="5">
        <v>45580</v>
      </c>
      <c r="K42" s="4">
        <v>700</v>
      </c>
      <c r="L42" s="8">
        <v>50</v>
      </c>
      <c r="M42" s="6" t="s">
        <v>190</v>
      </c>
    </row>
    <row r="43" spans="1:13" x14ac:dyDescent="0.3">
      <c r="A43" s="1" t="s">
        <v>16</v>
      </c>
      <c r="B43" s="6" t="s">
        <v>157</v>
      </c>
      <c r="C43" s="1" t="s">
        <v>21</v>
      </c>
      <c r="D43" s="1" t="s">
        <v>15</v>
      </c>
      <c r="E43" s="3">
        <v>351880154334080</v>
      </c>
      <c r="F43" s="1"/>
      <c r="G43" s="5">
        <v>45576</v>
      </c>
      <c r="H43" s="4">
        <v>340</v>
      </c>
      <c r="I43" s="4">
        <v>9</v>
      </c>
      <c r="J43" s="5">
        <v>45578</v>
      </c>
      <c r="K43" s="4">
        <v>410</v>
      </c>
      <c r="L43" s="8">
        <v>61</v>
      </c>
      <c r="M43" s="6" t="s">
        <v>156</v>
      </c>
    </row>
    <row r="44" spans="1:13" x14ac:dyDescent="0.3">
      <c r="A44" s="1" t="s">
        <v>13</v>
      </c>
      <c r="B44" s="6" t="s">
        <v>125</v>
      </c>
      <c r="C44" s="1" t="s">
        <v>21</v>
      </c>
      <c r="D44" s="1" t="s">
        <v>15</v>
      </c>
      <c r="E44" s="3">
        <v>352650110344195</v>
      </c>
      <c r="F44" s="1"/>
      <c r="G44" s="5">
        <v>45571</v>
      </c>
      <c r="H44" s="4">
        <v>265</v>
      </c>
      <c r="I44" s="4">
        <v>13</v>
      </c>
      <c r="J44" s="5">
        <v>45579</v>
      </c>
      <c r="K44" s="4">
        <v>300</v>
      </c>
      <c r="L44" s="8">
        <v>22</v>
      </c>
      <c r="M44" s="6" t="s">
        <v>19</v>
      </c>
    </row>
    <row r="45" spans="1:13" x14ac:dyDescent="0.3">
      <c r="A45" s="1" t="s">
        <v>16</v>
      </c>
      <c r="B45" s="6" t="s">
        <v>39</v>
      </c>
      <c r="C45" s="1" t="s">
        <v>35</v>
      </c>
      <c r="D45" s="1" t="s">
        <v>15</v>
      </c>
      <c r="E45" s="3">
        <v>358392249735852</v>
      </c>
      <c r="F45" s="1"/>
      <c r="G45" s="5">
        <v>45562</v>
      </c>
      <c r="H45" s="4">
        <v>730</v>
      </c>
      <c r="I45" s="4">
        <v>12</v>
      </c>
      <c r="J45" s="5">
        <v>45579</v>
      </c>
      <c r="K45" s="4">
        <v>770</v>
      </c>
      <c r="L45" s="8">
        <v>28</v>
      </c>
      <c r="M45" s="6" t="s">
        <v>29</v>
      </c>
    </row>
    <row r="46" spans="1:13" x14ac:dyDescent="0.3">
      <c r="A46" s="1" t="s">
        <v>13</v>
      </c>
      <c r="B46" s="6" t="s">
        <v>125</v>
      </c>
      <c r="C46" s="1" t="s">
        <v>123</v>
      </c>
      <c r="D46" s="1" t="s">
        <v>15</v>
      </c>
      <c r="E46" s="3">
        <v>352649110754007</v>
      </c>
      <c r="F46" s="1"/>
      <c r="G46" s="5">
        <v>45571</v>
      </c>
      <c r="H46" s="4">
        <v>265</v>
      </c>
      <c r="I46" s="4">
        <v>13</v>
      </c>
      <c r="J46" s="5">
        <v>45580</v>
      </c>
      <c r="K46" s="4">
        <v>310</v>
      </c>
      <c r="L46" s="8">
        <v>32</v>
      </c>
      <c r="M46" s="6" t="s">
        <v>19</v>
      </c>
    </row>
    <row r="47" spans="1:13" x14ac:dyDescent="0.3">
      <c r="A47" s="1" t="s">
        <v>16</v>
      </c>
      <c r="B47" s="6" t="s">
        <v>109</v>
      </c>
      <c r="C47" s="1" t="s">
        <v>45</v>
      </c>
      <c r="D47" s="1" t="s">
        <v>15</v>
      </c>
      <c r="E47" s="3">
        <v>357237096851602</v>
      </c>
      <c r="F47" s="1"/>
      <c r="G47" s="5">
        <v>45578</v>
      </c>
      <c r="H47" s="4">
        <v>140</v>
      </c>
      <c r="I47" s="4"/>
      <c r="J47" s="5">
        <v>45580</v>
      </c>
      <c r="K47" s="4">
        <v>189</v>
      </c>
      <c r="L47" s="8">
        <v>49</v>
      </c>
      <c r="M47" s="6">
        <v>958152804</v>
      </c>
    </row>
    <row r="48" spans="1:13" x14ac:dyDescent="0.3">
      <c r="A48" s="1" t="s">
        <v>16</v>
      </c>
      <c r="B48" s="6" t="s">
        <v>96</v>
      </c>
      <c r="C48" s="1" t="s">
        <v>97</v>
      </c>
      <c r="D48" s="1" t="s">
        <v>15</v>
      </c>
      <c r="E48" s="3">
        <v>353885100180667</v>
      </c>
      <c r="F48" s="1"/>
      <c r="G48" s="5">
        <v>45566</v>
      </c>
      <c r="H48" s="4">
        <v>235</v>
      </c>
      <c r="I48" s="4">
        <v>12</v>
      </c>
      <c r="J48" s="5">
        <v>45580</v>
      </c>
      <c r="K48" s="4">
        <v>300</v>
      </c>
      <c r="L48" s="8">
        <v>53</v>
      </c>
      <c r="M48" s="6" t="s">
        <v>100</v>
      </c>
    </row>
    <row r="49" spans="1:13" x14ac:dyDescent="0.3">
      <c r="A49" s="1" t="s">
        <v>16</v>
      </c>
      <c r="B49" s="6" t="s">
        <v>68</v>
      </c>
      <c r="C49" s="1" t="s">
        <v>65</v>
      </c>
      <c r="D49" s="1" t="s">
        <v>22</v>
      </c>
      <c r="E49" s="3">
        <v>352396470110103</v>
      </c>
      <c r="F49" s="1"/>
      <c r="G49" s="5">
        <v>45572</v>
      </c>
      <c r="H49" s="4">
        <v>600</v>
      </c>
      <c r="I49" s="4"/>
      <c r="J49" s="5">
        <v>45580</v>
      </c>
      <c r="K49" s="4">
        <v>680</v>
      </c>
      <c r="L49" s="8">
        <v>80</v>
      </c>
      <c r="M49" s="6" t="s">
        <v>71</v>
      </c>
    </row>
    <row r="50" spans="1:13" x14ac:dyDescent="0.3">
      <c r="A50" s="1" t="s">
        <v>16</v>
      </c>
      <c r="B50" s="6" t="s">
        <v>178</v>
      </c>
      <c r="C50" s="1" t="s">
        <v>45</v>
      </c>
      <c r="D50" s="1" t="s">
        <v>22</v>
      </c>
      <c r="E50" s="3">
        <v>35827103739669</v>
      </c>
      <c r="F50" s="1" t="s">
        <v>61</v>
      </c>
      <c r="G50" s="5">
        <v>45578</v>
      </c>
      <c r="H50" s="4">
        <v>250</v>
      </c>
      <c r="I50" s="4"/>
      <c r="J50" s="5">
        <v>45580</v>
      </c>
      <c r="K50" s="4">
        <v>350</v>
      </c>
      <c r="L50" s="8">
        <v>100</v>
      </c>
      <c r="M50" s="6" t="s">
        <v>172</v>
      </c>
    </row>
    <row r="51" spans="1:13" x14ac:dyDescent="0.3">
      <c r="A51" s="1" t="s">
        <v>13</v>
      </c>
      <c r="B51" s="6" t="s">
        <v>117</v>
      </c>
      <c r="C51" s="1" t="s">
        <v>97</v>
      </c>
      <c r="D51" s="1" t="s">
        <v>15</v>
      </c>
      <c r="E51" s="3">
        <v>351424773632531</v>
      </c>
      <c r="F51" s="1"/>
      <c r="G51" s="5">
        <v>45579</v>
      </c>
      <c r="H51" s="4">
        <v>270</v>
      </c>
      <c r="I51" s="4"/>
      <c r="J51" s="5">
        <v>45580</v>
      </c>
      <c r="K51" s="4">
        <v>310</v>
      </c>
      <c r="L51" s="8">
        <v>40</v>
      </c>
      <c r="M51" s="6" t="s">
        <v>183</v>
      </c>
    </row>
    <row r="52" spans="1:13" x14ac:dyDescent="0.3">
      <c r="A52" s="1" t="s">
        <v>13</v>
      </c>
      <c r="B52" s="6" t="s">
        <v>197</v>
      </c>
      <c r="C52" s="1" t="s">
        <v>65</v>
      </c>
      <c r="D52" s="1" t="s">
        <v>22</v>
      </c>
      <c r="E52" s="3">
        <v>353881483967432</v>
      </c>
      <c r="F52" s="1"/>
      <c r="G52" s="5">
        <v>45581</v>
      </c>
      <c r="H52" s="4">
        <v>78</v>
      </c>
      <c r="I52" s="4"/>
      <c r="J52" s="5">
        <v>45581</v>
      </c>
      <c r="K52" s="4">
        <v>132</v>
      </c>
      <c r="L52" s="8">
        <v>54</v>
      </c>
      <c r="M52" s="6" t="s">
        <v>198</v>
      </c>
    </row>
    <row r="53" spans="1:13" x14ac:dyDescent="0.3">
      <c r="A53" s="1" t="s">
        <v>13</v>
      </c>
      <c r="B53" s="6" t="s">
        <v>14</v>
      </c>
      <c r="C53" s="1" t="s">
        <v>21</v>
      </c>
      <c r="D53" s="1" t="s">
        <v>15</v>
      </c>
      <c r="E53" s="3">
        <v>352019422350714</v>
      </c>
      <c r="F53" s="1"/>
      <c r="G53" s="5">
        <v>45580</v>
      </c>
      <c r="H53" s="4">
        <v>415</v>
      </c>
      <c r="I53" s="4">
        <v>13</v>
      </c>
      <c r="J53" s="5">
        <v>45581</v>
      </c>
      <c r="K53" s="4">
        <v>470</v>
      </c>
      <c r="L53" s="8">
        <v>42</v>
      </c>
      <c r="M53" s="6" t="s">
        <v>147</v>
      </c>
    </row>
    <row r="54" spans="1:13" x14ac:dyDescent="0.3">
      <c r="A54" s="1" t="s">
        <v>13</v>
      </c>
      <c r="B54" s="6" t="s">
        <v>124</v>
      </c>
      <c r="C54" s="1" t="s">
        <v>58</v>
      </c>
      <c r="D54" s="1" t="s">
        <v>15</v>
      </c>
      <c r="E54" s="3">
        <v>355858111254092</v>
      </c>
      <c r="F54" s="1"/>
      <c r="G54" s="5">
        <v>45424</v>
      </c>
      <c r="H54" s="4">
        <v>270</v>
      </c>
      <c r="I54" s="4">
        <v>13</v>
      </c>
      <c r="J54" s="5">
        <v>45581</v>
      </c>
      <c r="K54" s="4">
        <v>335</v>
      </c>
      <c r="L54" s="8">
        <v>52</v>
      </c>
      <c r="M54" s="6"/>
    </row>
    <row r="55" spans="1:13" x14ac:dyDescent="0.3">
      <c r="A55" s="1" t="s">
        <v>16</v>
      </c>
      <c r="B55" s="6" t="s">
        <v>148</v>
      </c>
      <c r="C55" s="1" t="s">
        <v>65</v>
      </c>
      <c r="D55" s="1" t="s">
        <v>15</v>
      </c>
      <c r="E55" s="3">
        <v>356697114923447</v>
      </c>
      <c r="F55" s="1"/>
      <c r="G55" s="5">
        <v>45576</v>
      </c>
      <c r="H55" s="4">
        <v>340</v>
      </c>
      <c r="I55" s="4">
        <v>9</v>
      </c>
      <c r="J55" s="5"/>
      <c r="K55" s="4">
        <v>394</v>
      </c>
      <c r="L55" s="8">
        <v>45</v>
      </c>
      <c r="M55" s="6" t="s">
        <v>156</v>
      </c>
    </row>
    <row r="56" spans="1:13" x14ac:dyDescent="0.3">
      <c r="A56" s="1" t="s">
        <v>13</v>
      </c>
      <c r="B56" s="6" t="s">
        <v>117</v>
      </c>
      <c r="C56" s="1" t="s">
        <v>97</v>
      </c>
      <c r="D56" s="1" t="s">
        <v>15</v>
      </c>
      <c r="E56" s="3">
        <v>358506400444158</v>
      </c>
      <c r="F56" s="1"/>
      <c r="G56" s="5">
        <v>45571</v>
      </c>
      <c r="H56" s="4">
        <v>255</v>
      </c>
      <c r="I56" s="4">
        <v>13</v>
      </c>
      <c r="J56" s="5">
        <v>45581</v>
      </c>
      <c r="K56" s="4">
        <v>300</v>
      </c>
      <c r="L56" s="8">
        <v>32</v>
      </c>
      <c r="M56" s="6" t="s">
        <v>19</v>
      </c>
    </row>
    <row r="57" spans="1:13" x14ac:dyDescent="0.3">
      <c r="A57" s="1" t="s">
        <v>16</v>
      </c>
      <c r="B57" s="6" t="s">
        <v>34</v>
      </c>
      <c r="C57" s="1" t="s">
        <v>97</v>
      </c>
      <c r="D57" s="1" t="s">
        <v>22</v>
      </c>
      <c r="E57" s="3">
        <v>357173344022599</v>
      </c>
      <c r="F57" s="1"/>
      <c r="G57" s="5">
        <v>45571</v>
      </c>
      <c r="H57" s="4">
        <v>750</v>
      </c>
      <c r="I57" s="4"/>
      <c r="J57" s="5">
        <v>45581</v>
      </c>
      <c r="K57" s="4">
        <v>810</v>
      </c>
      <c r="L57" s="8">
        <v>60</v>
      </c>
      <c r="M57" s="6" t="s">
        <v>37</v>
      </c>
    </row>
    <row r="58" spans="1:13" x14ac:dyDescent="0.3">
      <c r="A58" s="1" t="s">
        <v>16</v>
      </c>
      <c r="B58" s="6" t="s">
        <v>81</v>
      </c>
      <c r="C58" s="1" t="s">
        <v>65</v>
      </c>
      <c r="D58" s="1" t="s">
        <v>22</v>
      </c>
      <c r="E58" s="3">
        <v>352544474689610</v>
      </c>
      <c r="F58" s="1"/>
      <c r="G58" s="5">
        <v>45568</v>
      </c>
      <c r="H58" s="4">
        <v>535</v>
      </c>
      <c r="I58" s="4"/>
      <c r="J58" s="5">
        <v>45581</v>
      </c>
      <c r="K58" s="4">
        <v>575</v>
      </c>
      <c r="L58" s="8">
        <v>40</v>
      </c>
      <c r="M58" s="6" t="s">
        <v>82</v>
      </c>
    </row>
    <row r="59" spans="1:13" x14ac:dyDescent="0.3">
      <c r="A59" s="1" t="s">
        <v>16</v>
      </c>
      <c r="B59" s="6" t="s">
        <v>88</v>
      </c>
      <c r="C59" s="1" t="s">
        <v>97</v>
      </c>
      <c r="D59" s="1" t="s">
        <v>15</v>
      </c>
      <c r="E59" s="3">
        <v>352355500481355</v>
      </c>
      <c r="F59" s="1"/>
      <c r="G59" s="5">
        <v>45551</v>
      </c>
      <c r="H59" s="4">
        <v>390</v>
      </c>
      <c r="I59" s="4"/>
      <c r="J59" s="5">
        <v>45581</v>
      </c>
      <c r="K59" s="4">
        <v>420</v>
      </c>
      <c r="L59" s="8">
        <v>30</v>
      </c>
      <c r="M59" s="6" t="s">
        <v>130</v>
      </c>
    </row>
    <row r="60" spans="1:13" x14ac:dyDescent="0.3">
      <c r="A60" s="1" t="s">
        <v>16</v>
      </c>
      <c r="B60" s="6" t="s">
        <v>157</v>
      </c>
      <c r="C60" s="1" t="s">
        <v>21</v>
      </c>
      <c r="D60" s="1" t="s">
        <v>15</v>
      </c>
      <c r="E60" s="3">
        <v>351880151733037</v>
      </c>
      <c r="F60" s="1"/>
      <c r="G60" s="5">
        <v>45576</v>
      </c>
      <c r="H60" s="4">
        <v>340</v>
      </c>
      <c r="I60" s="4">
        <v>9</v>
      </c>
      <c r="J60" s="5">
        <v>45581</v>
      </c>
      <c r="K60" s="4">
        <v>420</v>
      </c>
      <c r="L60" s="8">
        <v>71</v>
      </c>
      <c r="M60" s="6" t="s">
        <v>156</v>
      </c>
    </row>
    <row r="61" spans="1:13" x14ac:dyDescent="0.3">
      <c r="A61" s="1" t="s">
        <v>16</v>
      </c>
      <c r="B61" s="6" t="s">
        <v>25</v>
      </c>
      <c r="C61" s="1" t="s">
        <v>97</v>
      </c>
      <c r="D61" s="1" t="s">
        <v>22</v>
      </c>
      <c r="E61" s="3">
        <v>351073876922735</v>
      </c>
      <c r="F61" s="1"/>
      <c r="G61" s="5">
        <v>45578</v>
      </c>
      <c r="H61" s="4">
        <v>952</v>
      </c>
      <c r="I61" s="4"/>
      <c r="J61" s="5">
        <v>45581</v>
      </c>
      <c r="K61" s="4">
        <v>1015</v>
      </c>
      <c r="L61" s="8">
        <v>63</v>
      </c>
      <c r="M61" s="6">
        <v>996002061</v>
      </c>
    </row>
    <row r="62" spans="1:13" x14ac:dyDescent="0.3">
      <c r="A62" s="1" t="s">
        <v>16</v>
      </c>
      <c r="B62" s="6" t="s">
        <v>106</v>
      </c>
      <c r="C62" s="1" t="s">
        <v>97</v>
      </c>
      <c r="D62" s="1" t="s">
        <v>15</v>
      </c>
      <c r="E62" s="3">
        <v>356568105590034</v>
      </c>
      <c r="F62" s="1"/>
      <c r="G62" s="5">
        <v>45577</v>
      </c>
      <c r="H62" s="4">
        <v>220</v>
      </c>
      <c r="I62" s="4"/>
      <c r="J62" s="5">
        <v>45582</v>
      </c>
      <c r="K62" s="4">
        <v>250</v>
      </c>
      <c r="L62" s="8">
        <v>30</v>
      </c>
      <c r="M62" s="6" t="s">
        <v>19</v>
      </c>
    </row>
    <row r="63" spans="1:13" x14ac:dyDescent="0.3">
      <c r="A63" s="1" t="s">
        <v>142</v>
      </c>
      <c r="B63" s="6" t="s">
        <v>176</v>
      </c>
      <c r="C63" s="1" t="s">
        <v>97</v>
      </c>
      <c r="D63" s="1" t="s">
        <v>15</v>
      </c>
      <c r="E63" s="3">
        <v>868909059660509</v>
      </c>
      <c r="F63" s="1"/>
      <c r="G63" s="5">
        <v>45578</v>
      </c>
      <c r="H63" s="4">
        <v>40</v>
      </c>
      <c r="I63" s="4"/>
      <c r="J63" s="5">
        <v>45582</v>
      </c>
      <c r="K63" s="4">
        <v>63</v>
      </c>
      <c r="L63" s="8">
        <v>23</v>
      </c>
      <c r="M63" s="6" t="s">
        <v>177</v>
      </c>
    </row>
    <row r="64" spans="1:13" x14ac:dyDescent="0.3">
      <c r="A64" s="1" t="s">
        <v>16</v>
      </c>
      <c r="B64" s="6" t="s">
        <v>25</v>
      </c>
      <c r="C64" s="1" t="s">
        <v>97</v>
      </c>
      <c r="D64" s="1" t="s">
        <v>22</v>
      </c>
      <c r="E64" s="3">
        <v>355458124179723</v>
      </c>
      <c r="F64" s="1"/>
      <c r="G64" s="5">
        <v>45575</v>
      </c>
      <c r="H64" s="4">
        <v>1010</v>
      </c>
      <c r="I64" s="4"/>
      <c r="J64" s="5">
        <v>45582</v>
      </c>
      <c r="K64" s="4">
        <v>1049</v>
      </c>
      <c r="L64" s="8">
        <v>39</v>
      </c>
      <c r="M64" s="6" t="s">
        <v>153</v>
      </c>
    </row>
    <row r="65" spans="1:13" x14ac:dyDescent="0.3">
      <c r="A65" s="1" t="s">
        <v>16</v>
      </c>
      <c r="B65" s="6" t="s">
        <v>160</v>
      </c>
      <c r="C65" s="1" t="s">
        <v>97</v>
      </c>
      <c r="D65" s="1" t="s">
        <v>22</v>
      </c>
      <c r="E65" s="3">
        <v>358244950470650</v>
      </c>
      <c r="F65" s="1"/>
      <c r="G65" s="5">
        <v>45575</v>
      </c>
      <c r="H65" s="4">
        <v>1210</v>
      </c>
      <c r="I65" s="4"/>
      <c r="J65" s="5">
        <v>45582</v>
      </c>
      <c r="K65" s="4">
        <v>1230</v>
      </c>
      <c r="L65" s="8">
        <v>20</v>
      </c>
      <c r="M65" s="6" t="s">
        <v>147</v>
      </c>
    </row>
    <row r="66" spans="1:13" x14ac:dyDescent="0.3">
      <c r="A66" s="1" t="s">
        <v>16</v>
      </c>
      <c r="B66" s="6" t="s">
        <v>88</v>
      </c>
      <c r="C66" s="1" t="s">
        <v>97</v>
      </c>
      <c r="D66" s="1" t="s">
        <v>22</v>
      </c>
      <c r="E66" s="3">
        <v>352180445164241</v>
      </c>
      <c r="F66" s="1" t="s">
        <v>66</v>
      </c>
      <c r="G66" s="5">
        <v>45578</v>
      </c>
      <c r="H66" s="4">
        <v>310</v>
      </c>
      <c r="I66" s="4"/>
      <c r="J66" s="5">
        <v>45584</v>
      </c>
      <c r="K66" s="4">
        <v>430</v>
      </c>
      <c r="L66" s="8">
        <v>120</v>
      </c>
      <c r="M66" s="6" t="s">
        <v>163</v>
      </c>
    </row>
    <row r="67" spans="1:13" x14ac:dyDescent="0.3">
      <c r="A67" s="1" t="s">
        <v>13</v>
      </c>
      <c r="B67" s="6" t="s">
        <v>117</v>
      </c>
      <c r="C67" s="1" t="s">
        <v>97</v>
      </c>
      <c r="D67" s="1" t="s">
        <v>15</v>
      </c>
      <c r="E67" s="3">
        <v>352556604511597</v>
      </c>
      <c r="F67" s="1"/>
      <c r="G67" s="5">
        <v>45576</v>
      </c>
      <c r="H67" s="4">
        <v>250</v>
      </c>
      <c r="I67" s="4"/>
      <c r="J67" s="5">
        <v>45584</v>
      </c>
      <c r="K67" s="4">
        <v>320</v>
      </c>
      <c r="L67" s="8">
        <v>70</v>
      </c>
      <c r="M67" s="6" t="s">
        <v>155</v>
      </c>
    </row>
    <row r="68" spans="1:13" x14ac:dyDescent="0.3">
      <c r="A68" s="1" t="s">
        <v>16</v>
      </c>
      <c r="B68" s="6" t="s">
        <v>32</v>
      </c>
      <c r="C68" s="1" t="s">
        <v>97</v>
      </c>
      <c r="D68" s="1" t="s">
        <v>22</v>
      </c>
      <c r="E68" s="3">
        <v>351080476751026</v>
      </c>
      <c r="F68" s="1"/>
      <c r="G68" s="5">
        <v>45582</v>
      </c>
      <c r="H68" s="4">
        <v>710</v>
      </c>
      <c r="I68" s="4"/>
      <c r="J68" s="5">
        <v>45584</v>
      </c>
      <c r="K68" s="4">
        <v>800</v>
      </c>
      <c r="L68" s="8">
        <v>90</v>
      </c>
      <c r="M68" s="6" t="s">
        <v>205</v>
      </c>
    </row>
    <row r="69" spans="1:13" x14ac:dyDescent="0.3">
      <c r="A69" s="1" t="s">
        <v>16</v>
      </c>
      <c r="B69" s="6" t="s">
        <v>165</v>
      </c>
      <c r="C69" s="1" t="s">
        <v>97</v>
      </c>
      <c r="D69" s="1" t="s">
        <v>15</v>
      </c>
      <c r="E69" s="3">
        <v>353107101670368</v>
      </c>
      <c r="F69" s="1" t="s">
        <v>170</v>
      </c>
      <c r="G69" s="5"/>
      <c r="H69" s="4">
        <v>108</v>
      </c>
      <c r="I69" s="4"/>
      <c r="J69" s="5">
        <v>45584</v>
      </c>
      <c r="K69" s="4">
        <v>170</v>
      </c>
      <c r="L69" s="8">
        <v>62</v>
      </c>
      <c r="M69" s="6"/>
    </row>
    <row r="70" spans="1:13" x14ac:dyDescent="0.3">
      <c r="A70" s="1" t="s">
        <v>16</v>
      </c>
      <c r="B70" s="6" t="s">
        <v>34</v>
      </c>
      <c r="C70" s="1" t="s">
        <v>97</v>
      </c>
      <c r="D70" s="1" t="s">
        <v>15</v>
      </c>
      <c r="E70" s="3">
        <v>352632929259244</v>
      </c>
      <c r="F70" s="1"/>
      <c r="G70" s="5">
        <v>45578</v>
      </c>
      <c r="H70" s="4">
        <v>710</v>
      </c>
      <c r="I70" s="4"/>
      <c r="J70" s="5">
        <v>45584</v>
      </c>
      <c r="K70" s="4">
        <v>800</v>
      </c>
      <c r="L70" s="8">
        <v>90</v>
      </c>
      <c r="M70" s="6"/>
    </row>
    <row r="71" spans="1:13" x14ac:dyDescent="0.3">
      <c r="A71" s="1" t="s">
        <v>16</v>
      </c>
      <c r="B71" s="6" t="s">
        <v>104</v>
      </c>
      <c r="C71" s="1" t="s">
        <v>97</v>
      </c>
      <c r="D71" s="1" t="s">
        <v>22</v>
      </c>
      <c r="E71" s="3">
        <v>7226</v>
      </c>
      <c r="F71" s="1" t="s">
        <v>66</v>
      </c>
      <c r="G71" s="5">
        <v>45579</v>
      </c>
      <c r="H71" s="4">
        <v>250</v>
      </c>
      <c r="I71" s="4">
        <v>61</v>
      </c>
      <c r="J71" s="5">
        <v>45584</v>
      </c>
      <c r="K71" s="4">
        <v>400</v>
      </c>
      <c r="L71" s="8">
        <v>89</v>
      </c>
      <c r="M71" s="6" t="s">
        <v>185</v>
      </c>
    </row>
    <row r="72" spans="1:13" x14ac:dyDescent="0.3">
      <c r="A72" s="1" t="s">
        <v>16</v>
      </c>
      <c r="B72" s="6" t="s">
        <v>68</v>
      </c>
      <c r="C72" s="1" t="s">
        <v>97</v>
      </c>
      <c r="D72" s="1" t="s">
        <v>15</v>
      </c>
      <c r="E72" s="3">
        <v>359811264287191</v>
      </c>
      <c r="F72" s="1"/>
      <c r="G72" s="5">
        <v>45564</v>
      </c>
      <c r="H72" s="4">
        <v>550</v>
      </c>
      <c r="I72" s="4"/>
      <c r="J72" s="5">
        <v>45585</v>
      </c>
      <c r="K72" s="4">
        <v>620</v>
      </c>
      <c r="L72" s="8">
        <v>70</v>
      </c>
      <c r="M72" s="6"/>
    </row>
    <row r="73" spans="1:13" x14ac:dyDescent="0.3">
      <c r="A73" s="1" t="s">
        <v>16</v>
      </c>
      <c r="B73" s="6" t="s">
        <v>111</v>
      </c>
      <c r="C73" s="1" t="s">
        <v>97</v>
      </c>
      <c r="D73" s="1" t="s">
        <v>15</v>
      </c>
      <c r="E73" s="3">
        <v>359155246431182</v>
      </c>
      <c r="F73" s="1"/>
      <c r="G73" s="5">
        <v>45544</v>
      </c>
      <c r="H73" s="4">
        <v>280</v>
      </c>
      <c r="I73" s="4"/>
      <c r="J73" s="5">
        <v>45585</v>
      </c>
      <c r="K73" s="4">
        <v>319</v>
      </c>
      <c r="L73" s="8">
        <v>39</v>
      </c>
      <c r="M73" s="6" t="s">
        <v>112</v>
      </c>
    </row>
    <row r="74" spans="1:13" x14ac:dyDescent="0.3">
      <c r="A74" s="1" t="s">
        <v>13</v>
      </c>
      <c r="B74" s="6" t="s">
        <v>216</v>
      </c>
      <c r="C74" s="1" t="s">
        <v>97</v>
      </c>
      <c r="D74" s="1" t="s">
        <v>15</v>
      </c>
      <c r="E74" s="3">
        <v>359142812240437</v>
      </c>
      <c r="F74" s="1"/>
      <c r="G74" s="5">
        <v>45584</v>
      </c>
      <c r="H74" s="4">
        <v>140</v>
      </c>
      <c r="I74" s="4">
        <v>12</v>
      </c>
      <c r="J74" s="5">
        <v>45585</v>
      </c>
      <c r="K74" s="4">
        <v>216</v>
      </c>
      <c r="L74" s="8">
        <v>64</v>
      </c>
      <c r="M74" s="6" t="s">
        <v>215</v>
      </c>
    </row>
    <row r="75" spans="1:13" x14ac:dyDescent="0.3">
      <c r="A75" s="1" t="s">
        <v>13</v>
      </c>
      <c r="B75" s="6" t="s">
        <v>218</v>
      </c>
      <c r="C75" s="1" t="s">
        <v>97</v>
      </c>
      <c r="D75" s="1" t="s">
        <v>15</v>
      </c>
      <c r="E75" s="3">
        <v>350970303672091</v>
      </c>
      <c r="F75" s="1"/>
      <c r="G75" s="5">
        <v>45584</v>
      </c>
      <c r="H75" s="4">
        <v>39</v>
      </c>
      <c r="I75" s="4"/>
      <c r="J75" s="5">
        <v>45585</v>
      </c>
      <c r="K75" s="4">
        <v>62</v>
      </c>
      <c r="L75" s="8">
        <v>23</v>
      </c>
      <c r="M75" s="6" t="s">
        <v>219</v>
      </c>
    </row>
    <row r="76" spans="1:13" x14ac:dyDescent="0.3">
      <c r="A76" s="1" t="s">
        <v>16</v>
      </c>
      <c r="B76" s="6" t="s">
        <v>25</v>
      </c>
      <c r="C76" s="1" t="s">
        <v>97</v>
      </c>
      <c r="D76" s="1" t="s">
        <v>15</v>
      </c>
      <c r="E76" s="3">
        <v>351149515997088</v>
      </c>
      <c r="F76" s="1"/>
      <c r="G76" s="5">
        <v>45573</v>
      </c>
      <c r="H76" s="4">
        <v>900</v>
      </c>
      <c r="I76" s="4"/>
      <c r="J76" s="5">
        <v>45585</v>
      </c>
      <c r="K76" s="4">
        <v>1000</v>
      </c>
      <c r="L76" s="8">
        <v>100</v>
      </c>
      <c r="M76" s="6" t="s">
        <v>53</v>
      </c>
    </row>
    <row r="77" spans="1:13" x14ac:dyDescent="0.3">
      <c r="A77" s="1" t="s">
        <v>16</v>
      </c>
      <c r="B77" s="6" t="s">
        <v>83</v>
      </c>
      <c r="C77" s="1" t="s">
        <v>97</v>
      </c>
      <c r="D77" s="1" t="s">
        <v>15</v>
      </c>
      <c r="E77" s="3">
        <v>350367276559282</v>
      </c>
      <c r="F77" s="1"/>
      <c r="G77" s="5">
        <v>45538</v>
      </c>
      <c r="H77" s="4">
        <v>540</v>
      </c>
      <c r="I77" s="4">
        <v>10</v>
      </c>
      <c r="J77" s="5">
        <v>45585</v>
      </c>
      <c r="K77" s="4">
        <v>594</v>
      </c>
      <c r="L77" s="8">
        <v>44</v>
      </c>
      <c r="M77" s="6" t="s">
        <v>19</v>
      </c>
    </row>
    <row r="78" spans="1:13" x14ac:dyDescent="0.3">
      <c r="A78" s="1" t="s">
        <v>13</v>
      </c>
      <c r="B78" s="6" t="s">
        <v>115</v>
      </c>
      <c r="C78" s="1" t="s">
        <v>97</v>
      </c>
      <c r="D78" s="1" t="s">
        <v>15</v>
      </c>
      <c r="E78" s="3">
        <v>354773804713570</v>
      </c>
      <c r="F78" s="1"/>
      <c r="G78" s="5"/>
      <c r="H78" s="4">
        <v>198</v>
      </c>
      <c r="I78" s="4"/>
      <c r="J78" s="5">
        <v>45585</v>
      </c>
      <c r="K78" s="4">
        <v>226</v>
      </c>
      <c r="L78" s="8">
        <v>28</v>
      </c>
      <c r="M78" s="6" t="s">
        <v>135</v>
      </c>
    </row>
    <row r="79" spans="1:13" x14ac:dyDescent="0.3">
      <c r="A79" s="1" t="s">
        <v>16</v>
      </c>
      <c r="B79" s="6" t="s">
        <v>68</v>
      </c>
      <c r="C79" s="1" t="s">
        <v>97</v>
      </c>
      <c r="D79" s="1" t="s">
        <v>22</v>
      </c>
      <c r="E79" s="3">
        <v>350419535981979</v>
      </c>
      <c r="F79" s="1" t="s">
        <v>50</v>
      </c>
      <c r="G79" s="5">
        <v>45528</v>
      </c>
      <c r="H79" s="4">
        <v>550</v>
      </c>
      <c r="I79" s="4"/>
      <c r="J79" s="5">
        <v>45585</v>
      </c>
      <c r="K79" s="4">
        <v>620</v>
      </c>
      <c r="L79" s="8">
        <v>70</v>
      </c>
      <c r="M79" s="6" t="s">
        <v>73</v>
      </c>
    </row>
    <row r="80" spans="1:13" x14ac:dyDescent="0.3">
      <c r="A80" s="1" t="s">
        <v>16</v>
      </c>
      <c r="B80" s="6" t="s">
        <v>106</v>
      </c>
      <c r="C80" s="1" t="s">
        <v>97</v>
      </c>
      <c r="D80" s="1" t="s">
        <v>22</v>
      </c>
      <c r="E80" s="3">
        <v>356343109021695</v>
      </c>
      <c r="F80" s="1"/>
      <c r="G80" s="5">
        <v>45576</v>
      </c>
      <c r="H80" s="4">
        <v>220</v>
      </c>
      <c r="I80" s="4"/>
      <c r="J80" s="5">
        <v>45585</v>
      </c>
      <c r="K80" s="4">
        <v>250</v>
      </c>
      <c r="L80" s="8">
        <v>30</v>
      </c>
      <c r="M80" s="6"/>
    </row>
    <row r="81" spans="1:13" x14ac:dyDescent="0.3">
      <c r="A81" s="1" t="s">
        <v>16</v>
      </c>
      <c r="B81" s="6" t="s">
        <v>17</v>
      </c>
      <c r="C81" s="1" t="s">
        <v>97</v>
      </c>
      <c r="D81" s="1" t="s">
        <v>15</v>
      </c>
      <c r="E81" s="3">
        <v>353842105377038</v>
      </c>
      <c r="F81" s="1" t="s">
        <v>138</v>
      </c>
      <c r="G81" s="5">
        <v>45574</v>
      </c>
      <c r="H81" s="4">
        <v>203</v>
      </c>
      <c r="I81" s="4"/>
      <c r="J81" s="5">
        <v>45585</v>
      </c>
      <c r="K81" s="4">
        <v>206</v>
      </c>
      <c r="L81" s="8">
        <v>3</v>
      </c>
      <c r="M81" s="6" t="s">
        <v>139</v>
      </c>
    </row>
    <row r="82" spans="1:13" x14ac:dyDescent="0.3">
      <c r="A82" s="1"/>
      <c r="B82" s="6" t="s">
        <v>4</v>
      </c>
      <c r="C82" s="1"/>
      <c r="D82" s="1"/>
      <c r="E82" s="3"/>
      <c r="F82" s="1"/>
      <c r="G82" s="5"/>
      <c r="H82" s="4"/>
      <c r="I82" s="4"/>
      <c r="J82" s="5"/>
      <c r="K82" s="4"/>
      <c r="L82" s="8">
        <v>5</v>
      </c>
      <c r="M82" s="6"/>
    </row>
    <row r="83" spans="1:13" x14ac:dyDescent="0.3">
      <c r="A83" s="1" t="s">
        <v>16</v>
      </c>
      <c r="B83" s="6" t="s">
        <v>81</v>
      </c>
      <c r="C83" s="1" t="s">
        <v>18</v>
      </c>
      <c r="D83" s="1" t="s">
        <v>22</v>
      </c>
      <c r="E83" s="3">
        <v>356133315587716</v>
      </c>
      <c r="F83" s="1"/>
      <c r="G83" s="5">
        <v>45575</v>
      </c>
      <c r="H83" s="4">
        <v>500</v>
      </c>
      <c r="I83" s="4"/>
      <c r="J83" s="5">
        <v>45585</v>
      </c>
      <c r="K83" s="4">
        <v>550</v>
      </c>
      <c r="L83" s="8">
        <v>50</v>
      </c>
      <c r="M83" s="6" t="s">
        <v>150</v>
      </c>
    </row>
    <row r="84" spans="1:13" x14ac:dyDescent="0.3">
      <c r="A84" s="1" t="s">
        <v>16</v>
      </c>
      <c r="B84" s="6" t="s">
        <v>81</v>
      </c>
      <c r="C84" s="1" t="s">
        <v>65</v>
      </c>
      <c r="D84" s="1" t="s">
        <v>15</v>
      </c>
      <c r="E84" s="3">
        <v>359206407689082</v>
      </c>
      <c r="F84" s="1"/>
      <c r="G84" s="5" t="s">
        <v>131</v>
      </c>
      <c r="H84" s="4">
        <v>515</v>
      </c>
      <c r="I84" s="4">
        <v>9</v>
      </c>
      <c r="J84" s="5">
        <v>45586</v>
      </c>
      <c r="K84" s="4">
        <v>550</v>
      </c>
      <c r="L84" s="8">
        <v>26</v>
      </c>
      <c r="M84" s="6" t="s">
        <v>19</v>
      </c>
    </row>
    <row r="85" spans="1:13" x14ac:dyDescent="0.3">
      <c r="A85" s="1" t="s">
        <v>16</v>
      </c>
      <c r="B85" s="6" t="s">
        <v>92</v>
      </c>
      <c r="C85" s="1" t="s">
        <v>18</v>
      </c>
      <c r="D85" s="1" t="s">
        <v>15</v>
      </c>
      <c r="E85" s="3">
        <v>353055110385447</v>
      </c>
      <c r="F85" s="1" t="s">
        <v>48</v>
      </c>
      <c r="G85" s="5">
        <v>45579</v>
      </c>
      <c r="H85" s="4">
        <v>250</v>
      </c>
      <c r="I85" s="4"/>
      <c r="J85" s="5">
        <v>45586</v>
      </c>
      <c r="K85" s="4">
        <v>280</v>
      </c>
      <c r="L85" s="8">
        <v>30</v>
      </c>
      <c r="M85" s="6" t="s">
        <v>186</v>
      </c>
    </row>
    <row r="86" spans="1:13" x14ac:dyDescent="0.3">
      <c r="A86" s="1" t="s">
        <v>16</v>
      </c>
      <c r="B86" s="6" t="s">
        <v>25</v>
      </c>
      <c r="C86" s="1" t="s">
        <v>26</v>
      </c>
      <c r="D86" s="1" t="s">
        <v>22</v>
      </c>
      <c r="E86" s="3">
        <v>358759852593580</v>
      </c>
      <c r="F86" s="1"/>
      <c r="G86" s="5">
        <v>45586</v>
      </c>
      <c r="H86" s="4">
        <v>945</v>
      </c>
      <c r="I86" s="4"/>
      <c r="J86" s="5">
        <v>45586</v>
      </c>
      <c r="K86" s="4">
        <v>1020</v>
      </c>
      <c r="L86" s="8">
        <v>75</v>
      </c>
      <c r="M86" s="6" t="s">
        <v>228</v>
      </c>
    </row>
    <row r="87" spans="1:13" x14ac:dyDescent="0.3">
      <c r="A87" s="1" t="s">
        <v>16</v>
      </c>
      <c r="B87" s="6" t="s">
        <v>106</v>
      </c>
      <c r="C87" s="1" t="s">
        <v>18</v>
      </c>
      <c r="D87" s="1" t="s">
        <v>15</v>
      </c>
      <c r="E87" s="3">
        <v>356564100096952</v>
      </c>
      <c r="F87" s="1"/>
      <c r="G87" s="5">
        <v>45576</v>
      </c>
      <c r="H87" s="4">
        <v>220</v>
      </c>
      <c r="I87" s="4">
        <v>13</v>
      </c>
      <c r="J87" s="5">
        <v>45587</v>
      </c>
      <c r="K87" s="4">
        <v>273</v>
      </c>
      <c r="L87" s="8">
        <v>40</v>
      </c>
      <c r="M87" s="6" t="s">
        <v>147</v>
      </c>
    </row>
    <row r="88" spans="1:13" x14ac:dyDescent="0.3">
      <c r="A88" s="1" t="s">
        <v>13</v>
      </c>
      <c r="B88" s="6" t="s">
        <v>230</v>
      </c>
      <c r="C88" s="1" t="s">
        <v>21</v>
      </c>
      <c r="D88" s="1" t="s">
        <v>22</v>
      </c>
      <c r="E88" s="3">
        <v>352665181640487</v>
      </c>
      <c r="F88" s="1"/>
      <c r="G88" s="5">
        <v>45587</v>
      </c>
      <c r="H88" s="4">
        <v>95</v>
      </c>
      <c r="I88" s="4"/>
      <c r="J88" s="5">
        <v>45587</v>
      </c>
      <c r="K88" s="4">
        <v>125</v>
      </c>
      <c r="L88" s="8">
        <v>30</v>
      </c>
      <c r="M88" s="6" t="s">
        <v>231</v>
      </c>
    </row>
    <row r="89" spans="1:13" x14ac:dyDescent="0.3">
      <c r="A89" s="1" t="s">
        <v>13</v>
      </c>
      <c r="B89" s="6" t="s">
        <v>117</v>
      </c>
      <c r="C89" s="1" t="s">
        <v>97</v>
      </c>
      <c r="D89" s="1" t="s">
        <v>15</v>
      </c>
      <c r="E89" s="3">
        <v>356271890305672</v>
      </c>
      <c r="F89" s="1"/>
      <c r="G89" s="5">
        <v>45571</v>
      </c>
      <c r="H89" s="4">
        <v>255</v>
      </c>
      <c r="I89" s="4">
        <v>13</v>
      </c>
      <c r="J89" s="5">
        <v>45588</v>
      </c>
      <c r="K89" s="4">
        <v>300</v>
      </c>
      <c r="L89" s="8">
        <v>32</v>
      </c>
      <c r="M89" s="6" t="s">
        <v>19</v>
      </c>
    </row>
    <row r="90" spans="1:13" x14ac:dyDescent="0.3">
      <c r="A90" s="1" t="s">
        <v>13</v>
      </c>
      <c r="B90" s="6" t="s">
        <v>214</v>
      </c>
      <c r="C90" s="1" t="s">
        <v>217</v>
      </c>
      <c r="D90" s="1" t="s">
        <v>15</v>
      </c>
      <c r="E90" s="3">
        <v>354205111764160</v>
      </c>
      <c r="F90" s="1"/>
      <c r="G90" s="5">
        <v>45584</v>
      </c>
      <c r="H90" s="4">
        <v>140</v>
      </c>
      <c r="I90" s="4">
        <v>12</v>
      </c>
      <c r="J90" s="5">
        <v>45588</v>
      </c>
      <c r="K90" s="4">
        <v>229</v>
      </c>
      <c r="L90" s="8">
        <v>77</v>
      </c>
      <c r="M90" s="6" t="s">
        <v>215</v>
      </c>
    </row>
    <row r="91" spans="1:13" x14ac:dyDescent="0.3">
      <c r="A91" s="1" t="s">
        <v>16</v>
      </c>
      <c r="B91" s="6" t="s">
        <v>104</v>
      </c>
      <c r="C91" s="1" t="s">
        <v>65</v>
      </c>
      <c r="D91" s="1"/>
      <c r="E91" s="3">
        <v>351704550189718</v>
      </c>
      <c r="F91" s="1"/>
      <c r="G91" s="5">
        <v>45586</v>
      </c>
      <c r="H91" s="4">
        <v>400</v>
      </c>
      <c r="I91" s="4">
        <v>12</v>
      </c>
      <c r="J91" s="5">
        <v>45588</v>
      </c>
      <c r="K91" s="4">
        <v>450</v>
      </c>
      <c r="L91" s="8">
        <v>38</v>
      </c>
      <c r="M91" s="6" t="s">
        <v>147</v>
      </c>
    </row>
    <row r="92" spans="1:13" x14ac:dyDescent="0.3">
      <c r="A92" s="1" t="s">
        <v>16</v>
      </c>
      <c r="B92" s="6" t="s">
        <v>96</v>
      </c>
      <c r="C92" s="1" t="s">
        <v>18</v>
      </c>
      <c r="D92" s="1" t="s">
        <v>15</v>
      </c>
      <c r="E92" s="3">
        <v>352834110777576</v>
      </c>
      <c r="F92" s="1"/>
      <c r="G92" s="5">
        <v>45585</v>
      </c>
      <c r="H92" s="4">
        <v>255</v>
      </c>
      <c r="I92" s="4"/>
      <c r="J92" s="5">
        <v>45588</v>
      </c>
      <c r="K92" s="4">
        <v>305</v>
      </c>
      <c r="L92" s="8">
        <v>50</v>
      </c>
      <c r="M92" s="6" t="s">
        <v>223</v>
      </c>
    </row>
    <row r="93" spans="1:13" x14ac:dyDescent="0.3">
      <c r="A93" s="1" t="s">
        <v>16</v>
      </c>
      <c r="B93" s="6" t="s">
        <v>106</v>
      </c>
      <c r="C93" s="1" t="s">
        <v>21</v>
      </c>
      <c r="D93" s="1" t="s">
        <v>15</v>
      </c>
      <c r="E93" s="3">
        <v>356574102376997</v>
      </c>
      <c r="F93" s="1" t="s">
        <v>43</v>
      </c>
      <c r="G93" s="5">
        <v>45584</v>
      </c>
      <c r="H93" s="4">
        <v>190</v>
      </c>
      <c r="I93" s="4">
        <v>24</v>
      </c>
      <c r="J93" s="5">
        <v>45588</v>
      </c>
      <c r="K93" s="4">
        <v>250</v>
      </c>
      <c r="L93" s="8">
        <v>36</v>
      </c>
      <c r="M93" s="6" t="s">
        <v>147</v>
      </c>
    </row>
    <row r="94" spans="1:13" x14ac:dyDescent="0.3">
      <c r="A94" s="1" t="s">
        <v>16</v>
      </c>
      <c r="B94" s="6" t="s">
        <v>109</v>
      </c>
      <c r="C94" s="1" t="s">
        <v>45</v>
      </c>
      <c r="D94" s="1" t="s">
        <v>15</v>
      </c>
      <c r="E94" s="3">
        <v>357206091929416</v>
      </c>
      <c r="F94" s="1" t="s">
        <v>233</v>
      </c>
      <c r="G94" s="5">
        <v>45588</v>
      </c>
      <c r="H94" s="4">
        <v>119</v>
      </c>
      <c r="I94" s="4"/>
      <c r="J94" s="5">
        <v>45588</v>
      </c>
      <c r="K94" s="4">
        <v>180</v>
      </c>
      <c r="L94" s="8">
        <v>61</v>
      </c>
      <c r="M94" s="6"/>
    </row>
    <row r="95" spans="1:13" x14ac:dyDescent="0.3">
      <c r="A95" s="1" t="s">
        <v>16</v>
      </c>
      <c r="B95" s="6" t="s">
        <v>106</v>
      </c>
      <c r="C95" s="1" t="s">
        <v>21</v>
      </c>
      <c r="D95" s="1" t="s">
        <v>15</v>
      </c>
      <c r="E95" s="3">
        <v>356580102280295</v>
      </c>
      <c r="F95" s="1" t="s">
        <v>66</v>
      </c>
      <c r="G95" s="5">
        <v>45584</v>
      </c>
      <c r="H95" s="4">
        <v>200</v>
      </c>
      <c r="I95" s="4"/>
      <c r="J95" s="5">
        <v>45588</v>
      </c>
      <c r="K95" s="4">
        <v>230</v>
      </c>
      <c r="L95" s="8">
        <v>30</v>
      </c>
      <c r="M95" s="6"/>
    </row>
    <row r="96" spans="1:13" x14ac:dyDescent="0.3">
      <c r="A96" s="1" t="s">
        <v>161</v>
      </c>
      <c r="B96" s="6" t="s">
        <v>162</v>
      </c>
      <c r="C96" s="1" t="s">
        <v>21</v>
      </c>
      <c r="D96" s="1" t="s">
        <v>22</v>
      </c>
      <c r="E96" s="3">
        <v>861428060846434</v>
      </c>
      <c r="F96" s="1"/>
      <c r="G96" s="5">
        <v>45570</v>
      </c>
      <c r="H96" s="4">
        <v>100</v>
      </c>
      <c r="I96" s="4"/>
      <c r="J96" s="5">
        <v>45589</v>
      </c>
      <c r="K96" s="4">
        <v>140</v>
      </c>
      <c r="L96" s="8">
        <v>40</v>
      </c>
      <c r="M96" s="6" t="s">
        <v>171</v>
      </c>
    </row>
    <row r="97" spans="1:13" x14ac:dyDescent="0.3">
      <c r="A97" s="1" t="s">
        <v>13</v>
      </c>
      <c r="B97" s="6" t="s">
        <v>14</v>
      </c>
      <c r="C97" s="1" t="s">
        <v>20</v>
      </c>
      <c r="D97" s="1" t="s">
        <v>15</v>
      </c>
      <c r="E97" s="3">
        <v>351562313809364</v>
      </c>
      <c r="F97" s="1"/>
      <c r="G97" s="5">
        <v>45584</v>
      </c>
      <c r="H97" s="4">
        <v>400</v>
      </c>
      <c r="I97" s="4">
        <v>12</v>
      </c>
      <c r="J97" s="5">
        <v>45589</v>
      </c>
      <c r="K97" s="4">
        <v>450</v>
      </c>
      <c r="L97" s="8">
        <v>38</v>
      </c>
      <c r="M97" s="6" t="s">
        <v>147</v>
      </c>
    </row>
    <row r="98" spans="1:13" x14ac:dyDescent="0.3">
      <c r="A98" s="1" t="s">
        <v>16</v>
      </c>
      <c r="B98" s="6" t="s">
        <v>25</v>
      </c>
      <c r="C98" s="1" t="s">
        <v>26</v>
      </c>
      <c r="D98" s="1" t="s">
        <v>22</v>
      </c>
      <c r="E98" s="3">
        <v>358525997625409</v>
      </c>
      <c r="F98" s="1"/>
      <c r="G98" s="5">
        <v>45584</v>
      </c>
      <c r="H98" s="4">
        <v>870</v>
      </c>
      <c r="I98" s="4"/>
      <c r="J98" s="5">
        <v>45589</v>
      </c>
      <c r="K98" s="4">
        <v>930</v>
      </c>
      <c r="L98" s="8">
        <v>60</v>
      </c>
      <c r="M98" s="6" t="s">
        <v>212</v>
      </c>
    </row>
    <row r="99" spans="1:13" x14ac:dyDescent="0.3">
      <c r="A99" s="1" t="s">
        <v>16</v>
      </c>
      <c r="B99" s="6" t="s">
        <v>240</v>
      </c>
      <c r="C99" s="1" t="s">
        <v>107</v>
      </c>
      <c r="D99" s="1" t="s">
        <v>22</v>
      </c>
      <c r="E99" s="3">
        <v>352978112112959</v>
      </c>
      <c r="F99" s="1"/>
      <c r="G99" s="5">
        <v>45588</v>
      </c>
      <c r="H99" s="4">
        <v>230</v>
      </c>
      <c r="I99" s="4"/>
      <c r="J99" s="5">
        <v>45589</v>
      </c>
      <c r="K99" s="4">
        <v>280</v>
      </c>
      <c r="L99" s="8">
        <v>50</v>
      </c>
      <c r="M99" s="6" t="s">
        <v>241</v>
      </c>
    </row>
    <row r="100" spans="1:13" x14ac:dyDescent="0.3">
      <c r="A100" s="1" t="s">
        <v>16</v>
      </c>
      <c r="B100" s="6" t="s">
        <v>230</v>
      </c>
      <c r="C100" s="1" t="s">
        <v>245</v>
      </c>
      <c r="D100" s="1" t="s">
        <v>22</v>
      </c>
      <c r="E100" s="3">
        <v>358438734645070</v>
      </c>
      <c r="F100" s="1"/>
      <c r="G100" s="5">
        <v>45589</v>
      </c>
      <c r="H100" s="4">
        <v>100</v>
      </c>
      <c r="I100" s="4"/>
      <c r="J100" s="5">
        <v>45589</v>
      </c>
      <c r="K100" s="4">
        <v>115</v>
      </c>
      <c r="L100" s="8">
        <v>15</v>
      </c>
      <c r="M100" s="6" t="s">
        <v>186</v>
      </c>
    </row>
    <row r="101" spans="1:13" x14ac:dyDescent="0.3">
      <c r="A101" s="1" t="s">
        <v>16</v>
      </c>
      <c r="B101" s="6" t="s">
        <v>88</v>
      </c>
      <c r="C101" s="1" t="s">
        <v>65</v>
      </c>
      <c r="D101" s="1" t="s">
        <v>15</v>
      </c>
      <c r="E101" s="3">
        <v>350980296236465</v>
      </c>
      <c r="F101" s="1"/>
      <c r="G101" s="5">
        <v>45581</v>
      </c>
      <c r="H101" s="4">
        <v>353</v>
      </c>
      <c r="I101" s="4"/>
      <c r="J101" s="5">
        <v>45589</v>
      </c>
      <c r="K101" s="4">
        <v>449</v>
      </c>
      <c r="L101" s="8">
        <v>96</v>
      </c>
      <c r="M101" s="6" t="s">
        <v>200</v>
      </c>
    </row>
    <row r="102" spans="1:13" x14ac:dyDescent="0.3">
      <c r="A102" s="1"/>
      <c r="B102" s="6" t="s">
        <v>4</v>
      </c>
      <c r="C102" s="1"/>
      <c r="D102" s="1"/>
      <c r="E102" s="3"/>
      <c r="F102" s="1"/>
      <c r="G102" s="5"/>
      <c r="H102" s="4"/>
      <c r="I102" s="4"/>
      <c r="J102" s="5">
        <v>45589</v>
      </c>
      <c r="K102" s="4">
        <v>12</v>
      </c>
      <c r="L102" s="8">
        <v>12</v>
      </c>
      <c r="M102" s="6"/>
    </row>
    <row r="103" spans="1:13" x14ac:dyDescent="0.3">
      <c r="A103" s="1" t="s">
        <v>16</v>
      </c>
      <c r="B103" s="6" t="s">
        <v>83</v>
      </c>
      <c r="C103" s="1" t="s">
        <v>21</v>
      </c>
      <c r="D103" s="1" t="s">
        <v>22</v>
      </c>
      <c r="E103" s="3">
        <v>350367273256205</v>
      </c>
      <c r="F103" s="1"/>
      <c r="G103" s="5">
        <v>45568</v>
      </c>
      <c r="H103" s="4">
        <v>535</v>
      </c>
      <c r="I103" s="4">
        <v>13</v>
      </c>
      <c r="J103" s="5">
        <v>45590</v>
      </c>
      <c r="K103" s="4">
        <v>620</v>
      </c>
      <c r="L103" s="8">
        <v>72</v>
      </c>
      <c r="M103" s="6" t="s">
        <v>82</v>
      </c>
    </row>
    <row r="104" spans="1:13" x14ac:dyDescent="0.3">
      <c r="A104" s="1" t="s">
        <v>13</v>
      </c>
      <c r="B104" s="6" t="s">
        <v>116</v>
      </c>
      <c r="C104" s="1" t="s">
        <v>93</v>
      </c>
      <c r="D104" s="1" t="s">
        <v>15</v>
      </c>
      <c r="E104" s="3">
        <v>353561330347760</v>
      </c>
      <c r="F104" s="1"/>
      <c r="G104" s="5">
        <v>45571</v>
      </c>
      <c r="H104" s="4">
        <v>215</v>
      </c>
      <c r="I104" s="4">
        <v>13</v>
      </c>
      <c r="J104" s="5">
        <v>45590</v>
      </c>
      <c r="K104" s="4">
        <v>270</v>
      </c>
      <c r="L104" s="8">
        <v>42</v>
      </c>
      <c r="M104" s="6" t="s">
        <v>19</v>
      </c>
    </row>
    <row r="105" spans="1:13" x14ac:dyDescent="0.3">
      <c r="A105" s="1" t="s">
        <v>16</v>
      </c>
      <c r="B105" s="6" t="s">
        <v>128</v>
      </c>
      <c r="C105" s="1"/>
      <c r="D105" s="1" t="s">
        <v>15</v>
      </c>
      <c r="E105" s="3">
        <v>351263404363268</v>
      </c>
      <c r="F105" s="1"/>
      <c r="G105" s="5">
        <v>45566</v>
      </c>
      <c r="H105" s="4">
        <v>790</v>
      </c>
      <c r="I105" s="4">
        <v>12</v>
      </c>
      <c r="J105" s="5">
        <v>45590</v>
      </c>
      <c r="K105" s="4">
        <v>850</v>
      </c>
      <c r="L105" s="8">
        <v>48</v>
      </c>
      <c r="M105" s="6" t="s">
        <v>29</v>
      </c>
    </row>
    <row r="106" spans="1:13" x14ac:dyDescent="0.3">
      <c r="A106" s="1" t="s">
        <v>16</v>
      </c>
      <c r="B106" s="6" t="s">
        <v>132</v>
      </c>
      <c r="C106" s="1" t="s">
        <v>21</v>
      </c>
      <c r="D106" s="1" t="s">
        <v>15</v>
      </c>
      <c r="E106" s="3">
        <v>350197042550749</v>
      </c>
      <c r="F106" s="1"/>
      <c r="G106" s="5">
        <v>45576</v>
      </c>
      <c r="H106" s="4">
        <v>270</v>
      </c>
      <c r="I106" s="4"/>
      <c r="J106" s="5">
        <v>45590</v>
      </c>
      <c r="K106" s="4">
        <v>330</v>
      </c>
      <c r="L106" s="8">
        <v>60</v>
      </c>
      <c r="M106" s="6" t="s">
        <v>154</v>
      </c>
    </row>
    <row r="107" spans="1:13" x14ac:dyDescent="0.3">
      <c r="A107" s="1" t="s">
        <v>16</v>
      </c>
      <c r="B107" s="6" t="s">
        <v>157</v>
      </c>
      <c r="C107" s="1" t="s">
        <v>65</v>
      </c>
      <c r="D107" s="1" t="s">
        <v>15</v>
      </c>
      <c r="E107" s="3">
        <v>356696720921746</v>
      </c>
      <c r="F107" s="1" t="s">
        <v>66</v>
      </c>
      <c r="G107" s="5">
        <v>45575</v>
      </c>
      <c r="H107" s="4">
        <v>200</v>
      </c>
      <c r="I107" s="4">
        <v>80</v>
      </c>
      <c r="J107" s="5">
        <v>45590</v>
      </c>
      <c r="K107" s="4">
        <v>350</v>
      </c>
      <c r="L107" s="8">
        <v>70</v>
      </c>
      <c r="M107" s="6" t="s">
        <v>147</v>
      </c>
    </row>
    <row r="108" spans="1:13" x14ac:dyDescent="0.3">
      <c r="A108" s="1" t="s">
        <v>16</v>
      </c>
      <c r="B108" s="6" t="s">
        <v>128</v>
      </c>
      <c r="C108" s="1" t="s">
        <v>26</v>
      </c>
      <c r="D108" s="1" t="s">
        <v>22</v>
      </c>
      <c r="E108" s="3">
        <v>350623509512336</v>
      </c>
      <c r="F108" s="1" t="s">
        <v>43</v>
      </c>
      <c r="G108" s="5">
        <v>45585</v>
      </c>
      <c r="H108" s="4">
        <v>800</v>
      </c>
      <c r="I108" s="4"/>
      <c r="J108" s="5">
        <v>45590</v>
      </c>
      <c r="K108" s="4">
        <v>850</v>
      </c>
      <c r="L108" s="8">
        <v>50</v>
      </c>
      <c r="M108" s="6" t="s">
        <v>227</v>
      </c>
    </row>
    <row r="109" spans="1:13" x14ac:dyDescent="0.3">
      <c r="A109" s="1" t="s">
        <v>16</v>
      </c>
      <c r="B109" s="6" t="s">
        <v>128</v>
      </c>
      <c r="C109" s="1" t="s">
        <v>21</v>
      </c>
      <c r="D109" s="1" t="s">
        <v>22</v>
      </c>
      <c r="E109" s="3">
        <v>359370798690867</v>
      </c>
      <c r="F109" s="1"/>
      <c r="G109" s="5">
        <v>45589</v>
      </c>
      <c r="H109" s="4">
        <v>800</v>
      </c>
      <c r="I109" s="4"/>
      <c r="J109" s="5">
        <v>45590</v>
      </c>
      <c r="K109" s="4">
        <v>830</v>
      </c>
      <c r="L109" s="8">
        <v>30</v>
      </c>
      <c r="M109" s="6" t="s">
        <v>243</v>
      </c>
    </row>
    <row r="110" spans="1:13" x14ac:dyDescent="0.3">
      <c r="A110" s="1" t="s">
        <v>16</v>
      </c>
      <c r="B110" s="6" t="s">
        <v>77</v>
      </c>
      <c r="C110" s="1" t="s">
        <v>45</v>
      </c>
      <c r="D110" s="1" t="s">
        <v>15</v>
      </c>
      <c r="E110" s="3">
        <v>350666975143136</v>
      </c>
      <c r="F110" s="1"/>
      <c r="G110" s="5">
        <v>45589</v>
      </c>
      <c r="H110" s="4">
        <v>570</v>
      </c>
      <c r="I110" s="4"/>
      <c r="J110" s="5">
        <v>45590</v>
      </c>
      <c r="K110" s="4">
        <v>680</v>
      </c>
      <c r="L110" s="8">
        <v>110</v>
      </c>
      <c r="M110" s="6" t="s">
        <v>246</v>
      </c>
    </row>
    <row r="111" spans="1:13" x14ac:dyDescent="0.3">
      <c r="A111" s="1" t="s">
        <v>16</v>
      </c>
      <c r="B111" s="6" t="s">
        <v>104</v>
      </c>
      <c r="C111" s="1" t="s">
        <v>45</v>
      </c>
      <c r="D111" s="1" t="s">
        <v>22</v>
      </c>
      <c r="E111" s="3">
        <v>350888741929982</v>
      </c>
      <c r="F111" s="1"/>
      <c r="G111" s="5">
        <v>45589</v>
      </c>
      <c r="H111" s="4">
        <v>420</v>
      </c>
      <c r="I111" s="4"/>
      <c r="J111" s="5">
        <v>45590</v>
      </c>
      <c r="K111" s="4">
        <v>480</v>
      </c>
      <c r="L111" s="8">
        <v>60</v>
      </c>
      <c r="M111" s="6" t="s">
        <v>244</v>
      </c>
    </row>
    <row r="112" spans="1:13" x14ac:dyDescent="0.3">
      <c r="A112" s="1" t="s">
        <v>207</v>
      </c>
      <c r="B112" s="6" t="s">
        <v>208</v>
      </c>
      <c r="C112" s="1" t="s">
        <v>18</v>
      </c>
      <c r="D112" s="1" t="s">
        <v>15</v>
      </c>
      <c r="E112" s="3"/>
      <c r="F112" s="1" t="s">
        <v>27</v>
      </c>
      <c r="G112" s="5">
        <v>45582</v>
      </c>
      <c r="H112" s="4">
        <v>224</v>
      </c>
      <c r="I112" s="4"/>
      <c r="J112" s="5">
        <v>45588</v>
      </c>
      <c r="K112" s="4">
        <v>230</v>
      </c>
      <c r="L112" s="8">
        <v>6</v>
      </c>
      <c r="M112" s="6" t="s">
        <v>209</v>
      </c>
    </row>
    <row r="113" spans="1:13" x14ac:dyDescent="0.3">
      <c r="A113" s="1" t="s">
        <v>16</v>
      </c>
      <c r="B113" s="6" t="s">
        <v>68</v>
      </c>
      <c r="C113" s="1" t="s">
        <v>65</v>
      </c>
      <c r="D113" s="1" t="s">
        <v>15</v>
      </c>
      <c r="E113" s="3">
        <v>351156623052037</v>
      </c>
      <c r="F113" s="1" t="s">
        <v>48</v>
      </c>
      <c r="G113" s="5">
        <v>45566</v>
      </c>
      <c r="H113" s="4">
        <v>550</v>
      </c>
      <c r="I113" s="4">
        <v>6</v>
      </c>
      <c r="J113" s="5">
        <v>45591</v>
      </c>
      <c r="K113" s="4">
        <v>640</v>
      </c>
      <c r="L113" s="8">
        <v>84</v>
      </c>
      <c r="M113" s="6" t="s">
        <v>69</v>
      </c>
    </row>
    <row r="114" spans="1:13" x14ac:dyDescent="0.3">
      <c r="A114" s="1" t="s">
        <v>16</v>
      </c>
      <c r="B114" s="6" t="s">
        <v>109</v>
      </c>
      <c r="C114" s="1" t="s">
        <v>45</v>
      </c>
      <c r="D114" s="1" t="s">
        <v>15</v>
      </c>
      <c r="E114" s="3">
        <v>357218094506497</v>
      </c>
      <c r="F114" s="1"/>
      <c r="G114" s="5">
        <v>45584</v>
      </c>
      <c r="H114" s="4">
        <v>133</v>
      </c>
      <c r="I114" s="4"/>
      <c r="J114" s="5">
        <v>45591</v>
      </c>
      <c r="K114" s="4">
        <v>170</v>
      </c>
      <c r="L114" s="8">
        <v>37</v>
      </c>
      <c r="M114" s="6" t="s">
        <v>220</v>
      </c>
    </row>
    <row r="115" spans="1:13" x14ac:dyDescent="0.3">
      <c r="A115" s="1" t="s">
        <v>16</v>
      </c>
      <c r="B115" s="6" t="s">
        <v>101</v>
      </c>
      <c r="C115" s="1" t="s">
        <v>18</v>
      </c>
      <c r="D115" s="1" t="s">
        <v>15</v>
      </c>
      <c r="E115" s="3">
        <v>353913100815783</v>
      </c>
      <c r="F115" s="1"/>
      <c r="G115" s="5">
        <v>45584</v>
      </c>
      <c r="H115" s="4">
        <v>300</v>
      </c>
      <c r="I115" s="4"/>
      <c r="J115" s="5">
        <v>45591</v>
      </c>
      <c r="K115" s="4">
        <v>340</v>
      </c>
      <c r="L115" s="8">
        <v>40</v>
      </c>
      <c r="M115" s="6" t="s">
        <v>147</v>
      </c>
    </row>
    <row r="116" spans="1:13" x14ac:dyDescent="0.3">
      <c r="A116" s="1" t="s">
        <v>207</v>
      </c>
      <c r="B116" s="6" t="s">
        <v>208</v>
      </c>
      <c r="C116" s="1" t="s">
        <v>21</v>
      </c>
      <c r="D116" s="1" t="s">
        <v>22</v>
      </c>
      <c r="E116" s="3"/>
      <c r="F116" s="1"/>
      <c r="G116" s="5">
        <v>45590</v>
      </c>
      <c r="H116" s="4">
        <v>210</v>
      </c>
      <c r="I116" s="4"/>
      <c r="J116" s="5">
        <v>45591</v>
      </c>
      <c r="K116" s="4">
        <v>240</v>
      </c>
      <c r="L116" s="8">
        <v>30</v>
      </c>
      <c r="M116" s="6" t="s">
        <v>264</v>
      </c>
    </row>
    <row r="117" spans="1:13" x14ac:dyDescent="0.3">
      <c r="A117" s="1" t="s">
        <v>16</v>
      </c>
      <c r="B117" s="6" t="s">
        <v>129</v>
      </c>
      <c r="C117" s="1" t="s">
        <v>45</v>
      </c>
      <c r="D117" s="1" t="s">
        <v>22</v>
      </c>
      <c r="E117" s="3">
        <v>352051699952591</v>
      </c>
      <c r="F117" s="1"/>
      <c r="G117" s="5">
        <v>45582</v>
      </c>
      <c r="H117" s="4">
        <v>580</v>
      </c>
      <c r="I117" s="4"/>
      <c r="J117" s="5">
        <v>45591</v>
      </c>
      <c r="K117" s="4">
        <v>675</v>
      </c>
      <c r="L117" s="8">
        <v>95</v>
      </c>
      <c r="M117" s="6" t="s">
        <v>206</v>
      </c>
    </row>
    <row r="118" spans="1:13" x14ac:dyDescent="0.3">
      <c r="A118" s="1" t="s">
        <v>16</v>
      </c>
      <c r="B118" s="6" t="s">
        <v>148</v>
      </c>
      <c r="C118" s="1" t="s">
        <v>65</v>
      </c>
      <c r="D118" s="1" t="s">
        <v>22</v>
      </c>
      <c r="E118" s="3">
        <v>356696114375269</v>
      </c>
      <c r="F118" s="1"/>
      <c r="G118" s="5">
        <v>45590</v>
      </c>
      <c r="H118" s="4">
        <v>280</v>
      </c>
      <c r="I118" s="4">
        <v>20</v>
      </c>
      <c r="J118" s="5">
        <v>45591</v>
      </c>
      <c r="K118" s="4">
        <v>350</v>
      </c>
      <c r="L118" s="8">
        <v>50</v>
      </c>
      <c r="M118" s="6" t="s">
        <v>263</v>
      </c>
    </row>
    <row r="119" spans="1:13" x14ac:dyDescent="0.3">
      <c r="A119" s="1" t="s">
        <v>16</v>
      </c>
      <c r="B119" s="6" t="s">
        <v>129</v>
      </c>
      <c r="C119" s="1" t="s">
        <v>65</v>
      </c>
      <c r="D119" s="1" t="s">
        <v>15</v>
      </c>
      <c r="E119" s="10">
        <v>8010</v>
      </c>
      <c r="F119" s="1"/>
      <c r="G119" s="5"/>
      <c r="H119" s="4">
        <v>600</v>
      </c>
      <c r="I119" s="4"/>
      <c r="J119" s="5">
        <v>45592</v>
      </c>
      <c r="K119" s="4">
        <v>620</v>
      </c>
      <c r="L119" s="8">
        <v>20</v>
      </c>
      <c r="M119" s="6"/>
    </row>
    <row r="120" spans="1:13" x14ac:dyDescent="0.3">
      <c r="A120" s="1" t="s">
        <v>13</v>
      </c>
      <c r="B120" s="6" t="s">
        <v>248</v>
      </c>
      <c r="C120" s="1" t="s">
        <v>21</v>
      </c>
      <c r="D120" s="1" t="s">
        <v>15</v>
      </c>
      <c r="E120" s="3">
        <v>354638102167144</v>
      </c>
      <c r="F120" s="1" t="s">
        <v>43</v>
      </c>
      <c r="G120" s="5">
        <v>45588</v>
      </c>
      <c r="H120" s="4">
        <v>23</v>
      </c>
      <c r="I120" s="4"/>
      <c r="J120" s="5">
        <v>45592</v>
      </c>
      <c r="K120" s="4">
        <v>58</v>
      </c>
      <c r="L120" s="8">
        <v>35</v>
      </c>
      <c r="M120" s="6" t="s">
        <v>232</v>
      </c>
    </row>
    <row r="121" spans="1:13" x14ac:dyDescent="0.3">
      <c r="A121" s="1" t="s">
        <v>16</v>
      </c>
      <c r="B121" s="6" t="s">
        <v>129</v>
      </c>
      <c r="C121" s="1" t="s">
        <v>97</v>
      </c>
      <c r="D121" s="1" t="s">
        <v>15</v>
      </c>
      <c r="E121" s="3">
        <v>350019043453204</v>
      </c>
      <c r="F121" s="1"/>
      <c r="G121" s="5">
        <v>45591</v>
      </c>
      <c r="H121" s="4">
        <v>520</v>
      </c>
      <c r="I121" s="4"/>
      <c r="J121" s="5">
        <v>45592</v>
      </c>
      <c r="K121" s="4">
        <v>580</v>
      </c>
      <c r="L121" s="8">
        <v>60</v>
      </c>
      <c r="M121" s="6" t="s">
        <v>270</v>
      </c>
    </row>
    <row r="122" spans="1:13" x14ac:dyDescent="0.3">
      <c r="A122" s="1" t="s">
        <v>16</v>
      </c>
      <c r="B122" s="6" t="s">
        <v>152</v>
      </c>
      <c r="C122" s="1" t="s">
        <v>26</v>
      </c>
      <c r="D122" s="1" t="s">
        <v>22</v>
      </c>
      <c r="E122" s="3">
        <v>354570358187593</v>
      </c>
      <c r="F122" s="1"/>
      <c r="G122" s="5">
        <v>45575</v>
      </c>
      <c r="H122" s="4">
        <v>820</v>
      </c>
      <c r="I122" s="4"/>
      <c r="J122" s="5">
        <v>45592</v>
      </c>
      <c r="K122" s="4">
        <v>860</v>
      </c>
      <c r="L122" s="8">
        <v>40</v>
      </c>
      <c r="M122" s="6" t="s">
        <v>56</v>
      </c>
    </row>
    <row r="123" spans="1:13" x14ac:dyDescent="0.3">
      <c r="A123" s="1" t="s">
        <v>16</v>
      </c>
      <c r="B123" s="6" t="s">
        <v>148</v>
      </c>
      <c r="C123" s="1" t="s">
        <v>45</v>
      </c>
      <c r="D123" s="1" t="s">
        <v>15</v>
      </c>
      <c r="E123" s="3">
        <v>356740910077677</v>
      </c>
      <c r="F123" s="1"/>
      <c r="G123" s="5">
        <v>45581</v>
      </c>
      <c r="H123" s="4">
        <v>320</v>
      </c>
      <c r="I123" s="4"/>
      <c r="J123" s="5">
        <v>45592</v>
      </c>
      <c r="K123" s="4">
        <v>350</v>
      </c>
      <c r="L123" s="8">
        <v>30</v>
      </c>
      <c r="M123" s="6" t="s">
        <v>199</v>
      </c>
    </row>
    <row r="124" spans="1:13" x14ac:dyDescent="0.3">
      <c r="A124" s="1" t="s">
        <v>13</v>
      </c>
      <c r="B124" s="6" t="s">
        <v>255</v>
      </c>
      <c r="C124" s="1" t="s">
        <v>21</v>
      </c>
      <c r="D124" s="1" t="s">
        <v>15</v>
      </c>
      <c r="E124" s="3">
        <v>350518493105057</v>
      </c>
      <c r="F124" s="1"/>
      <c r="G124" s="5">
        <v>45590</v>
      </c>
      <c r="H124" s="4">
        <v>690</v>
      </c>
      <c r="I124" s="4"/>
      <c r="J124" s="5">
        <v>45592</v>
      </c>
      <c r="K124" s="4">
        <v>750</v>
      </c>
      <c r="L124" s="8">
        <v>60</v>
      </c>
      <c r="M124" s="6" t="s">
        <v>256</v>
      </c>
    </row>
    <row r="125" spans="1:13" x14ac:dyDescent="0.3">
      <c r="A125" s="1" t="s">
        <v>16</v>
      </c>
      <c r="B125" s="6" t="s">
        <v>259</v>
      </c>
      <c r="C125" s="1" t="s">
        <v>18</v>
      </c>
      <c r="D125" s="1" t="s">
        <v>22</v>
      </c>
      <c r="E125" s="3">
        <v>354760870563898</v>
      </c>
      <c r="F125" s="1"/>
      <c r="G125" s="5">
        <v>45590</v>
      </c>
      <c r="H125" s="4">
        <v>170</v>
      </c>
      <c r="I125" s="4"/>
      <c r="J125" s="5">
        <v>45592</v>
      </c>
      <c r="K125" s="4">
        <v>200</v>
      </c>
      <c r="L125" s="8">
        <v>30</v>
      </c>
      <c r="M125" s="6" t="s">
        <v>260</v>
      </c>
    </row>
    <row r="126" spans="1:13" x14ac:dyDescent="0.3">
      <c r="A126" s="1" t="s">
        <v>16</v>
      </c>
      <c r="B126" s="6" t="s">
        <v>40</v>
      </c>
      <c r="C126" s="1" t="s">
        <v>35</v>
      </c>
      <c r="D126" s="1" t="s">
        <v>22</v>
      </c>
      <c r="E126" s="3">
        <v>350321533843799</v>
      </c>
      <c r="F126" s="1"/>
      <c r="G126" s="5">
        <v>45567</v>
      </c>
      <c r="H126" s="4">
        <v>625</v>
      </c>
      <c r="I126" s="4"/>
      <c r="J126" s="5">
        <v>45592</v>
      </c>
      <c r="K126" s="4">
        <v>720</v>
      </c>
      <c r="L126" s="8">
        <v>95</v>
      </c>
      <c r="M126" s="6" t="s">
        <v>41</v>
      </c>
    </row>
    <row r="127" spans="1:13" x14ac:dyDescent="0.3">
      <c r="A127" s="1" t="s">
        <v>16</v>
      </c>
      <c r="B127" s="6" t="s">
        <v>157</v>
      </c>
      <c r="C127" s="1" t="s">
        <v>21</v>
      </c>
      <c r="D127" s="1" t="s">
        <v>15</v>
      </c>
      <c r="E127" s="3">
        <v>356695111508997</v>
      </c>
      <c r="F127" s="1"/>
      <c r="G127" s="5">
        <v>45576</v>
      </c>
      <c r="H127" s="4">
        <v>340</v>
      </c>
      <c r="I127" s="4">
        <v>9</v>
      </c>
      <c r="J127" s="5">
        <v>45592</v>
      </c>
      <c r="K127" s="4">
        <v>400</v>
      </c>
      <c r="L127" s="8">
        <v>51</v>
      </c>
      <c r="M127" s="6" t="s">
        <v>156</v>
      </c>
    </row>
    <row r="128" spans="1:13" x14ac:dyDescent="0.3">
      <c r="A128" s="1" t="s">
        <v>16</v>
      </c>
      <c r="B128" s="6" t="s">
        <v>104</v>
      </c>
      <c r="C128" s="1" t="s">
        <v>65</v>
      </c>
      <c r="D128" s="1" t="s">
        <v>15</v>
      </c>
      <c r="E128" s="3">
        <v>353854136439182</v>
      </c>
      <c r="F128" s="1" t="s">
        <v>286</v>
      </c>
      <c r="G128" s="5">
        <v>45537</v>
      </c>
      <c r="H128" s="4">
        <v>285</v>
      </c>
      <c r="I128" s="4">
        <v>51</v>
      </c>
      <c r="J128" s="5">
        <v>45593</v>
      </c>
      <c r="K128" s="4">
        <v>420</v>
      </c>
      <c r="L128" s="8">
        <v>84</v>
      </c>
      <c r="M128" s="6" t="s">
        <v>105</v>
      </c>
    </row>
    <row r="129" spans="1:13" x14ac:dyDescent="0.3">
      <c r="A129" s="1" t="s">
        <v>16</v>
      </c>
      <c r="B129" s="6" t="s">
        <v>160</v>
      </c>
      <c r="C129" s="1" t="s">
        <v>257</v>
      </c>
      <c r="D129" s="1" t="s">
        <v>22</v>
      </c>
      <c r="E129" s="3">
        <v>358309631592469</v>
      </c>
      <c r="F129" s="1"/>
      <c r="G129" s="5">
        <v>45590</v>
      </c>
      <c r="H129" s="4">
        <v>1100</v>
      </c>
      <c r="I129" s="4">
        <v>12</v>
      </c>
      <c r="J129" s="5">
        <v>45593</v>
      </c>
      <c r="K129" s="4">
        <v>1175</v>
      </c>
      <c r="L129" s="8">
        <v>63</v>
      </c>
      <c r="M129" s="6" t="s">
        <v>258</v>
      </c>
    </row>
    <row r="130" spans="1:13" x14ac:dyDescent="0.3">
      <c r="A130" s="1" t="s">
        <v>16</v>
      </c>
      <c r="B130" s="6" t="s">
        <v>265</v>
      </c>
      <c r="C130" s="1" t="s">
        <v>45</v>
      </c>
      <c r="D130" s="1" t="s">
        <v>15</v>
      </c>
      <c r="E130" s="3">
        <v>353811088260701</v>
      </c>
      <c r="F130" s="1"/>
      <c r="G130" s="5">
        <v>45590</v>
      </c>
      <c r="H130" s="4">
        <v>60</v>
      </c>
      <c r="I130" s="4"/>
      <c r="J130" s="5">
        <v>45593</v>
      </c>
      <c r="K130" s="4">
        <v>95</v>
      </c>
      <c r="L130" s="8">
        <v>35</v>
      </c>
      <c r="M130" s="6" t="s">
        <v>266</v>
      </c>
    </row>
    <row r="131" spans="1:13" x14ac:dyDescent="0.3">
      <c r="A131" s="1" t="s">
        <v>13</v>
      </c>
      <c r="B131" s="6" t="s">
        <v>276</v>
      </c>
      <c r="C131" s="1" t="s">
        <v>217</v>
      </c>
      <c r="D131" s="1" t="s">
        <v>15</v>
      </c>
      <c r="E131" s="3">
        <v>355911044379484</v>
      </c>
      <c r="F131" s="1" t="s">
        <v>277</v>
      </c>
      <c r="G131" s="5">
        <v>45592</v>
      </c>
      <c r="H131" s="4">
        <v>149</v>
      </c>
      <c r="I131" s="4"/>
      <c r="J131" s="5">
        <v>45593</v>
      </c>
      <c r="K131" s="4">
        <v>209</v>
      </c>
      <c r="L131" s="8">
        <v>60</v>
      </c>
      <c r="M131" s="6" t="s">
        <v>278</v>
      </c>
    </row>
    <row r="132" spans="1:13" x14ac:dyDescent="0.3">
      <c r="A132" s="1" t="s">
        <v>13</v>
      </c>
      <c r="B132" s="6" t="s">
        <v>124</v>
      </c>
      <c r="C132" s="1" t="s">
        <v>58</v>
      </c>
      <c r="D132" s="1" t="s">
        <v>15</v>
      </c>
      <c r="E132" s="3">
        <v>355857112094994</v>
      </c>
      <c r="F132" s="1"/>
      <c r="G132" s="5"/>
      <c r="H132" s="4">
        <v>270</v>
      </c>
      <c r="I132" s="4">
        <v>12</v>
      </c>
      <c r="J132" s="5">
        <v>45593</v>
      </c>
      <c r="K132" s="4">
        <v>320</v>
      </c>
      <c r="L132" s="8">
        <v>38</v>
      </c>
      <c r="M132" s="6" t="s">
        <v>122</v>
      </c>
    </row>
    <row r="133" spans="1:13" x14ac:dyDescent="0.3">
      <c r="A133" s="1" t="s">
        <v>16</v>
      </c>
      <c r="B133" s="6" t="s">
        <v>267</v>
      </c>
      <c r="C133" s="1" t="s">
        <v>97</v>
      </c>
      <c r="D133" s="1" t="s">
        <v>15</v>
      </c>
      <c r="E133" s="3">
        <v>353917102158076</v>
      </c>
      <c r="F133" s="1"/>
      <c r="G133" s="5">
        <v>45591</v>
      </c>
      <c r="H133" s="4">
        <v>234</v>
      </c>
      <c r="I133" s="4"/>
      <c r="J133" s="5">
        <v>45593</v>
      </c>
      <c r="K133" s="4">
        <v>290</v>
      </c>
      <c r="L133" s="8">
        <v>56</v>
      </c>
      <c r="M133" s="6" t="s">
        <v>268</v>
      </c>
    </row>
    <row r="134" spans="1:13" x14ac:dyDescent="0.3">
      <c r="A134" s="1" t="s">
        <v>16</v>
      </c>
      <c r="B134" s="6" t="s">
        <v>39</v>
      </c>
      <c r="C134" s="1" t="s">
        <v>35</v>
      </c>
      <c r="D134" s="1" t="s">
        <v>15</v>
      </c>
      <c r="E134" s="3">
        <v>352700602475401</v>
      </c>
      <c r="F134" s="1"/>
      <c r="G134" s="5">
        <v>45562</v>
      </c>
      <c r="H134" s="4">
        <v>730</v>
      </c>
      <c r="I134" s="4">
        <v>9</v>
      </c>
      <c r="J134" s="5">
        <v>45593</v>
      </c>
      <c r="K134" s="4">
        <v>760</v>
      </c>
      <c r="L134" s="8">
        <v>21</v>
      </c>
      <c r="M134" s="6" t="s">
        <v>29</v>
      </c>
    </row>
    <row r="135" spans="1:13" x14ac:dyDescent="0.3">
      <c r="A135" s="1" t="s">
        <v>16</v>
      </c>
      <c r="B135" s="6" t="s">
        <v>96</v>
      </c>
      <c r="C135" s="1" t="s">
        <v>45</v>
      </c>
      <c r="D135" s="1" t="s">
        <v>15</v>
      </c>
      <c r="E135" s="3">
        <v>353837104101884</v>
      </c>
      <c r="F135" s="1" t="s">
        <v>167</v>
      </c>
      <c r="G135" s="5">
        <v>45577</v>
      </c>
      <c r="H135" s="4">
        <v>170</v>
      </c>
      <c r="I135" s="4"/>
      <c r="J135" s="5">
        <v>45579</v>
      </c>
      <c r="K135" s="4">
        <v>240</v>
      </c>
      <c r="L135" s="8">
        <v>70</v>
      </c>
      <c r="M135" s="6" t="s">
        <v>169</v>
      </c>
    </row>
    <row r="136" spans="1:13" x14ac:dyDescent="0.3">
      <c r="A136" s="1" t="s">
        <v>16</v>
      </c>
      <c r="B136" s="6" t="s">
        <v>68</v>
      </c>
      <c r="C136" s="1" t="s">
        <v>65</v>
      </c>
      <c r="D136" s="1" t="s">
        <v>15</v>
      </c>
      <c r="E136" s="3">
        <v>353324652487072</v>
      </c>
      <c r="F136" s="1"/>
      <c r="G136" s="5">
        <v>45567</v>
      </c>
      <c r="H136" s="4">
        <v>540</v>
      </c>
      <c r="I136" s="4"/>
      <c r="J136" s="5">
        <v>45594</v>
      </c>
      <c r="K136" s="4">
        <v>599</v>
      </c>
      <c r="L136" s="8">
        <v>59</v>
      </c>
      <c r="M136" s="6" t="s">
        <v>70</v>
      </c>
    </row>
    <row r="137" spans="1:13" x14ac:dyDescent="0.3">
      <c r="A137" s="1" t="s">
        <v>16</v>
      </c>
      <c r="B137" s="6" t="s">
        <v>250</v>
      </c>
      <c r="C137" s="1" t="s">
        <v>18</v>
      </c>
      <c r="D137" s="1" t="s">
        <v>15</v>
      </c>
      <c r="E137" s="3">
        <v>353040094412599</v>
      </c>
      <c r="F137" s="1" t="s">
        <v>251</v>
      </c>
      <c r="G137" s="5">
        <v>45589</v>
      </c>
      <c r="H137" s="4">
        <v>70</v>
      </c>
      <c r="I137" s="4">
        <v>13</v>
      </c>
      <c r="J137" s="5">
        <v>45594</v>
      </c>
      <c r="K137" s="4">
        <v>110</v>
      </c>
      <c r="L137" s="8">
        <v>27</v>
      </c>
      <c r="M137" s="6" t="s">
        <v>252</v>
      </c>
    </row>
    <row r="138" spans="1:13" x14ac:dyDescent="0.3">
      <c r="A138" s="1" t="s">
        <v>16</v>
      </c>
      <c r="B138" s="6" t="s">
        <v>81</v>
      </c>
      <c r="C138" s="1" t="s">
        <v>65</v>
      </c>
      <c r="D138" s="1" t="s">
        <v>15</v>
      </c>
      <c r="E138" s="3">
        <v>359206407689082</v>
      </c>
      <c r="F138" s="1"/>
      <c r="G138" s="5">
        <v>45593</v>
      </c>
      <c r="H138" s="4">
        <v>500</v>
      </c>
      <c r="I138" s="4"/>
      <c r="J138" s="5">
        <v>45594</v>
      </c>
      <c r="K138" s="4">
        <v>520</v>
      </c>
      <c r="L138" s="8">
        <v>20</v>
      </c>
      <c r="M138" s="6"/>
    </row>
    <row r="139" spans="1:13" x14ac:dyDescent="0.3">
      <c r="A139" s="1" t="s">
        <v>300</v>
      </c>
      <c r="B139" s="6" t="s">
        <v>68</v>
      </c>
      <c r="C139" s="1"/>
      <c r="D139" s="1"/>
      <c r="E139" s="3"/>
      <c r="F139" s="1"/>
      <c r="G139" s="5"/>
      <c r="H139" s="4"/>
      <c r="I139" s="4"/>
      <c r="J139" s="5">
        <v>45594</v>
      </c>
      <c r="K139" s="4">
        <v>10</v>
      </c>
      <c r="L139" s="8">
        <f>Таблица32[[#This Row],[SOTILGAN NARXI]]-Таблица32[[#This Row],[OLINGAN NARXI $]]-Таблица32[[#This Row],[RASXOD]]</f>
        <v>10</v>
      </c>
      <c r="M139" s="6"/>
    </row>
    <row r="140" spans="1:13" x14ac:dyDescent="0.3">
      <c r="A140" s="1" t="s">
        <v>16</v>
      </c>
      <c r="B140" s="6" t="s">
        <v>81</v>
      </c>
      <c r="C140" s="1" t="s">
        <v>18</v>
      </c>
      <c r="D140" s="1" t="s">
        <v>22</v>
      </c>
      <c r="E140" s="3">
        <v>356649151440363</v>
      </c>
      <c r="F140" s="1"/>
      <c r="G140" s="5">
        <v>45568</v>
      </c>
      <c r="H140" s="4">
        <v>535</v>
      </c>
      <c r="I140" s="4">
        <v>13</v>
      </c>
      <c r="J140" s="5">
        <v>45595</v>
      </c>
      <c r="K140" s="4">
        <v>560</v>
      </c>
      <c r="L140" s="8">
        <v>12</v>
      </c>
      <c r="M140" s="6" t="s">
        <v>82</v>
      </c>
    </row>
    <row r="141" spans="1:13" x14ac:dyDescent="0.3">
      <c r="A141" s="1" t="s">
        <v>16</v>
      </c>
      <c r="B141" s="6" t="s">
        <v>34</v>
      </c>
      <c r="C141" s="1" t="s">
        <v>35</v>
      </c>
      <c r="D141" s="1" t="s">
        <v>15</v>
      </c>
      <c r="E141" s="3">
        <v>351344356207834</v>
      </c>
      <c r="F141" s="1" t="s">
        <v>140</v>
      </c>
      <c r="G141" s="5">
        <v>45574</v>
      </c>
      <c r="H141" s="4">
        <v>438</v>
      </c>
      <c r="I141" s="4">
        <v>16</v>
      </c>
      <c r="J141" s="5">
        <v>45574</v>
      </c>
      <c r="K141" s="4">
        <v>454</v>
      </c>
      <c r="L141" s="8">
        <v>0</v>
      </c>
      <c r="M141" s="6" t="s">
        <v>141</v>
      </c>
    </row>
    <row r="142" spans="1:13" x14ac:dyDescent="0.3">
      <c r="A142" s="1" t="s">
        <v>16</v>
      </c>
      <c r="B142" s="6" t="s">
        <v>129</v>
      </c>
      <c r="C142" s="1" t="s">
        <v>65</v>
      </c>
      <c r="D142" s="1" t="s">
        <v>15</v>
      </c>
      <c r="E142" s="3">
        <v>353282625272304</v>
      </c>
      <c r="F142" s="1" t="s">
        <v>203</v>
      </c>
      <c r="G142" s="5">
        <v>45584</v>
      </c>
      <c r="H142" s="4">
        <v>438</v>
      </c>
      <c r="I142" s="4"/>
      <c r="J142" s="5">
        <v>45595</v>
      </c>
      <c r="K142" s="4">
        <v>478</v>
      </c>
      <c r="L142" s="8">
        <v>40</v>
      </c>
      <c r="M142" s="6"/>
    </row>
    <row r="143" spans="1:13" x14ac:dyDescent="0.3">
      <c r="A143" s="1" t="s">
        <v>16</v>
      </c>
      <c r="B143" s="6" t="s">
        <v>192</v>
      </c>
      <c r="C143" s="1" t="s">
        <v>290</v>
      </c>
      <c r="D143" s="1" t="s">
        <v>15</v>
      </c>
      <c r="E143" s="3">
        <v>352704133940289</v>
      </c>
      <c r="F143" s="1" t="s">
        <v>66</v>
      </c>
      <c r="G143" s="5">
        <v>45593</v>
      </c>
      <c r="H143" s="4">
        <v>100</v>
      </c>
      <c r="I143" s="4">
        <v>63</v>
      </c>
      <c r="J143" s="5">
        <v>45595</v>
      </c>
      <c r="K143" s="4">
        <v>232</v>
      </c>
      <c r="L143" s="8">
        <v>69</v>
      </c>
      <c r="M143" s="6" t="s">
        <v>291</v>
      </c>
    </row>
    <row r="144" spans="1:13" x14ac:dyDescent="0.3">
      <c r="A144" s="1" t="s">
        <v>16</v>
      </c>
      <c r="B144" s="6" t="s">
        <v>92</v>
      </c>
      <c r="C144" s="1" t="s">
        <v>93</v>
      </c>
      <c r="D144" s="1" t="s">
        <v>15</v>
      </c>
      <c r="E144" s="3">
        <v>356609239557257</v>
      </c>
      <c r="F144" s="1" t="s">
        <v>94</v>
      </c>
      <c r="G144" s="5">
        <v>45570</v>
      </c>
      <c r="H144" s="4">
        <v>200</v>
      </c>
      <c r="I144" s="4"/>
      <c r="J144" s="5">
        <v>45596</v>
      </c>
      <c r="K144" s="4">
        <v>260</v>
      </c>
      <c r="L144" s="8">
        <v>60</v>
      </c>
      <c r="M144" s="6" t="s">
        <v>95</v>
      </c>
    </row>
    <row r="145" spans="1:13" x14ac:dyDescent="0.3">
      <c r="A145" s="1" t="s">
        <v>13</v>
      </c>
      <c r="B145" s="6" t="s">
        <v>117</v>
      </c>
      <c r="C145" s="1" t="s">
        <v>21</v>
      </c>
      <c r="D145" s="1" t="s">
        <v>15</v>
      </c>
      <c r="E145" s="3">
        <v>351424770690284</v>
      </c>
      <c r="F145" s="1"/>
      <c r="G145" s="5">
        <v>45571</v>
      </c>
      <c r="H145" s="4">
        <v>255</v>
      </c>
      <c r="I145" s="4">
        <v>13</v>
      </c>
      <c r="J145" s="5">
        <v>45596</v>
      </c>
      <c r="K145" s="4">
        <v>300</v>
      </c>
      <c r="L145" s="8">
        <v>32</v>
      </c>
      <c r="M145" s="6" t="s">
        <v>19</v>
      </c>
    </row>
    <row r="146" spans="1:13" x14ac:dyDescent="0.3">
      <c r="A146" s="1" t="s">
        <v>16</v>
      </c>
      <c r="B146" s="6" t="s">
        <v>25</v>
      </c>
      <c r="C146" s="1" t="s">
        <v>26</v>
      </c>
      <c r="D146" s="1" t="s">
        <v>22</v>
      </c>
      <c r="E146" s="3">
        <v>353104765169647</v>
      </c>
      <c r="F146" s="1"/>
      <c r="G146" s="5">
        <v>45593</v>
      </c>
      <c r="H146" s="4">
        <v>830</v>
      </c>
      <c r="I146" s="4"/>
      <c r="J146" s="5">
        <v>45596</v>
      </c>
      <c r="K146" s="4">
        <v>895</v>
      </c>
      <c r="L146" s="8">
        <v>65</v>
      </c>
      <c r="M146" s="6" t="s">
        <v>288</v>
      </c>
    </row>
    <row r="147" spans="1:13" x14ac:dyDescent="0.3">
      <c r="A147" s="1" t="s">
        <v>16</v>
      </c>
      <c r="B147" s="6" t="s">
        <v>194</v>
      </c>
      <c r="C147" s="1" t="s">
        <v>26</v>
      </c>
      <c r="D147" s="1" t="s">
        <v>22</v>
      </c>
      <c r="E147" s="3">
        <v>351016866375539</v>
      </c>
      <c r="F147" s="1" t="s">
        <v>27</v>
      </c>
      <c r="G147" s="5">
        <v>45580</v>
      </c>
      <c r="H147" s="4">
        <v>800</v>
      </c>
      <c r="I147" s="4"/>
      <c r="J147" s="5">
        <v>45596</v>
      </c>
      <c r="K147" s="4">
        <v>880</v>
      </c>
      <c r="L147" s="8">
        <v>80</v>
      </c>
      <c r="M147" s="6" t="s">
        <v>195</v>
      </c>
    </row>
    <row r="148" spans="1:13" x14ac:dyDescent="0.3">
      <c r="A148" s="1" t="s">
        <v>13</v>
      </c>
      <c r="B148" s="6" t="s">
        <v>124</v>
      </c>
      <c r="C148" s="1" t="s">
        <v>21</v>
      </c>
      <c r="D148" s="1" t="s">
        <v>15</v>
      </c>
      <c r="E148" s="3">
        <v>355857111018937</v>
      </c>
      <c r="F148" s="1" t="s">
        <v>134</v>
      </c>
      <c r="G148" s="5"/>
      <c r="H148" s="4">
        <v>280</v>
      </c>
      <c r="I148" s="4">
        <v>40</v>
      </c>
      <c r="J148" s="5">
        <v>45585</v>
      </c>
      <c r="K148" s="4">
        <v>320</v>
      </c>
      <c r="L148" s="8">
        <v>0</v>
      </c>
      <c r="M148" s="6"/>
    </row>
    <row r="149" spans="1:13" x14ac:dyDescent="0.3">
      <c r="A149" s="1" t="s">
        <v>16</v>
      </c>
      <c r="B149" s="6" t="s">
        <v>17</v>
      </c>
      <c r="C149" s="1" t="s">
        <v>21</v>
      </c>
      <c r="D149" s="1" t="s">
        <v>15</v>
      </c>
      <c r="E149" s="3">
        <v>353235105634914</v>
      </c>
      <c r="F149" s="1"/>
      <c r="G149" s="5">
        <v>45565</v>
      </c>
      <c r="H149" s="4">
        <v>280</v>
      </c>
      <c r="I149" s="4"/>
      <c r="J149" s="5">
        <v>45575</v>
      </c>
      <c r="K149" s="4">
        <v>300</v>
      </c>
      <c r="L149" s="8">
        <v>20</v>
      </c>
      <c r="M149" s="6"/>
    </row>
    <row r="150" spans="1:13" x14ac:dyDescent="0.3">
      <c r="A150" s="1" t="s">
        <v>16</v>
      </c>
      <c r="B150" s="6" t="s">
        <v>106</v>
      </c>
      <c r="C150" s="1" t="s">
        <v>107</v>
      </c>
      <c r="D150" s="1" t="s">
        <v>22</v>
      </c>
      <c r="E150" s="3">
        <v>356343108596838</v>
      </c>
      <c r="F150" s="1"/>
      <c r="G150" s="5">
        <v>45536</v>
      </c>
      <c r="H150" s="4">
        <v>228</v>
      </c>
      <c r="I150" s="4">
        <v>9</v>
      </c>
      <c r="J150" s="5">
        <v>45585</v>
      </c>
      <c r="K150" s="4">
        <v>250</v>
      </c>
      <c r="L150" s="8">
        <v>13</v>
      </c>
      <c r="M150" s="6" t="s">
        <v>108</v>
      </c>
    </row>
    <row r="151" spans="1:13" x14ac:dyDescent="0.3">
      <c r="A151" s="1" t="s">
        <v>16</v>
      </c>
      <c r="B151" s="6" t="s">
        <v>111</v>
      </c>
      <c r="C151" s="1" t="s">
        <v>18</v>
      </c>
      <c r="D151" s="1" t="s">
        <v>15</v>
      </c>
      <c r="E151" s="3">
        <v>1182</v>
      </c>
      <c r="F151" s="1"/>
      <c r="G151" s="5">
        <v>45544</v>
      </c>
      <c r="H151" s="4">
        <v>280</v>
      </c>
      <c r="I151" s="4"/>
      <c r="J151" s="5">
        <v>45585</v>
      </c>
      <c r="K151" s="4">
        <v>319</v>
      </c>
      <c r="L151" s="8">
        <v>39</v>
      </c>
      <c r="M151" s="6" t="s">
        <v>112</v>
      </c>
    </row>
    <row r="152" spans="1:13" x14ac:dyDescent="0.3">
      <c r="A152" s="1" t="s">
        <v>13</v>
      </c>
      <c r="B152" s="6" t="s">
        <v>121</v>
      </c>
      <c r="C152" s="1" t="s">
        <v>123</v>
      </c>
      <c r="D152" s="1" t="s">
        <v>15</v>
      </c>
      <c r="E152" s="3">
        <v>352412373111286</v>
      </c>
      <c r="F152" s="1"/>
      <c r="G152" s="5">
        <v>45537</v>
      </c>
      <c r="H152" s="4">
        <v>300</v>
      </c>
      <c r="I152" s="4"/>
      <c r="J152" s="5">
        <v>45580</v>
      </c>
      <c r="K152" s="4">
        <v>300</v>
      </c>
      <c r="L152" s="8">
        <v>0</v>
      </c>
      <c r="M152" s="6" t="s">
        <v>19</v>
      </c>
    </row>
    <row r="153" spans="1:13" x14ac:dyDescent="0.3">
      <c r="A153" s="1" t="s">
        <v>16</v>
      </c>
      <c r="B153" s="6" t="s">
        <v>149</v>
      </c>
      <c r="C153" s="1" t="s">
        <v>18</v>
      </c>
      <c r="D153" s="1" t="s">
        <v>15</v>
      </c>
      <c r="E153" s="3">
        <v>3565641000396950</v>
      </c>
      <c r="F153" s="1"/>
      <c r="G153" s="5">
        <v>45575</v>
      </c>
      <c r="H153" s="4">
        <v>220</v>
      </c>
      <c r="I153" s="4">
        <v>13</v>
      </c>
      <c r="J153" s="5">
        <v>45585</v>
      </c>
      <c r="K153" s="4">
        <v>250</v>
      </c>
      <c r="L153" s="8">
        <v>17</v>
      </c>
      <c r="M153" s="6" t="s">
        <v>147</v>
      </c>
    </row>
    <row r="154" spans="1:13" x14ac:dyDescent="0.3">
      <c r="A154" s="1"/>
      <c r="B154" s="6"/>
      <c r="C154" s="1"/>
      <c r="D154" s="1"/>
      <c r="E154" s="3"/>
      <c r="F154" s="1"/>
      <c r="G154" s="5"/>
      <c r="H154" s="4"/>
      <c r="I154" s="4"/>
      <c r="J154" s="5"/>
      <c r="K154" s="4"/>
      <c r="L154" s="8">
        <f>Таблица32[[#This Row],[SOTILGAN NARXI]]-Таблица32[[#This Row],[OLINGAN NARXI $]]-Таблица32[[#This Row],[RASXOD]]</f>
        <v>0</v>
      </c>
      <c r="M154" s="6"/>
    </row>
    <row r="155" spans="1:13" x14ac:dyDescent="0.3">
      <c r="A155" s="1"/>
      <c r="B155" s="6"/>
      <c r="C155" s="1"/>
      <c r="D155" s="1"/>
      <c r="E155" s="3"/>
      <c r="F155" s="1"/>
      <c r="G155" s="5"/>
      <c r="H155" s="4"/>
      <c r="I155" s="4"/>
      <c r="J155" s="5"/>
      <c r="K155" s="4"/>
      <c r="L155" s="8">
        <f>Таблица32[[#This Row],[SOTILGAN NARXI]]-Таблица32[[#This Row],[OLINGAN NARXI $]]-Таблица32[[#This Row],[RASXOD]]</f>
        <v>0</v>
      </c>
      <c r="M155" s="6"/>
    </row>
    <row r="156" spans="1:13" x14ac:dyDescent="0.3">
      <c r="A156" s="1"/>
      <c r="B156" s="6"/>
      <c r="C156" s="1"/>
      <c r="D156" s="1"/>
      <c r="E156" s="15" t="s">
        <v>237</v>
      </c>
      <c r="F156" s="16" t="s">
        <v>238</v>
      </c>
      <c r="G156" s="1"/>
      <c r="H156" s="4"/>
      <c r="I156" s="4"/>
      <c r="J156" s="5"/>
      <c r="K156" s="4"/>
      <c r="L156" s="8"/>
      <c r="M156" s="6"/>
    </row>
    <row r="157" spans="1:13" x14ac:dyDescent="0.3">
      <c r="A157" s="1"/>
      <c r="B157" s="6"/>
      <c r="C157" s="1"/>
      <c r="D157" s="1"/>
      <c r="E157" s="17" t="s">
        <v>235</v>
      </c>
      <c r="F157" s="18">
        <v>50</v>
      </c>
      <c r="G157" s="5"/>
      <c r="H157" s="4"/>
      <c r="I157" s="4"/>
      <c r="J157" s="5"/>
      <c r="K157" s="4"/>
      <c r="L157" s="8"/>
      <c r="M157" s="6"/>
    </row>
    <row r="158" spans="1:13" x14ac:dyDescent="0.3">
      <c r="A158" s="1"/>
      <c r="B158" s="6"/>
      <c r="C158" s="1"/>
      <c r="D158" s="1"/>
      <c r="E158" s="17" t="s">
        <v>234</v>
      </c>
      <c r="F158" s="18" t="s">
        <v>387</v>
      </c>
      <c r="G158" s="5"/>
      <c r="H158" s="4"/>
      <c r="I158" s="4"/>
      <c r="J158" s="5"/>
      <c r="K158" s="4"/>
      <c r="L158" s="8"/>
      <c r="M158" s="6"/>
    </row>
    <row r="159" spans="1:13" x14ac:dyDescent="0.3">
      <c r="A159" s="1"/>
      <c r="B159" s="6"/>
      <c r="C159" s="1"/>
      <c r="D159" s="1"/>
      <c r="E159" s="19" t="s">
        <v>239</v>
      </c>
      <c r="F159" s="21">
        <v>400</v>
      </c>
      <c r="G159" s="5"/>
      <c r="H159" s="4"/>
      <c r="I159" s="4"/>
      <c r="J159" s="5"/>
      <c r="K159" s="4"/>
      <c r="L159" s="8"/>
      <c r="M159" s="6"/>
    </row>
    <row r="160" spans="1:13" x14ac:dyDescent="0.3">
      <c r="A160" s="1"/>
      <c r="B160" s="6"/>
      <c r="C160" s="1"/>
      <c r="D160" s="1"/>
      <c r="E160" s="19" t="s">
        <v>253</v>
      </c>
      <c r="F160" s="21">
        <v>444</v>
      </c>
      <c r="G160" s="5"/>
      <c r="H160" s="4"/>
      <c r="I160" s="4"/>
      <c r="J160" s="5"/>
      <c r="K160" s="4"/>
      <c r="L160" s="8"/>
      <c r="M160" s="6"/>
    </row>
    <row r="161" spans="1:13" x14ac:dyDescent="0.3">
      <c r="A161" s="1"/>
      <c r="B161" s="6"/>
      <c r="C161" s="1"/>
      <c r="D161" s="1"/>
      <c r="E161" s="19" t="s">
        <v>275</v>
      </c>
      <c r="F161" s="21">
        <v>400</v>
      </c>
      <c r="G161" s="5"/>
      <c r="H161" s="4"/>
      <c r="I161" s="4"/>
      <c r="J161" s="5"/>
      <c r="K161" s="4"/>
      <c r="L161" s="8"/>
      <c r="M161" s="6"/>
    </row>
    <row r="162" spans="1:13" x14ac:dyDescent="0.3">
      <c r="A162" s="1"/>
      <c r="B162" s="6"/>
      <c r="C162" s="1"/>
      <c r="D162" s="1"/>
      <c r="E162" s="19" t="s">
        <v>292</v>
      </c>
      <c r="F162" s="21">
        <v>430</v>
      </c>
      <c r="G162" s="5"/>
      <c r="H162" s="4"/>
      <c r="I162" s="4"/>
      <c r="J162" s="5"/>
      <c r="K162" s="4"/>
      <c r="L162" s="8"/>
      <c r="M162" s="6"/>
    </row>
    <row r="163" spans="1:13" x14ac:dyDescent="0.3">
      <c r="A163" s="1"/>
      <c r="B163" s="6"/>
      <c r="C163" s="1"/>
      <c r="D163" s="1"/>
      <c r="E163" s="18"/>
      <c r="F163" s="20"/>
      <c r="G163" s="5"/>
      <c r="H163" s="4"/>
      <c r="I163" s="4"/>
      <c r="J163" s="5"/>
      <c r="K163" s="4"/>
      <c r="L163" s="8"/>
      <c r="M163" s="6"/>
    </row>
    <row r="164" spans="1:13" x14ac:dyDescent="0.3">
      <c r="A164" s="1"/>
      <c r="B164" s="6"/>
      <c r="C164" s="1"/>
      <c r="D164" s="1"/>
      <c r="E164" s="18"/>
      <c r="F164" s="20"/>
      <c r="G164" s="5"/>
      <c r="H164" s="4"/>
      <c r="I164" s="4"/>
      <c r="J164" s="5"/>
      <c r="K164" s="4"/>
      <c r="L164" s="8"/>
      <c r="M164" s="6"/>
    </row>
    <row r="165" spans="1:13" x14ac:dyDescent="0.3">
      <c r="A165" s="1"/>
      <c r="B165" s="6"/>
      <c r="C165" s="1"/>
      <c r="D165" s="1"/>
      <c r="E165" s="18"/>
      <c r="F165" s="20"/>
      <c r="G165" s="5"/>
      <c r="H165" s="4"/>
      <c r="I165" s="4"/>
      <c r="J165" s="5"/>
      <c r="K165" s="4"/>
      <c r="L165" s="8"/>
      <c r="M165" s="6"/>
    </row>
    <row r="166" spans="1:13" x14ac:dyDescent="0.3">
      <c r="A166" s="1"/>
      <c r="B166" s="6"/>
      <c r="C166" s="1"/>
      <c r="D166" s="1"/>
      <c r="E166" s="18"/>
      <c r="F166" s="20"/>
      <c r="G166" s="5"/>
      <c r="H166" s="4"/>
      <c r="I166" s="4"/>
      <c r="J166" s="5"/>
      <c r="K166" s="4"/>
      <c r="L166" s="8"/>
      <c r="M166" s="6"/>
    </row>
    <row r="167" spans="1:13" x14ac:dyDescent="0.3">
      <c r="A167" s="1"/>
      <c r="B167" s="6"/>
      <c r="C167" s="1"/>
      <c r="D167" s="1"/>
      <c r="E167" s="18"/>
      <c r="F167" s="21"/>
      <c r="G167" s="5"/>
      <c r="H167" s="4">
        <f>SUBTOTAL(109,H2:H166)</f>
        <v>59801</v>
      </c>
      <c r="I167" s="4">
        <f>SUBTOTAL(109,I2:I166)</f>
        <v>907</v>
      </c>
      <c r="J167" s="5"/>
      <c r="K167" s="4">
        <f>SUBTOTAL(109,K2:K166)</f>
        <v>68316</v>
      </c>
      <c r="L167" s="26">
        <f>SUBTOTAL(109,L2:L166)</f>
        <v>7613</v>
      </c>
      <c r="M167" s="6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IMRON SHERI</vt:lpstr>
      <vt:lpstr>A3 KUNLIK</vt:lpstr>
      <vt:lpstr>A3 BRO_SENTR</vt:lpstr>
      <vt:lpstr>A3 SENTABR</vt:lpstr>
      <vt:lpstr>A27 KUNLI</vt:lpstr>
      <vt:lpstr>A27 BRO_SENTR</vt:lpstr>
      <vt:lpstr>SENTABR 2025</vt:lpstr>
      <vt:lpstr>AVGUST 2025</vt:lpstr>
      <vt:lpstr>IYUL 2025</vt:lpstr>
      <vt:lpstr>IYUN 2025</vt:lpstr>
      <vt:lpstr>MAY 2025</vt:lpstr>
      <vt:lpstr>APREL 2025</vt:lpstr>
      <vt:lpstr>MART 2025</vt:lpstr>
      <vt:lpstr>FEVRAL 2025</vt:lpstr>
      <vt:lpstr>YANVAR 2025</vt:lpstr>
      <vt:lpstr>DEKABR 2024</vt:lpstr>
      <vt:lpstr>NOYABR</vt:lpstr>
      <vt:lpstr>Oktabr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Asad Ahmadjonov</cp:lastModifiedBy>
  <dcterms:created xsi:type="dcterms:W3CDTF">2024-10-06T08:57:20Z</dcterms:created>
  <dcterms:modified xsi:type="dcterms:W3CDTF">2025-09-03T20:43:23Z</dcterms:modified>
</cp:coreProperties>
</file>